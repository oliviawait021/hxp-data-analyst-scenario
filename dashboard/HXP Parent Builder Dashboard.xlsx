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Chart Data" sheetId="2" state="visible" r:id="rId2"/>
    <sheet name="Raw Data" sheetId="3" state="visible" r:id="rId3"/>
    <sheet name="Cleaned + Categorized" sheetId="4" state="visible" r:id="rId4"/>
    <sheet name="Insights" sheetId="5" state="visible" r:id="rId5"/>
    <sheet name="Insights Summary" sheetId="6" state="visible" r:id="rId6"/>
  </sheets>
  <definedNames>
    <definedName name="_xlnm._FilterDatabase" localSheetId="2" hidden="1">'Raw Data'!$A$1:$D$1316</definedName>
    <definedName name="_xlnm._FilterDatabase" localSheetId="3" hidden="1">'Cleaned + Categorized'!$A$1:$H$1190</definedName>
    <definedName name="_xlnm._FilterDatabase" localSheetId="4" hidden="1">'Insights'!$A$1:$M$1190</definedName>
    <definedName name="_xlnm._FilterDatabase" localSheetId="5" hidden="1">'Insights Summary'!$A$1:$C$24</definedName>
  </definedNames>
  <calcPr calcId="124519" fullCalcOnLoad="1"/>
</workbook>
</file>

<file path=xl/styles.xml><?xml version="1.0" encoding="utf-8"?>
<styleSheet xmlns="http://schemas.openxmlformats.org/spreadsheetml/2006/main">
  <numFmts count="1">
    <numFmt numFmtId="164" formatCode="0.0%"/>
  </numFmts>
  <fonts count="12">
    <font>
      <name val="Calibri"/>
      <family val="2"/>
      <color theme="1"/>
      <sz val="11"/>
      <scheme val="minor"/>
    </font>
    <font>
      <i val="1"/>
      <color rgb="0052514E"/>
      <sz val="9"/>
    </font>
    <font>
      <b val="1"/>
      <sz val="11"/>
    </font>
    <font>
      <b val="1"/>
    </font>
    <font>
      <b val="1"/>
      <color rgb="00FFFFFF"/>
    </font>
    <font>
      <b val="1"/>
      <color rgb="000B0B0B"/>
      <sz val="18"/>
    </font>
    <font>
      <i val="1"/>
      <color rgb="0052514E"/>
      <sz val="11"/>
    </font>
    <font>
      <b val="1"/>
      <color rgb="000B0B0B"/>
      <sz val="26"/>
    </font>
    <font>
      <color rgb="0052514E"/>
      <sz val="10"/>
    </font>
    <font>
      <b val="1"/>
      <color rgb="002A78D6"/>
      <sz val="26"/>
    </font>
    <font>
      <b val="1"/>
      <color rgb="00EB6834"/>
      <sz val="26"/>
    </font>
    <font>
      <i val="1"/>
      <color rgb="0052514E"/>
    </font>
  </fonts>
  <fills count="4">
    <fill>
      <patternFill/>
    </fill>
    <fill>
      <patternFill patternType="gray125"/>
    </fill>
    <fill>
      <patternFill patternType="solid">
        <fgColor rgb="002A78D6"/>
      </patternFill>
    </fill>
    <fill>
      <patternFill patternType="solid">
        <fgColor rgb="00F9F9F7"/>
      </patternFill>
    </fill>
  </fills>
  <borders count="2">
    <border>
      <left/>
      <right/>
      <top/>
      <bottom/>
      <diagonal/>
    </border>
    <border>
      <left style="thin">
        <color rgb="00C3C2B7"/>
      </left>
      <right style="thin">
        <color rgb="00C3C2B7"/>
      </right>
      <top style="thin">
        <color rgb="00C3C2B7"/>
      </top>
      <bottom style="thin">
        <color rgb="00C3C2B7"/>
      </bottom>
    </border>
  </borders>
  <cellStyleXfs count="1">
    <xf numFmtId="0" fontId="0" fillId="0" borderId="0"/>
  </cellStyleXfs>
  <cellXfs count="14">
    <xf numFmtId="0" fontId="0" fillId="0" borderId="0" pivotButton="0" quotePrefix="0" xfId="0"/>
    <xf numFmtId="0" fontId="5" fillId="0" borderId="0" pivotButton="0" quotePrefix="0" xfId="0"/>
    <xf numFmtId="0" fontId="6" fillId="0" borderId="0" pivotButton="0" quotePrefix="0" xfId="0"/>
    <xf numFmtId="3" fontId="7" fillId="3" borderId="1" applyAlignment="1" pivotButton="0" quotePrefix="0" xfId="0">
      <alignment horizontal="center" vertical="center"/>
    </xf>
    <xf numFmtId="0" fontId="0" fillId="3" borderId="1" pivotButton="0" quotePrefix="0" xfId="0"/>
    <xf numFmtId="164" fontId="9" fillId="3" borderId="1" applyAlignment="1" pivotButton="0" quotePrefix="0" xfId="0">
      <alignment horizontal="center" vertical="center"/>
    </xf>
    <xf numFmtId="164" fontId="10" fillId="3" borderId="1" applyAlignment="1" pivotButton="0" quotePrefix="0" xfId="0">
      <alignment horizontal="center" vertical="center"/>
    </xf>
    <xf numFmtId="3" fontId="10" fillId="3" borderId="1" applyAlignment="1" pivotButton="0" quotePrefix="0" xfId="0">
      <alignment horizontal="center" vertical="center"/>
    </xf>
    <xf numFmtId="0" fontId="8" fillId="3" borderId="1" applyAlignment="1" pivotButton="0" quotePrefix="0" xfId="0">
      <alignment horizontal="center" vertical="center" wrapText="1"/>
    </xf>
    <xf numFmtId="0" fontId="2" fillId="0" borderId="0" pivotButton="0" quotePrefix="0" xfId="0"/>
    <xf numFmtId="0" fontId="11" fillId="0" borderId="0" pivotButton="0" quotePrefix="0" xfId="0"/>
    <xf numFmtId="0" fontId="1" fillId="0" borderId="0" pivotButton="0" quotePrefix="0" xfId="0"/>
    <xf numFmtId="0" fontId="3" fillId="0" borderId="0" pivotButton="0" quotePrefix="0" xfId="0"/>
    <xf numFmtId="0" fontId="4" fillId="2"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charts/chart1.xml><?xml version="1.0" encoding="utf-8"?>
<chartSpace xmlns:a="http://schemas.openxmlformats.org/drawingml/2006/main" xmlns="http://schemas.openxmlformats.org/drawingml/2006/chart">
  <style val="10"/>
  <chart>
    <title>
      <tx>
        <rich>
          <a:bodyPr/>
          <a:p>
            <a:pPr>
              <a:defRPr/>
            </a:pPr>
            <a:r>
              <a:t>Why Parents Don't Go</a:t>
            </a:r>
          </a:p>
        </rich>
      </tx>
    </title>
    <plotArea>
      <barChart>
        <barDir val="bar"/>
        <grouping val="clustered"/>
        <ser>
          <idx val="0"/>
          <order val="0"/>
          <tx>
            <strRef>
              <f>'Chart Data'!B4</f>
            </strRef>
          </tx>
          <spPr>
            <a:solidFill>
              <a:srgbClr val="2A78D6"/>
            </a:solidFill>
            <a:ln>
              <a:prstDash val="solid"/>
            </a:ln>
          </spPr>
          <cat>
            <numRef>
              <f>'Chart Data'!$A$5:$A$18</f>
            </numRef>
          </cat>
          <val>
            <numRef>
              <f>'Chart Data'!$B$5:$B$18</f>
            </numRef>
          </val>
        </ser>
        <dLbls>
          <showVal val="1"/>
        </dLbls>
        <gapWidth val="150"/>
        <axId val="10"/>
        <axId val="100"/>
      </barChart>
      <catAx>
        <axId val="10"/>
        <scaling>
          <orientation val="minMax"/>
        </scaling>
        <delete val="0"/>
        <axPos val="l"/>
        <majorTickMark val="none"/>
        <minorTickMark val="none"/>
        <crossAx val="100"/>
        <lblOffset val="100"/>
      </catAx>
      <valAx>
        <axId val="100"/>
        <scaling>
          <orientation val="minMax"/>
        </scaling>
        <delete val="0"/>
        <axPos val="l"/>
        <majorGridlines/>
        <majorTickMark val="none"/>
        <minorTickMark val="none"/>
        <crossAx val="10"/>
      </valAx>
    </plotArea>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Controllability of "No" Reasons</a:t>
            </a:r>
          </a:p>
        </rich>
      </tx>
    </title>
    <plotArea>
      <barChart>
        <barDir val="bar"/>
        <grouping val="clustered"/>
        <ser>
          <idx val="0"/>
          <order val="0"/>
          <tx>
            <strRef>
              <f>'Chart Data'!B37</f>
            </strRef>
          </tx>
          <spPr>
            <a:solidFill>
              <a:srgbClr val="2A78D6"/>
            </a:solidFill>
            <a:ln>
              <a:prstDash val="solid"/>
            </a:ln>
          </spPr>
          <dPt>
            <idx val="0"/>
            <spPr>
              <a:solidFill>
                <a:srgbClr val="2A78D6"/>
              </a:solidFill>
              <a:ln>
                <a:prstDash val="solid"/>
              </a:ln>
            </spPr>
          </dPt>
          <dPt>
            <idx val="1"/>
            <spPr>
              <a:solidFill>
                <a:srgbClr val="EB6834"/>
              </a:solidFill>
              <a:ln>
                <a:prstDash val="solid"/>
              </a:ln>
            </spPr>
          </dPt>
          <dPt>
            <idx val="2"/>
            <spPr>
              <a:solidFill>
                <a:srgbClr val="898781"/>
              </a:solidFill>
              <a:ln>
                <a:prstDash val="solid"/>
              </a:ln>
            </spPr>
          </dPt>
          <dPt>
            <idx val="3"/>
            <spPr>
              <a:solidFill>
                <a:srgbClr val="C3C2B7"/>
              </a:solidFill>
              <a:ln>
                <a:prstDash val="solid"/>
              </a:ln>
            </spPr>
          </dPt>
          <cat>
            <numRef>
              <f>'Chart Data'!$A$38:$A$41</f>
            </numRef>
          </cat>
          <val>
            <numRef>
              <f>'Chart Data'!$B$38:$B$41</f>
            </numRef>
          </val>
        </ser>
        <dLbls>
          <showVal val="1"/>
        </dLbls>
        <gapWidth val="150"/>
        <axId val="10"/>
        <axId val="100"/>
      </barChart>
      <catAx>
        <axId val="10"/>
        <scaling>
          <orientation val="minMax"/>
        </scaling>
        <delete val="0"/>
        <axPos val="l"/>
        <majorTickMark val="none"/>
        <minorTickMark val="none"/>
        <crossAx val="100"/>
        <lblOffset val="100"/>
      </catAx>
      <valAx>
        <axId val="100"/>
        <scaling>
          <orientation val="minMax"/>
        </scaling>
        <delete val="0"/>
        <axPos val="l"/>
        <majorGridlines/>
        <majorTickMark val="none"/>
        <minorTickMark val="none"/>
        <crossAx val="10"/>
      </valAx>
    </plotArea>
    <plotVisOnly val="1"/>
    <dispBlanksAs val="gap"/>
  </chart>
</chartSpace>
</file>

<file path=xl/charts/chart3.xml><?xml version="1.0" encoding="utf-8"?>
<chartSpace xmlns:a="http://schemas.openxmlformats.org/drawingml/2006/main" xmlns="http://schemas.openxmlformats.org/drawingml/2006/chart">
  <style val="10"/>
  <chart>
    <title>
      <tx>
        <rich>
          <a:bodyPr/>
          <a:p>
            <a:pPr>
              <a:defRPr/>
            </a:pPr>
            <a:r>
              <a:t>Why Parents Do Go</a:t>
            </a:r>
          </a:p>
        </rich>
      </tx>
    </title>
    <plotArea>
      <barChart>
        <barDir val="bar"/>
        <grouping val="clustered"/>
        <ser>
          <idx val="0"/>
          <order val="0"/>
          <tx>
            <strRef>
              <f>'Chart Data'!B22</f>
            </strRef>
          </tx>
          <spPr>
            <a:solidFill>
              <a:srgbClr val="2A78D6"/>
            </a:solidFill>
            <a:ln>
              <a:prstDash val="solid"/>
            </a:ln>
          </spPr>
          <cat>
            <numRef>
              <f>'Chart Data'!$A$23:$A$33</f>
            </numRef>
          </cat>
          <val>
            <numRef>
              <f>'Chart Data'!$B$23:$B$33</f>
            </numRef>
          </val>
        </ser>
        <dLbls>
          <showVal val="1"/>
        </dLbls>
        <gapWidth val="150"/>
        <axId val="10"/>
        <axId val="100"/>
      </barChart>
      <catAx>
        <axId val="10"/>
        <scaling>
          <orientation val="minMax"/>
        </scaling>
        <delete val="0"/>
        <axPos val="l"/>
        <majorTickMark val="none"/>
        <minorTickMark val="none"/>
        <crossAx val="100"/>
        <lblOffset val="100"/>
      </catAx>
      <valAx>
        <axId val="100"/>
        <scaling>
          <orientation val="minMax"/>
        </scaling>
        <delete val="0"/>
        <axPos val="l"/>
        <majorGridlines/>
        <majorTickMark val="none"/>
        <minorTickMark val="none"/>
        <crossAx val="10"/>
      </valAx>
    </plotArea>
    <plotVisOnly val="1"/>
    <dispBlanksAs val="gap"/>
  </chart>
</chartSpace>
</file>

<file path=xl/charts/chart4.xml><?xml version="1.0" encoding="utf-8"?>
<chartSpace xmlns:a="http://schemas.openxmlformats.org/drawingml/2006/main" xmlns="http://schemas.openxmlformats.org/drawingml/2006/chart">
  <style val="10"/>
  <chart>
    <title>
      <tx>
        <rich>
          <a:bodyPr/>
          <a:p>
            <a:pPr>
              <a:defRPr/>
            </a:pPr>
            <a:r>
              <a:t>What Would Help "Maybe" Parents Decide</a:t>
            </a:r>
          </a:p>
        </rich>
      </tx>
    </title>
    <plotArea>
      <barChart>
        <barDir val="bar"/>
        <grouping val="clustered"/>
        <ser>
          <idx val="0"/>
          <order val="0"/>
          <tx>
            <strRef>
              <f>'Chart Data'!B45</f>
            </strRef>
          </tx>
          <spPr>
            <a:solidFill>
              <a:srgbClr val="EB6834"/>
            </a:solidFill>
            <a:ln>
              <a:prstDash val="solid"/>
            </a:ln>
          </spPr>
          <cat>
            <numRef>
              <f>'Chart Data'!$A$46:$A$54</f>
            </numRef>
          </cat>
          <val>
            <numRef>
              <f>'Chart Data'!$B$46:$B$54</f>
            </numRef>
          </val>
        </ser>
        <dLbls>
          <showVal val="1"/>
        </dLbls>
        <gapWidth val="150"/>
        <axId val="10"/>
        <axId val="100"/>
      </barChart>
      <catAx>
        <axId val="10"/>
        <scaling>
          <orientation val="minMax"/>
        </scaling>
        <delete val="0"/>
        <axPos val="l"/>
        <majorTickMark val="none"/>
        <minorTickMark val="none"/>
        <crossAx val="100"/>
        <lblOffset val="100"/>
      </catAx>
      <valAx>
        <axId val="100"/>
        <scaling>
          <orientation val="minMax"/>
        </scaling>
        <delete val="0"/>
        <axPos val="l"/>
        <majorGridlines/>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10</row>
      <rowOff>0</rowOff>
    </from>
    <ext cx="6480000" cy="2880000"/>
    <graphicFrame>
      <nvGraphicFramePr>
        <cNvPr id="1" name="Chart 1"/>
        <cNvGraphicFramePr/>
      </nvGraphicFramePr>
      <xfrm/>
      <a:graphic>
        <a:graphicData uri="http://schemas.openxmlformats.org/drawingml/2006/chart">
          <c:chart r:id="rId1"/>
        </a:graphicData>
      </a:graphic>
    </graphicFrame>
    <clientData/>
  </oneCellAnchor>
  <oneCellAnchor>
    <from>
      <col>11</col>
      <colOff>0</colOff>
      <row>10</row>
      <rowOff>0</rowOff>
    </from>
    <ext cx="6480000" cy="2880000"/>
    <graphicFrame>
      <nvGraphicFramePr>
        <cNvPr id="2" name="Chart 2"/>
        <cNvGraphicFramePr/>
      </nvGraphicFramePr>
      <xfrm/>
      <a:graphic>
        <a:graphicData uri="http://schemas.openxmlformats.org/drawingml/2006/chart">
          <c:chart r:id="rId2"/>
        </a:graphicData>
      </a:graphic>
    </graphicFrame>
    <clientData/>
  </oneCellAnchor>
  <oneCellAnchor>
    <from>
      <col>1</col>
      <colOff>0</colOff>
      <row>28</row>
      <rowOff>0</rowOff>
    </from>
    <ext cx="6480000" cy="2880000"/>
    <graphicFrame>
      <nvGraphicFramePr>
        <cNvPr id="3" name="Chart 3"/>
        <cNvGraphicFramePr/>
      </nvGraphicFramePr>
      <xfrm/>
      <a:graphic>
        <a:graphicData uri="http://schemas.openxmlformats.org/drawingml/2006/chart">
          <c:chart r:id="rId3"/>
        </a:graphicData>
      </a:graphic>
    </graphicFrame>
    <clientData/>
  </oneCellAnchor>
  <oneCellAnchor>
    <from>
      <col>11</col>
      <colOff>0</colOff>
      <row>28</row>
      <rowOff>0</rowOff>
    </from>
    <ext cx="6480000" cy="2880000"/>
    <graphicFrame>
      <nvGraphicFramePr>
        <cNvPr id="4" name="Chart 4"/>
        <cNvGraphicFramePr/>
      </nvGraphicFramePr>
      <xfrm/>
      <a:graphic>
        <a:graphicData uri="http://schemas.openxmlformats.org/drawingml/2006/chart">
          <c:chart r:id="rId4"/>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r="http://schemas.openxmlformats.org/officeDocument/2006/relationships" xmlns="http://schemas.openxmlformats.org/spreadsheetml/2006/main">
  <sheetPr>
    <outlinePr summaryBelow="1" summaryRight="1"/>
    <pageSetUpPr/>
  </sheetPr>
  <dimension ref="B2:P52"/>
  <sheetViews>
    <sheetView showGridLines="0" workbookViewId="0">
      <selection activeCell="A1" sqref="A1"/>
    </sheetView>
  </sheetViews>
  <sheetFormatPr baseColWidth="8" defaultRowHeight="15"/>
  <cols>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s>
  <sheetData>
    <row r="2">
      <c r="B2" s="1" t="inlineStr">
        <is>
          <t>HXP Parent Builder Survey — Dashboard</t>
        </is>
      </c>
    </row>
    <row r="3">
      <c r="B3" s="2" t="inlineStr">
        <is>
          <t>1,189 parent responses collected before this year's trips</t>
        </is>
      </c>
    </row>
    <row r="5">
      <c r="B5" s="3">
        <f>COUNTA(Insights!A2:A1190)</f>
        <v/>
      </c>
      <c r="C5" s="4" t="n"/>
      <c r="D5" s="4" t="n"/>
      <c r="E5" s="5">
        <f>COUNTIF(Insights!A2:A1190,"Yes")/COUNTA(Insights!A2:A1190)</f>
        <v/>
      </c>
      <c r="F5" s="4" t="n"/>
      <c r="G5" s="4" t="n"/>
      <c r="H5" s="6">
        <f>COUNTIF(Insights!A2:A1190,"No")/COUNTA(Insights!A2:A1190)</f>
        <v/>
      </c>
      <c r="I5" s="4" t="n"/>
      <c r="J5" s="4" t="n"/>
      <c r="K5" s="5">
        <f>(COUNTIF(Insights!I2:I1190,"HXP Can Directly Fix")+COUNTIF(Insights!I2:I1190,"HXP Can Influence"))/SUM('Chart Data'!B38:B41)</f>
        <v/>
      </c>
      <c r="L5" s="4" t="n"/>
      <c r="M5" s="4" t="n"/>
      <c r="N5" s="7">
        <f>COUNTIF(Insights!J2:J1190,TRUE)</f>
        <v/>
      </c>
      <c r="O5" s="4" t="n"/>
      <c r="P5" s="4" t="n"/>
    </row>
    <row r="6">
      <c r="B6" s="4" t="n"/>
      <c r="C6" s="4" t="n"/>
      <c r="D6" s="4" t="n"/>
      <c r="E6" s="4" t="n"/>
      <c r="F6" s="4" t="n"/>
      <c r="G6" s="4" t="n"/>
      <c r="H6" s="4" t="n"/>
      <c r="I6" s="4" t="n"/>
      <c r="J6" s="4" t="n"/>
      <c r="K6" s="4" t="n"/>
      <c r="L6" s="4" t="n"/>
      <c r="M6" s="4" t="n"/>
      <c r="N6" s="4" t="n"/>
      <c r="O6" s="4" t="n"/>
      <c r="P6" s="4" t="n"/>
    </row>
    <row r="7">
      <c r="B7" s="4" t="n"/>
      <c r="C7" s="4" t="n"/>
      <c r="D7" s="4" t="n"/>
      <c r="E7" s="4" t="n"/>
      <c r="F7" s="4" t="n"/>
      <c r="G7" s="4" t="n"/>
      <c r="H7" s="4" t="n"/>
      <c r="I7" s="4" t="n"/>
      <c r="J7" s="4" t="n"/>
      <c r="K7" s="4" t="n"/>
      <c r="L7" s="4" t="n"/>
      <c r="M7" s="4" t="n"/>
      <c r="N7" s="4" t="n"/>
      <c r="O7" s="4" t="n"/>
      <c r="P7" s="4" t="n"/>
    </row>
    <row r="8">
      <c r="B8" s="8" t="inlineStr">
        <is>
          <t>Total Responses</t>
        </is>
      </c>
      <c r="C8" s="4" t="n"/>
      <c r="D8" s="4" t="n"/>
      <c r="E8" s="8" t="inlineStr">
        <is>
          <t>Planning to Go (Yes)</t>
        </is>
      </c>
      <c r="F8" s="4" t="n"/>
      <c r="G8" s="4" t="n"/>
      <c r="H8" s="8" t="inlineStr">
        <is>
          <t>Not Going (No)</t>
        </is>
      </c>
      <c r="I8" s="4" t="n"/>
      <c r="J8" s="4" t="n"/>
      <c r="K8" s="8" t="inlineStr">
        <is>
          <t>"No" Reasons HXP Can Control</t>
        </is>
      </c>
      <c r="L8" s="4" t="n"/>
      <c r="M8" s="4" t="n"/>
      <c r="N8" s="8" t="inlineStr">
        <is>
          <t>Warm Leads (Soft 'No' Signal)</t>
        </is>
      </c>
      <c r="O8" s="4" t="n"/>
      <c r="P8" s="4" t="n"/>
    </row>
    <row r="47">
      <c r="B47" s="9" t="inlineStr">
        <is>
          <t>Sample "Warm Lead" Quotes (parents who said no, but hinted they'd reconsider)</t>
        </is>
      </c>
    </row>
    <row r="48">
      <c r="B48" s="10" t="inlineStr">
        <is>
          <t>“My job and time off. I would really love to go another year.”</t>
        </is>
      </c>
    </row>
    <row r="49">
      <c r="B49" s="10" t="inlineStr">
        <is>
          <t>“Other obligations this year, but I hope to go in the future!”</t>
        </is>
      </c>
    </row>
    <row r="50">
      <c r="B50" s="10" t="inlineStr">
        <is>
          <t>“My daughter needs the experience without me. But I would love to go!”</t>
        </is>
      </c>
    </row>
    <row r="51">
      <c r="B51" s="10" t="inlineStr">
        <is>
          <t>“I would really like to go in the future. I am sending 3 teens this year. Finance is a part of why I am not going. And then it would be tough for me...”</t>
        </is>
      </c>
    </row>
    <row r="52">
      <c r="B52" s="10" t="inlineStr">
        <is>
          <t>“I went last year and loved it. I will go again next year.”</t>
        </is>
      </c>
    </row>
  </sheetData>
  <mergeCells count="15">
    <mergeCell ref="E5:G7"/>
    <mergeCell ref="K5:M7"/>
    <mergeCell ref="H5:J7"/>
    <mergeCell ref="K8:M8"/>
    <mergeCell ref="B48:I48"/>
    <mergeCell ref="B52:I52"/>
    <mergeCell ref="B5:D7"/>
    <mergeCell ref="B8:D8"/>
    <mergeCell ref="B51:I51"/>
    <mergeCell ref="E8:G8"/>
    <mergeCell ref="H8:J8"/>
    <mergeCell ref="N8:P8"/>
    <mergeCell ref="N5:P7"/>
    <mergeCell ref="B49:I49"/>
    <mergeCell ref="B50:I50"/>
  </mergeCells>
  <pageMargins left="0.75" right="0.75" top="1" bottom="1" header="0.5" footer="0.5"/>
  <drawing r:id="rId1"/>
</worksheet>
</file>

<file path=xl/worksheets/sheet2.xml><?xml version="1.0" encoding="utf-8"?>
<worksheet xmlns="http://schemas.openxmlformats.org/spreadsheetml/2006/main">
  <sheetPr>
    <outlinePr summaryBelow="1" summaryRight="1"/>
    <pageSetUpPr/>
  </sheetPr>
  <dimension ref="A1:B54"/>
  <sheetViews>
    <sheetView workbookViewId="0">
      <selection activeCell="A1" sqref="A1"/>
    </sheetView>
  </sheetViews>
  <sheetFormatPr baseColWidth="8" defaultRowHeight="15"/>
  <cols>
    <col width="42" customWidth="1" min="1" max="1"/>
    <col width="10" customWidth="1" min="2" max="2"/>
  </cols>
  <sheetData>
    <row r="1">
      <c r="A1" s="11" t="inlineStr">
        <is>
          <t>Backing data for the Dashboard charts - safe to leave visible, not meant for managers to read directly.</t>
        </is>
      </c>
    </row>
    <row r="3">
      <c r="A3" s="9" t="inlineStr">
        <is>
          <t>Why Parents Don't Go</t>
        </is>
      </c>
    </row>
    <row r="4">
      <c r="A4" s="12" t="inlineStr">
        <is>
          <t>Category</t>
        </is>
      </c>
      <c r="B4" s="12" t="inlineStr">
        <is>
          <t>Count</t>
        </is>
      </c>
    </row>
    <row r="5">
      <c r="A5" t="inlineStr">
        <is>
          <t>Cost / Finances</t>
        </is>
      </c>
      <c r="B5">
        <f>COUNTIF(Insights!$F$2:$F$1190,"Cost / Finances")</f>
        <v/>
      </c>
    </row>
    <row r="6">
      <c r="A6" t="inlineStr">
        <is>
          <t>Work Schedule / Time Off</t>
        </is>
      </c>
      <c r="B6">
        <f>COUNTIF(Insights!$F$2:$F$1190,"Work Schedule / Time Off")</f>
        <v/>
      </c>
    </row>
    <row r="7">
      <c r="A7" t="inlineStr">
        <is>
          <t>Wants Child to Have Independent Experience</t>
        </is>
      </c>
      <c r="B7">
        <f>COUNTIF(Insights!$F$2:$F$1190,"Wants Child to Have Independent Experience")</f>
        <v/>
      </c>
    </row>
    <row r="8">
      <c r="A8" t="inlineStr">
        <is>
          <t>Other Kids / Family at Home</t>
        </is>
      </c>
      <c r="B8">
        <f>COUNTIF(Insights!$F$2:$F$1190,"Other Kids / Family at Home")</f>
        <v/>
      </c>
    </row>
    <row r="9">
      <c r="A9" t="inlineStr">
        <is>
          <t>Child Didn't Want Parent to Come</t>
        </is>
      </c>
      <c r="B9">
        <f>COUNTIF(Insights!$F$2:$F$1190,"Child Didn't Want Parent to Come")</f>
        <v/>
      </c>
    </row>
    <row r="10">
      <c r="A10" t="inlineStr">
        <is>
          <t>Another Family Member Going Instead</t>
        </is>
      </c>
      <c r="B10">
        <f>COUNTIF(Insights!$F$2:$F$1190,"Another Family Member Going Instead")</f>
        <v/>
      </c>
    </row>
    <row r="11">
      <c r="A11" t="inlineStr">
        <is>
          <t>Other / Uncategorized</t>
        </is>
      </c>
      <c r="B11">
        <f>COUNTIF(Insights!$F$2:$F$1190,"Other / Uncategorized")</f>
        <v/>
      </c>
    </row>
    <row r="12">
      <c r="A12" t="inlineStr">
        <is>
          <t>Not a Traveler / Personal Preference</t>
        </is>
      </c>
      <c r="B12">
        <f>COUNTIF(Insights!$F$2:$F$1190,"Not a Traveler / Personal Preference")</f>
        <v/>
      </c>
    </row>
    <row r="13">
      <c r="A13" t="inlineStr">
        <is>
          <t>Not Aware It Was an Option</t>
        </is>
      </c>
      <c r="B13">
        <f>COUNTIF(Insights!$F$2:$F$1190,"Not Aware It Was an Option")</f>
        <v/>
      </c>
    </row>
    <row r="14">
      <c r="A14" t="inlineStr">
        <is>
          <t>Other Life Commitment</t>
        </is>
      </c>
      <c r="B14">
        <f>COUNTIF(Insights!$F$2:$F$1190,"Other Life Commitment")</f>
        <v/>
      </c>
    </row>
    <row r="15">
      <c r="A15" t="inlineStr">
        <is>
          <t>Health / Physical / Age</t>
        </is>
      </c>
      <c r="B15">
        <f>COUNTIF(Insights!$F$2:$F$1190,"Health / Physical / Age")</f>
        <v/>
      </c>
    </row>
    <row r="16">
      <c r="A16" t="inlineStr">
        <is>
          <t>Family's Own Choice (No Elaboration)</t>
        </is>
      </c>
      <c r="B16">
        <f>COUNTIF(Insights!$F$2:$F$1190,"Family's Own Choice (No Elaboration)")</f>
        <v/>
      </c>
    </row>
    <row r="17">
      <c r="A17" t="inlineStr">
        <is>
          <t>Trip / Spot Was Already Full</t>
        </is>
      </c>
      <c r="B17">
        <f>COUNTIF(Insights!$F$2:$F$1190,"Trip / Spot Was Already Full")</f>
        <v/>
      </c>
    </row>
    <row r="18">
      <c r="A18" t="inlineStr">
        <is>
          <t>Not Needed</t>
        </is>
      </c>
      <c r="B18">
        <f>COUNTIF(Insights!$F$2:$F$1190,"Not Needed")</f>
        <v/>
      </c>
    </row>
    <row r="21">
      <c r="A21" s="9" t="inlineStr">
        <is>
          <t>Why Parents Do Go</t>
        </is>
      </c>
    </row>
    <row r="22">
      <c r="A22" s="12" t="inlineStr">
        <is>
          <t>Category</t>
        </is>
      </c>
      <c r="B22" s="12" t="inlineStr">
        <is>
          <t>Count</t>
        </is>
      </c>
    </row>
    <row r="23">
      <c r="A23" t="inlineStr">
        <is>
          <t>Wanted Shared Experience with Child</t>
        </is>
      </c>
      <c r="B23">
        <f>COUNTIF(Insights!$C$2:$C$1190,"Wanted Shared Experience with Child")</f>
        <v/>
      </c>
    </row>
    <row r="24">
      <c r="A24" t="inlineStr">
        <is>
          <t>Previous Positive Experience</t>
        </is>
      </c>
      <c r="B24">
        <f>COUNTIF(Insights!$C$2:$C$1190,"Previous Positive Experience")</f>
        <v/>
      </c>
    </row>
    <row r="25">
      <c r="A25" t="inlineStr">
        <is>
          <t>Faith / Service Motivation</t>
        </is>
      </c>
      <c r="B25">
        <f>COUNTIF(Insights!$C$2:$C$1190,"Faith / Service Motivation")</f>
        <v/>
      </c>
    </row>
    <row r="26">
      <c r="A26" t="inlineStr">
        <is>
          <t>Child/Spouse Asked Them to Go</t>
        </is>
      </c>
      <c r="B26">
        <f>COUNTIF(Insights!$C$2:$C$1190,"Child/Spouse Asked Them to Go")</f>
        <v/>
      </c>
    </row>
    <row r="27">
      <c r="A27" t="inlineStr">
        <is>
          <t>Family Member Was the Reason (No Elaboration)</t>
        </is>
      </c>
      <c r="B27">
        <f>COUNTIF(Insights!$C$2:$C$1190,"Family Member Was the Reason (No Elaboration)")</f>
        <v/>
      </c>
    </row>
    <row r="28">
      <c r="A28" t="inlineStr">
        <is>
          <t>Other / Uncategorized</t>
        </is>
      </c>
      <c r="B28">
        <f>COUNTIF(Insights!$C$2:$C$1190,"Other / Uncategorized")</f>
        <v/>
      </c>
    </row>
    <row r="29">
      <c r="A29" t="inlineStr">
        <is>
          <t>Love of Travel / Culture</t>
        </is>
      </c>
      <c r="B29">
        <f>COUNTIF(Insights!$C$2:$C$1190,"Love of Travel / Culture")</f>
        <v/>
      </c>
    </row>
    <row r="30">
      <c r="A30" t="inlineStr">
        <is>
          <t>Trust in the HXP Program</t>
        </is>
      </c>
      <c r="B30">
        <f>COUNTIF(Insights!$C$2:$C$1190,"Trust in the HXP Program")</f>
        <v/>
      </c>
    </row>
    <row r="31">
      <c r="A31" t="inlineStr">
        <is>
          <t>Concerned About Child Going Alone / Safety</t>
        </is>
      </c>
      <c r="B31">
        <f>COUNTIF(Insights!$C$2:$C$1190,"Concerned About Child Going Alone / Safety")</f>
        <v/>
      </c>
    </row>
    <row r="32">
      <c r="A32" t="inlineStr">
        <is>
          <t>Securing/Ensuring Child's Spot (Registration Timing)</t>
        </is>
      </c>
      <c r="B32">
        <f>COUNTIF(Insights!$C$2:$C$1190,"Securing/Ensuring Child's Spot (Registration Timing)")</f>
        <v/>
      </c>
    </row>
    <row r="33">
      <c r="A33" t="inlineStr">
        <is>
          <t>Personally Invited by HXP Staff/Trip Leader</t>
        </is>
      </c>
      <c r="B33">
        <f>COUNTIF(Insights!$C$2:$C$1190,"Personally Invited by HXP Staff/Trip Leader")</f>
        <v/>
      </c>
    </row>
    <row r="36">
      <c r="A36" s="9" t="inlineStr">
        <is>
          <t>Controllability</t>
        </is>
      </c>
    </row>
    <row r="37">
      <c r="A37" s="12" t="inlineStr">
        <is>
          <t>Bucket</t>
        </is>
      </c>
      <c r="B37" s="12" t="inlineStr">
        <is>
          <t>Count</t>
        </is>
      </c>
    </row>
    <row r="38">
      <c r="A38" t="inlineStr">
        <is>
          <t>HXP Can Directly Fix</t>
        </is>
      </c>
      <c r="B38">
        <f>COUNTIF(Insights!$I$2:$I$1190,"HXP Can Directly Fix")</f>
        <v/>
      </c>
    </row>
    <row r="39">
      <c r="A39" t="inlineStr">
        <is>
          <t>HXP Can Influence</t>
        </is>
      </c>
      <c r="B39">
        <f>COUNTIF(Insights!$I$2:$I$1190,"HXP Can Influence")</f>
        <v/>
      </c>
    </row>
    <row r="40">
      <c r="A40" t="inlineStr">
        <is>
          <t>Family's Own Choice</t>
        </is>
      </c>
      <c r="B40">
        <f>COUNTIF(Insights!$I$2:$I$1190,"Family's Own Choice")</f>
        <v/>
      </c>
    </row>
    <row r="41">
      <c r="A41" t="inlineStr">
        <is>
          <t>Unknown</t>
        </is>
      </c>
      <c r="B41">
        <f>COUNTIF(Insights!$I$2:$I$1190,"Unknown")</f>
        <v/>
      </c>
    </row>
    <row r="44">
      <c r="A44" s="9" t="inlineStr">
        <is>
          <t>Would-Help Themes (Maybe segment)</t>
        </is>
      </c>
    </row>
    <row r="45">
      <c r="A45" s="12" t="inlineStr">
        <is>
          <t>Theme</t>
        </is>
      </c>
      <c r="B45" s="12" t="inlineStr">
        <is>
          <t>Count</t>
        </is>
      </c>
    </row>
    <row r="46">
      <c r="A46" t="inlineStr">
        <is>
          <t>Cost / Financial Assistance</t>
        </is>
      </c>
      <c r="B46">
        <f>COUNTIF(Insights!$L$2:$L$1190,"Cost / Financial Assistance")</f>
        <v/>
      </c>
    </row>
    <row r="47">
      <c r="A47" t="inlineStr">
        <is>
          <t>Time / Scheduling</t>
        </is>
      </c>
      <c r="B47">
        <f>COUNTIF(Insights!$L$2:$L$1190,"Time / Scheduling")</f>
        <v/>
      </c>
    </row>
    <row r="48">
      <c r="A48" t="inlineStr">
        <is>
          <t>Childcare for Other Kids</t>
        </is>
      </c>
      <c r="B48">
        <f>COUNTIF(Insights!$L$2:$L$1190,"Childcare for Other Kids")</f>
        <v/>
      </c>
    </row>
    <row r="49">
      <c r="A49" t="inlineStr">
        <is>
          <t>Waiting for Right Timing (kids' ages)</t>
        </is>
      </c>
      <c r="B49">
        <f>COUNTIF(Insights!$L$2:$L$1190,"Waiting for Right Timing (kids' ages)")</f>
        <v/>
      </c>
    </row>
    <row r="50">
      <c r="A50" t="inlineStr">
        <is>
          <t>Other / Uncategorized</t>
        </is>
      </c>
      <c r="B50">
        <f>COUNTIF(Insights!$L$2:$L$1190,"Other / Uncategorized")</f>
        <v/>
      </c>
    </row>
    <row r="51">
      <c r="A51" t="inlineStr">
        <is>
          <t>No Specific Ask / Undecided</t>
        </is>
      </c>
      <c r="B51">
        <f>COUNTIF(Insights!$L$2:$L$1190,"No Specific Ask / Undecided")</f>
        <v/>
      </c>
    </row>
    <row r="52">
      <c r="A52" t="inlineStr">
        <is>
          <t>More Information / Awareness</t>
        </is>
      </c>
      <c r="B52">
        <f>COUNTIF(Insights!$L$2:$L$1190,"More Information / Awareness")</f>
        <v/>
      </c>
    </row>
    <row r="53">
      <c r="A53" t="inlineStr">
        <is>
          <t>Health</t>
        </is>
      </c>
      <c r="B53">
        <f>COUNTIF(Insights!$L$2:$L$1190,"Health")</f>
        <v/>
      </c>
    </row>
    <row r="54">
      <c r="A54" t="inlineStr">
        <is>
          <t>Registration / Spot Availability</t>
        </is>
      </c>
      <c r="B54">
        <f>COUNTIF(Insights!$L$2:$L$1190,"Registration / Spot Availability")</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316"/>
  <sheetViews>
    <sheetView workbookViewId="0">
      <pane ySplit="1" topLeftCell="A2" activePane="bottomLeft" state="frozen"/>
      <selection pane="bottomLeft" activeCell="A1" sqref="A1"/>
    </sheetView>
  </sheetViews>
  <sheetFormatPr baseColWidth="8" defaultRowHeight="15"/>
  <cols>
    <col width="45" customWidth="1" min="1" max="1"/>
    <col width="45" customWidth="1" min="2" max="2"/>
    <col width="45" customWidth="1" min="3" max="3"/>
    <col width="45" customWidth="1" min="4" max="4"/>
  </cols>
  <sheetData>
    <row r="1">
      <c r="A1" s="13" t="inlineStr">
        <is>
          <t>Are you planning on going as a Parent Builder?</t>
        </is>
      </c>
      <c r="B1" s="13" t="inlineStr">
        <is>
          <t>What influenced your decision to go?</t>
        </is>
      </c>
      <c r="C1" s="13" t="inlineStr">
        <is>
          <t>What influenced your decision not to go?</t>
        </is>
      </c>
      <c r="D1" s="13" t="inlineStr">
        <is>
          <t>What would help change your decision to go?</t>
        </is>
      </c>
    </row>
    <row r="2">
      <c r="A2" t="inlineStr">
        <is>
          <t>No</t>
        </is>
      </c>
      <c r="B2" t="inlineStr"/>
      <c r="C2" t="inlineStr">
        <is>
          <t>Good for my son to go without me.</t>
        </is>
      </c>
      <c r="D2" t="inlineStr"/>
    </row>
    <row r="3">
      <c r="A3" t="inlineStr">
        <is>
          <t>No</t>
        </is>
      </c>
      <c r="B3" t="inlineStr"/>
      <c r="C3" t="inlineStr">
        <is>
          <t>Confidence in my kid</t>
        </is>
      </c>
      <c r="D3" t="inlineStr"/>
    </row>
    <row r="4">
      <c r="A4" t="inlineStr">
        <is>
          <t>No</t>
        </is>
      </c>
      <c r="B4" t="inlineStr"/>
      <c r="C4" t="inlineStr">
        <is>
          <t>Not needed</t>
        </is>
      </c>
      <c r="D4" t="inlineStr"/>
    </row>
    <row r="5">
      <c r="A5" t="inlineStr">
        <is>
          <t>No</t>
        </is>
      </c>
      <c r="B5" t="inlineStr"/>
      <c r="C5" t="inlineStr">
        <is>
          <t>I still have younger children to save for.</t>
        </is>
      </c>
      <c r="D5" t="inlineStr"/>
    </row>
    <row r="6">
      <c r="A6" t="inlineStr">
        <is>
          <t>No</t>
        </is>
      </c>
      <c r="B6" t="inlineStr"/>
      <c r="C6" t="inlineStr">
        <is>
          <t>I think it is better for him</t>
        </is>
      </c>
      <c r="D6" t="inlineStr"/>
    </row>
    <row r="7">
      <c r="A7" t="inlineStr">
        <is>
          <t>No</t>
        </is>
      </c>
      <c r="B7" t="inlineStr"/>
      <c r="C7" t="inlineStr">
        <is>
          <t>Want my son to have his own experience</t>
        </is>
      </c>
      <c r="D7" t="inlineStr"/>
    </row>
    <row r="8">
      <c r="A8" t="inlineStr">
        <is>
          <t>Yes</t>
        </is>
      </c>
      <c r="B8" t="inlineStr">
        <is>
          <t xml:space="preserve">I love teenagers, people in other cultures, and I love travel. </t>
        </is>
      </c>
      <c r="C8" t="inlineStr"/>
      <c r="D8" t="inlineStr"/>
    </row>
    <row r="9">
      <c r="A9" t="inlineStr">
        <is>
          <t>Yes</t>
        </is>
      </c>
      <c r="B9" t="inlineStr">
        <is>
          <t>My husband wanted someone to go with our daughter, but I also wanted to experience this piece of heaven. I love teenagers!</t>
        </is>
      </c>
      <c r="C9" t="inlineStr"/>
      <c r="D9" t="inlineStr"/>
    </row>
    <row r="10">
      <c r="A10" t="inlineStr">
        <is>
          <t>No</t>
        </is>
      </c>
      <c r="B10" t="inlineStr"/>
      <c r="C10" t="inlineStr">
        <is>
          <t xml:space="preserve">The cost. Would have loved to go as a parent but it just wasn’t in our budget </t>
        </is>
      </c>
      <c r="D10" t="inlineStr"/>
    </row>
    <row r="11">
      <c r="A11" t="inlineStr">
        <is>
          <t>No</t>
        </is>
      </c>
      <c r="B11" t="inlineStr"/>
      <c r="C11" t="inlineStr">
        <is>
          <t>Friends with experience</t>
        </is>
      </c>
      <c r="D11" t="inlineStr"/>
    </row>
    <row r="12">
      <c r="A12" t="inlineStr">
        <is>
          <t>Yes</t>
        </is>
      </c>
      <c r="B12" t="inlineStr">
        <is>
          <t>Could go with my son</t>
        </is>
      </c>
      <c r="C12" t="inlineStr"/>
      <c r="D12" t="inlineStr"/>
    </row>
    <row r="13">
      <c r="A13" t="inlineStr">
        <is>
          <t>No</t>
        </is>
      </c>
      <c r="B13" t="inlineStr"/>
      <c r="C13" t="inlineStr">
        <is>
          <t>Time away from work</t>
        </is>
      </c>
      <c r="D13" t="inlineStr"/>
    </row>
    <row r="14">
      <c r="A14" t="inlineStr">
        <is>
          <t>No</t>
        </is>
      </c>
      <c r="B14" t="inlineStr"/>
      <c r="C14" t="inlineStr">
        <is>
          <t>Thought my daughter would have a better experience with out me</t>
        </is>
      </c>
      <c r="D14" t="inlineStr"/>
    </row>
    <row r="15">
      <c r="A15" t="inlineStr">
        <is>
          <t>No</t>
        </is>
      </c>
      <c r="B15" t="inlineStr"/>
      <c r="C15" t="inlineStr"/>
      <c r="D15" t="inlineStr"/>
    </row>
    <row r="16">
      <c r="A16" t="inlineStr">
        <is>
          <t>No</t>
        </is>
      </c>
      <c r="B16" t="inlineStr"/>
      <c r="C16" t="inlineStr"/>
      <c r="D16" t="inlineStr"/>
    </row>
    <row r="17">
      <c r="A17" t="inlineStr">
        <is>
          <t>No</t>
        </is>
      </c>
      <c r="B17" t="inlineStr"/>
      <c r="C17" t="inlineStr">
        <is>
          <t xml:space="preserve">Our son needs an independent experience.  </t>
        </is>
      </c>
      <c r="D17" t="inlineStr"/>
    </row>
    <row r="18">
      <c r="A18" t="inlineStr">
        <is>
          <t>No</t>
        </is>
      </c>
      <c r="B18" t="inlineStr"/>
      <c r="C18" t="inlineStr">
        <is>
          <t xml:space="preserve">Money </t>
        </is>
      </c>
      <c r="D18" t="inlineStr"/>
    </row>
    <row r="19">
      <c r="A19" t="inlineStr">
        <is>
          <t>No</t>
        </is>
      </c>
      <c r="B19" t="inlineStr"/>
      <c r="C19" t="inlineStr">
        <is>
          <t xml:space="preserve">I have 4 other kiddos at home that need me </t>
        </is>
      </c>
      <c r="D19" t="inlineStr"/>
    </row>
    <row r="20">
      <c r="A20" t="inlineStr">
        <is>
          <t>No</t>
        </is>
      </c>
      <c r="B20" t="inlineStr"/>
      <c r="C20" t="inlineStr">
        <is>
          <t>cost</t>
        </is>
      </c>
      <c r="D20" t="inlineStr"/>
    </row>
    <row r="21">
      <c r="A21" t="inlineStr">
        <is>
          <t>No</t>
        </is>
      </c>
      <c r="B21" t="inlineStr"/>
      <c r="C21" t="inlineStr">
        <is>
          <t>my daughter does not want me to go</t>
        </is>
      </c>
      <c r="D21" t="inlineStr"/>
    </row>
    <row r="22">
      <c r="A22" t="inlineStr">
        <is>
          <t>No</t>
        </is>
      </c>
      <c r="B22" t="inlineStr"/>
      <c r="C22" t="inlineStr">
        <is>
          <t>Wanted my son to go alone</t>
        </is>
      </c>
      <c r="D22" t="inlineStr"/>
    </row>
    <row r="23">
      <c r="A23" t="inlineStr">
        <is>
          <t>No</t>
        </is>
      </c>
      <c r="B23" t="inlineStr"/>
      <c r="C23" t="inlineStr"/>
      <c r="D23" t="inlineStr"/>
    </row>
    <row r="24">
      <c r="A24" t="inlineStr">
        <is>
          <t>Yes</t>
        </is>
      </c>
      <c r="B24" t="inlineStr">
        <is>
          <t>My daughter asked me ro go</t>
        </is>
      </c>
      <c r="C24" t="inlineStr"/>
      <c r="D24" t="inlineStr"/>
    </row>
    <row r="25">
      <c r="A25" t="inlineStr">
        <is>
          <t>No</t>
        </is>
      </c>
      <c r="B25" t="inlineStr"/>
      <c r="C25" t="inlineStr">
        <is>
          <t>I want to fill up my time with something fun that makes me happy and is productive. I am also excited to experience the beauty of OBX</t>
        </is>
      </c>
      <c r="D25" t="inlineStr"/>
    </row>
    <row r="26">
      <c r="A26" t="inlineStr">
        <is>
          <t>No</t>
        </is>
      </c>
      <c r="B26" t="inlineStr"/>
      <c r="C26" t="inlineStr">
        <is>
          <t xml:space="preserve">My job and time off. I would really love to go another year. </t>
        </is>
      </c>
      <c r="D26" t="inlineStr"/>
    </row>
    <row r="27">
      <c r="A27" t="inlineStr">
        <is>
          <t>No</t>
        </is>
      </c>
      <c r="B27" t="inlineStr"/>
      <c r="C27" t="inlineStr">
        <is>
          <t>I wanted my daughter to have this experience on her own. I wanted her to rely on her group rather than me, to help her build stronger connections with other builders &amp; the trip leaders.</t>
        </is>
      </c>
      <c r="D27" t="inlineStr"/>
    </row>
    <row r="28">
      <c r="A28" t="inlineStr">
        <is>
          <t>No</t>
        </is>
      </c>
      <c r="B28" t="inlineStr"/>
      <c r="C28" t="inlineStr">
        <is>
          <t>Younger kids at home</t>
        </is>
      </c>
      <c r="D28" t="inlineStr"/>
    </row>
    <row r="29">
      <c r="A29" t="inlineStr">
        <is>
          <t>No</t>
        </is>
      </c>
      <c r="B29" t="inlineStr"/>
      <c r="C29" t="inlineStr">
        <is>
          <t>Daughter asked me not to go</t>
        </is>
      </c>
      <c r="D29" t="inlineStr"/>
    </row>
    <row r="30">
      <c r="A30" t="inlineStr">
        <is>
          <t>No</t>
        </is>
      </c>
      <c r="B30" t="inlineStr"/>
      <c r="C30" t="inlineStr">
        <is>
          <t xml:space="preserve">I really wanted to go, my son was cool with me going, but the Spirit said he needed to do this without me. </t>
        </is>
      </c>
      <c r="D30" t="inlineStr"/>
    </row>
    <row r="31">
      <c r="A31" t="inlineStr">
        <is>
          <t>No</t>
        </is>
      </c>
      <c r="B31" t="inlineStr"/>
      <c r="C31" t="inlineStr">
        <is>
          <t>Work schedule is not compatible with the HXP schedule.</t>
        </is>
      </c>
      <c r="D31" t="inlineStr"/>
    </row>
    <row r="32">
      <c r="A32" t="inlineStr">
        <is>
          <t>No</t>
        </is>
      </c>
      <c r="B32" t="inlineStr"/>
      <c r="C32" t="inlineStr">
        <is>
          <t xml:space="preserve">Cost &amp; time away from other kids, also excited for my son to do this without me </t>
        </is>
      </c>
      <c r="D32" t="inlineStr"/>
    </row>
    <row r="33">
      <c r="A33" t="inlineStr">
        <is>
          <t>Maybe</t>
        </is>
      </c>
      <c r="B33" t="inlineStr"/>
      <c r="C33" t="inlineStr"/>
      <c r="D33" t="inlineStr">
        <is>
          <t xml:space="preserve">Cost </t>
        </is>
      </c>
    </row>
    <row r="34">
      <c r="A34" t="inlineStr">
        <is>
          <t>No</t>
        </is>
      </c>
      <c r="B34" t="inlineStr"/>
      <c r="C34" t="inlineStr">
        <is>
          <t xml:space="preserve">Private time for him </t>
        </is>
      </c>
      <c r="D34" t="inlineStr"/>
    </row>
    <row r="35">
      <c r="A35" t="inlineStr">
        <is>
          <t>No</t>
        </is>
      </c>
      <c r="B35" t="inlineStr"/>
      <c r="C35" t="inlineStr">
        <is>
          <t xml:space="preserve">Work obligations </t>
        </is>
      </c>
      <c r="D35" t="inlineStr"/>
    </row>
    <row r="36">
      <c r="A36" t="inlineStr">
        <is>
          <t>No</t>
        </is>
      </c>
      <c r="B36" t="inlineStr"/>
      <c r="C36" t="inlineStr">
        <is>
          <t>My child wanted to go on her own.</t>
        </is>
      </c>
      <c r="D36" t="inlineStr"/>
    </row>
    <row r="37">
      <c r="A37" t="inlineStr">
        <is>
          <t>Yes</t>
        </is>
      </c>
      <c r="B37" t="inlineStr">
        <is>
          <t>Previous trips</t>
        </is>
      </c>
      <c r="C37" t="inlineStr"/>
      <c r="D37" t="inlineStr"/>
    </row>
    <row r="38">
      <c r="A38" t="inlineStr">
        <is>
          <t>No</t>
        </is>
      </c>
      <c r="B38" t="inlineStr"/>
      <c r="C38" t="inlineStr">
        <is>
          <t xml:space="preserve">Time/ son coming home from a mission </t>
        </is>
      </c>
      <c r="D38" t="inlineStr"/>
    </row>
    <row r="39">
      <c r="A39" t="inlineStr">
        <is>
          <t>Yes</t>
        </is>
      </c>
      <c r="B39" t="inlineStr">
        <is>
          <t xml:space="preserve">I have been before and love it. </t>
        </is>
      </c>
      <c r="C39" t="inlineStr"/>
      <c r="D39" t="inlineStr"/>
    </row>
    <row r="40">
      <c r="A40" t="inlineStr">
        <is>
          <t>Yes</t>
        </is>
      </c>
      <c r="B40" t="inlineStr">
        <is>
          <t>The Q&amp;A night</t>
        </is>
      </c>
      <c r="C40" t="inlineStr"/>
      <c r="D40" t="inlineStr"/>
    </row>
    <row r="41">
      <c r="A41" t="inlineStr">
        <is>
          <t>No</t>
        </is>
      </c>
      <c r="B41" t="inlineStr"/>
      <c r="C41" t="inlineStr">
        <is>
          <t>My husband is going as the male parent builder</t>
        </is>
      </c>
      <c r="D41" t="inlineStr"/>
    </row>
    <row r="42">
      <c r="A42" t="inlineStr">
        <is>
          <t>No</t>
        </is>
      </c>
      <c r="B42" t="inlineStr"/>
      <c r="C42" t="inlineStr">
        <is>
          <t>Time and money</t>
        </is>
      </c>
      <c r="D42" t="inlineStr"/>
    </row>
    <row r="43">
      <c r="A43" t="inlineStr">
        <is>
          <t>No</t>
        </is>
      </c>
      <c r="B43" t="inlineStr"/>
      <c r="C43" t="inlineStr"/>
      <c r="D43" t="inlineStr"/>
    </row>
    <row r="44">
      <c r="A44" t="inlineStr">
        <is>
          <t>No</t>
        </is>
      </c>
      <c r="B44" t="inlineStr"/>
      <c r="C44" t="inlineStr">
        <is>
          <t xml:space="preserve">Just the timing with life and having other kids at home. </t>
        </is>
      </c>
      <c r="D44" t="inlineStr"/>
    </row>
    <row r="45">
      <c r="A45" t="inlineStr">
        <is>
          <t>No</t>
        </is>
      </c>
      <c r="B45" t="inlineStr"/>
      <c r="C45" t="inlineStr">
        <is>
          <t xml:space="preserve">Other kids at home. </t>
        </is>
      </c>
      <c r="D45" t="inlineStr"/>
    </row>
    <row r="46">
      <c r="A46" t="inlineStr">
        <is>
          <t>No</t>
        </is>
      </c>
      <c r="B46" t="inlineStr"/>
      <c r="C46" t="inlineStr">
        <is>
          <t xml:space="preserve">I want my son To have this experience alone. </t>
        </is>
      </c>
      <c r="D46" t="inlineStr"/>
    </row>
    <row r="47">
      <c r="A47" t="inlineStr">
        <is>
          <t>No</t>
        </is>
      </c>
      <c r="B47" t="inlineStr"/>
      <c r="C47" t="inlineStr">
        <is>
          <t>Wanted my son to be on his own</t>
        </is>
      </c>
      <c r="D47" t="inlineStr"/>
    </row>
    <row r="48">
      <c r="A48" t="inlineStr">
        <is>
          <t>Maybe</t>
        </is>
      </c>
      <c r="B48" t="inlineStr"/>
      <c r="C48" t="inlineStr"/>
      <c r="D48" t="inlineStr">
        <is>
          <t xml:space="preserve">If it was less expensive </t>
        </is>
      </c>
    </row>
    <row r="49">
      <c r="A49" t="inlineStr">
        <is>
          <t>No</t>
        </is>
      </c>
      <c r="B49" t="inlineStr"/>
      <c r="C49" t="inlineStr">
        <is>
          <t xml:space="preserve">I wanted my daughter to have an experience where she needed to learn to rely on herself instead of her parents </t>
        </is>
      </c>
      <c r="D49" t="inlineStr"/>
    </row>
    <row r="50">
      <c r="A50" t="inlineStr">
        <is>
          <t>No</t>
        </is>
      </c>
      <c r="B50" t="inlineStr"/>
      <c r="C50" t="inlineStr">
        <is>
          <t xml:space="preserve">$$, otherwise, I’d love to go. We could only afford for our youth to go. </t>
        </is>
      </c>
      <c r="D50" t="inlineStr"/>
    </row>
    <row r="51">
      <c r="A51" t="inlineStr">
        <is>
          <t>No</t>
        </is>
      </c>
      <c r="B51" t="inlineStr"/>
      <c r="C51" t="inlineStr">
        <is>
          <t xml:space="preserve">I want my son to have an independent experience away from parents. </t>
        </is>
      </c>
      <c r="D51" t="inlineStr"/>
    </row>
    <row r="52">
      <c r="A52" t="inlineStr">
        <is>
          <t>No</t>
        </is>
      </c>
      <c r="B52" t="inlineStr"/>
      <c r="C52" t="inlineStr"/>
      <c r="D52" t="inlineStr"/>
    </row>
    <row r="53">
      <c r="A53" t="inlineStr">
        <is>
          <t>No</t>
        </is>
      </c>
      <c r="B53" t="inlineStr"/>
      <c r="C53" t="inlineStr">
        <is>
          <t xml:space="preserve">My husband and I have both been trip builders before. Our son wanted the experience of going without parents :) </t>
        </is>
      </c>
      <c r="D53" t="inlineStr"/>
    </row>
    <row r="54">
      <c r="A54" t="inlineStr">
        <is>
          <t>No</t>
        </is>
      </c>
      <c r="B54" t="inlineStr"/>
      <c r="C54" t="inlineStr">
        <is>
          <t xml:space="preserve">This is my son’s experience. He always has his parents in tow on church functions. </t>
        </is>
      </c>
      <c r="D54" t="inlineStr"/>
    </row>
    <row r="55">
      <c r="A55" t="inlineStr">
        <is>
          <t>No</t>
        </is>
      </c>
      <c r="B55" t="inlineStr"/>
      <c r="C55" t="inlineStr">
        <is>
          <t>My child wanted to go alone</t>
        </is>
      </c>
      <c r="D55" t="inlineStr"/>
    </row>
    <row r="56">
      <c r="A56" t="inlineStr">
        <is>
          <t>No</t>
        </is>
      </c>
      <c r="B56" t="inlineStr"/>
      <c r="C56" t="inlineStr">
        <is>
          <t>My child</t>
        </is>
      </c>
      <c r="D56" t="inlineStr"/>
    </row>
    <row r="57">
      <c r="A57" t="inlineStr">
        <is>
          <t>No</t>
        </is>
      </c>
      <c r="B57" t="inlineStr"/>
      <c r="C57" t="inlineStr">
        <is>
          <t xml:space="preserve">I think my daughter was excited to do this on her own - without her dad or I having to be part of it. </t>
        </is>
      </c>
      <c r="D57" t="inlineStr"/>
    </row>
    <row r="58">
      <c r="A58" t="inlineStr">
        <is>
          <t>No</t>
        </is>
      </c>
      <c r="B58" t="inlineStr"/>
      <c r="C58" t="inlineStr">
        <is>
          <t xml:space="preserve">Timing &amp; cost </t>
        </is>
      </c>
      <c r="D58" t="inlineStr"/>
    </row>
    <row r="59">
      <c r="A59" t="inlineStr">
        <is>
          <t>No</t>
        </is>
      </c>
      <c r="B59" t="inlineStr"/>
      <c r="C59" t="inlineStr">
        <is>
          <t>The expense</t>
        </is>
      </c>
      <c r="D59" t="inlineStr"/>
    </row>
    <row r="60">
      <c r="A60" t="inlineStr">
        <is>
          <t>No</t>
        </is>
      </c>
      <c r="B60" t="inlineStr"/>
      <c r="C60" t="inlineStr">
        <is>
          <t xml:space="preserve">My daughter really wanted to have an independent experience and go on her own. </t>
        </is>
      </c>
      <c r="D60" t="inlineStr"/>
    </row>
    <row r="61">
      <c r="A61" t="inlineStr">
        <is>
          <t>No</t>
        </is>
      </c>
      <c r="B61" t="inlineStr"/>
      <c r="C61" t="inlineStr">
        <is>
          <t xml:space="preserve">Wanting to let my son have his own experience </t>
        </is>
      </c>
      <c r="D61" t="inlineStr"/>
    </row>
    <row r="62">
      <c r="A62" t="inlineStr">
        <is>
          <t>No</t>
        </is>
      </c>
      <c r="B62" t="inlineStr"/>
      <c r="C62" t="inlineStr">
        <is>
          <t>Time and money</t>
        </is>
      </c>
      <c r="D62" t="inlineStr"/>
    </row>
    <row r="63">
      <c r="A63" t="inlineStr">
        <is>
          <t>No</t>
        </is>
      </c>
      <c r="B63" t="inlineStr"/>
      <c r="C63" t="inlineStr">
        <is>
          <t>Price</t>
        </is>
      </c>
      <c r="D63" t="inlineStr"/>
    </row>
    <row r="64">
      <c r="A64" t="inlineStr">
        <is>
          <t>No</t>
        </is>
      </c>
      <c r="B64" t="inlineStr"/>
      <c r="C64" t="inlineStr">
        <is>
          <t xml:space="preserve">Availability </t>
        </is>
      </c>
      <c r="D64" t="inlineStr"/>
    </row>
    <row r="65">
      <c r="A65" t="inlineStr">
        <is>
          <t>Maybe</t>
        </is>
      </c>
      <c r="B65" t="inlineStr"/>
      <c r="C65" t="inlineStr"/>
      <c r="D65" t="inlineStr"/>
    </row>
    <row r="66">
      <c r="A66" t="inlineStr">
        <is>
          <t>No</t>
        </is>
      </c>
      <c r="B66" t="inlineStr"/>
      <c r="C66" t="inlineStr"/>
      <c r="D66" t="inlineStr"/>
    </row>
    <row r="67">
      <c r="A67" t="inlineStr">
        <is>
          <t>No</t>
        </is>
      </c>
      <c r="B67" t="inlineStr"/>
      <c r="C67" t="inlineStr">
        <is>
          <t xml:space="preserve">My little kids at home. </t>
        </is>
      </c>
      <c r="D67" t="inlineStr"/>
    </row>
    <row r="68">
      <c r="A68" t="inlineStr">
        <is>
          <t>No</t>
        </is>
      </c>
      <c r="B68" t="inlineStr"/>
      <c r="C68" t="inlineStr">
        <is>
          <t>My child wanted to go alone and I have younger children</t>
        </is>
      </c>
      <c r="D68" t="inlineStr"/>
    </row>
    <row r="69">
      <c r="A69" t="inlineStr">
        <is>
          <t>No</t>
        </is>
      </c>
      <c r="B69" t="inlineStr"/>
      <c r="C69" t="inlineStr">
        <is>
          <t xml:space="preserve">Time away from work and wanted son to have his own experience. </t>
        </is>
      </c>
      <c r="D69" t="inlineStr"/>
    </row>
    <row r="70">
      <c r="A70" t="inlineStr">
        <is>
          <t>Yes</t>
        </is>
      </c>
      <c r="B70" t="inlineStr">
        <is>
          <t xml:space="preserve">My wife went with our son last year. </t>
        </is>
      </c>
      <c r="C70" t="inlineStr"/>
      <c r="D70" t="inlineStr"/>
    </row>
    <row r="71">
      <c r="A71" t="inlineStr">
        <is>
          <t>No</t>
        </is>
      </c>
      <c r="B71" t="inlineStr"/>
      <c r="C71" t="inlineStr">
        <is>
          <t xml:space="preserve">Wanted my daughter to have as much autonomy while on her trip. </t>
        </is>
      </c>
      <c r="D71" t="inlineStr"/>
    </row>
    <row r="72">
      <c r="A72" t="inlineStr">
        <is>
          <t>Yes</t>
        </is>
      </c>
      <c r="B72" t="inlineStr">
        <is>
          <t xml:space="preserve">Desire to spend time with my daughter doing something important, memorable and impactful. </t>
        </is>
      </c>
      <c r="C72" t="inlineStr"/>
      <c r="D72" t="inlineStr"/>
    </row>
    <row r="73">
      <c r="A73" t="inlineStr">
        <is>
          <t>No</t>
        </is>
      </c>
      <c r="B73" t="inlineStr"/>
      <c r="C73" t="inlineStr">
        <is>
          <t>Work obligations</t>
        </is>
      </c>
      <c r="D73" t="inlineStr"/>
    </row>
    <row r="74">
      <c r="A74" t="inlineStr">
        <is>
          <t>No</t>
        </is>
      </c>
      <c r="B74" t="inlineStr"/>
      <c r="C74" t="inlineStr">
        <is>
          <t>Work</t>
        </is>
      </c>
      <c r="D74" t="inlineStr"/>
    </row>
    <row r="75">
      <c r="A75" t="inlineStr">
        <is>
          <t>No</t>
        </is>
      </c>
      <c r="B75" t="inlineStr"/>
      <c r="C75" t="inlineStr">
        <is>
          <t xml:space="preserve">My child needed to do this without a parent </t>
        </is>
      </c>
      <c r="D75" t="inlineStr"/>
    </row>
    <row r="76">
      <c r="A76" t="inlineStr">
        <is>
          <t>No</t>
        </is>
      </c>
      <c r="B76" t="inlineStr"/>
      <c r="C76" t="inlineStr">
        <is>
          <t>I don’t enjoy being responsible for other people’s kids</t>
        </is>
      </c>
      <c r="D76" t="inlineStr"/>
    </row>
    <row r="77">
      <c r="A77" t="inlineStr">
        <is>
          <t>Yes</t>
        </is>
      </c>
      <c r="B77" t="inlineStr">
        <is>
          <t>Desire to spend time with my son and to have an adventure.</t>
        </is>
      </c>
      <c r="C77" t="inlineStr"/>
      <c r="D77" t="inlineStr"/>
    </row>
    <row r="78">
      <c r="A78" t="inlineStr">
        <is>
          <t>No</t>
        </is>
      </c>
      <c r="B78" t="inlineStr"/>
      <c r="C78" t="inlineStr"/>
      <c r="D78" t="inlineStr"/>
    </row>
    <row r="79">
      <c r="A79" t="inlineStr">
        <is>
          <t>No</t>
        </is>
      </c>
      <c r="B79" t="inlineStr"/>
      <c r="C79" t="inlineStr">
        <is>
          <t>My daughter didn't want us to go</t>
        </is>
      </c>
      <c r="D79" t="inlineStr"/>
    </row>
    <row r="80">
      <c r="A80" t="inlineStr">
        <is>
          <t>No</t>
        </is>
      </c>
      <c r="B80" t="inlineStr"/>
      <c r="C80" t="inlineStr">
        <is>
          <t>Personally not adventurous and comfortable</t>
        </is>
      </c>
      <c r="D80" t="inlineStr"/>
    </row>
    <row r="81">
      <c r="A81" t="inlineStr">
        <is>
          <t>Yes</t>
        </is>
      </c>
      <c r="B81" t="inlineStr">
        <is>
          <t xml:space="preserve">I wanted my son to go, and there was not a spot for him. The spot was freed up when I agreed to go as a parent builder. And I have a brother-in-law who went as a parent builder and had nothing but fantastic things to say about his experience. </t>
        </is>
      </c>
      <c r="C81" t="inlineStr"/>
      <c r="D81" t="inlineStr"/>
    </row>
    <row r="82">
      <c r="A82" t="inlineStr">
        <is>
          <t>No</t>
        </is>
      </c>
      <c r="B82" t="inlineStr"/>
      <c r="C82" t="inlineStr">
        <is>
          <t>We thought it would be a better experience for him to go alone</t>
        </is>
      </c>
      <c r="D82" t="inlineStr"/>
    </row>
    <row r="83">
      <c r="A83" t="inlineStr">
        <is>
          <t>No</t>
        </is>
      </c>
      <c r="B83" t="inlineStr"/>
      <c r="C83" t="inlineStr">
        <is>
          <t>Big church callings have required us to always be at camps and other activities for our children.  Our son needs a chance to be able to go out and experience life on his own without mom and dad there.</t>
        </is>
      </c>
      <c r="D83" t="inlineStr"/>
    </row>
    <row r="84">
      <c r="A84" t="inlineStr">
        <is>
          <t>No</t>
        </is>
      </c>
      <c r="B84" t="inlineStr"/>
      <c r="C84" t="inlineStr">
        <is>
          <t xml:space="preserve">Busy schedule </t>
        </is>
      </c>
      <c r="D84" t="inlineStr"/>
    </row>
    <row r="85">
      <c r="A85" t="inlineStr">
        <is>
          <t>No</t>
        </is>
      </c>
      <c r="B85" t="inlineStr"/>
      <c r="C85" t="inlineStr">
        <is>
          <t>can't make it work with kids at home</t>
        </is>
      </c>
      <c r="D85" t="inlineStr"/>
    </row>
    <row r="86">
      <c r="A86" t="inlineStr">
        <is>
          <t>No</t>
        </is>
      </c>
      <c r="B86" t="inlineStr"/>
      <c r="C86" t="inlineStr">
        <is>
          <t>We wanted our daughter to have an experience on her own, I have been at every camp etc she has been to. :)</t>
        </is>
      </c>
      <c r="D86" t="inlineStr"/>
    </row>
    <row r="87">
      <c r="A87" t="inlineStr">
        <is>
          <t>No</t>
        </is>
      </c>
      <c r="B87" t="inlineStr"/>
      <c r="C87" t="inlineStr">
        <is>
          <t>Other kids at home</t>
        </is>
      </c>
      <c r="D87" t="inlineStr"/>
    </row>
    <row r="88">
      <c r="A88" t="inlineStr">
        <is>
          <t>No</t>
        </is>
      </c>
      <c r="B88" t="inlineStr"/>
      <c r="C88" t="inlineStr">
        <is>
          <t>Not the right season of my life.  I still have little kids at home.  I also think for my particular child she will have a better experience on her own.</t>
        </is>
      </c>
      <c r="D88" t="inlineStr"/>
    </row>
    <row r="89">
      <c r="A89" t="inlineStr">
        <is>
          <t>No</t>
        </is>
      </c>
      <c r="B89" t="inlineStr"/>
      <c r="C89" t="inlineStr">
        <is>
          <t xml:space="preserve">Sibling had a great experience </t>
        </is>
      </c>
      <c r="D89" t="inlineStr"/>
    </row>
    <row r="90">
      <c r="A90" t="inlineStr">
        <is>
          <t>No</t>
        </is>
      </c>
      <c r="B90" t="inlineStr"/>
      <c r="C90" t="inlineStr">
        <is>
          <t xml:space="preserve">Money. Also our child needs to learn to do things without his parents there. </t>
        </is>
      </c>
      <c r="D90" t="inlineStr"/>
    </row>
    <row r="91">
      <c r="A91" t="inlineStr">
        <is>
          <t>No</t>
        </is>
      </c>
      <c r="B91" t="inlineStr"/>
      <c r="C91" t="inlineStr">
        <is>
          <t>To the parent expo?  I must not have been paying attention because I didn't know about it.</t>
        </is>
      </c>
      <c r="D91" t="inlineStr"/>
    </row>
    <row r="92">
      <c r="A92" t="inlineStr">
        <is>
          <t>No</t>
        </is>
      </c>
      <c r="B92" t="inlineStr"/>
      <c r="C92" t="inlineStr">
        <is>
          <t xml:space="preserve">I want my son to learn that he can be independent of me and have his own experience </t>
        </is>
      </c>
      <c r="D92" t="inlineStr"/>
    </row>
    <row r="93">
      <c r="A93" t="inlineStr">
        <is>
          <t>No</t>
        </is>
      </c>
      <c r="B93" t="inlineStr"/>
      <c r="C93" t="inlineStr">
        <is>
          <t xml:space="preserve">I wanted my daughter to have an independent experience </t>
        </is>
      </c>
      <c r="D93" t="inlineStr"/>
    </row>
    <row r="94">
      <c r="A94" t="inlineStr">
        <is>
          <t>Yes</t>
        </is>
      </c>
      <c r="B94" t="inlineStr">
        <is>
          <t>My daughter wouldn't go with me</t>
        </is>
      </c>
      <c r="C94" t="inlineStr"/>
      <c r="D94" t="inlineStr"/>
    </row>
    <row r="95">
      <c r="A95" t="inlineStr">
        <is>
          <t>No</t>
        </is>
      </c>
      <c r="B95" t="inlineStr"/>
      <c r="C95" t="inlineStr">
        <is>
          <t>learning to know and serve people who are having a different life experience from us.</t>
        </is>
      </c>
      <c r="D95" t="inlineStr"/>
    </row>
    <row r="96">
      <c r="A96" t="inlineStr">
        <is>
          <t>No</t>
        </is>
      </c>
      <c r="B96" t="inlineStr"/>
      <c r="C96" t="inlineStr">
        <is>
          <t>cost and family responsibility at home</t>
        </is>
      </c>
      <c r="D96" t="inlineStr"/>
    </row>
    <row r="97">
      <c r="A97" t="inlineStr">
        <is>
          <t>No</t>
        </is>
      </c>
      <c r="B97" t="inlineStr"/>
      <c r="C97" t="inlineStr">
        <is>
          <t>Cost mainly. Also, we want our child to have an experience away from family.</t>
        </is>
      </c>
      <c r="D97" t="inlineStr"/>
    </row>
    <row r="98">
      <c r="A98" t="inlineStr">
        <is>
          <t>No</t>
        </is>
      </c>
      <c r="B98" t="inlineStr"/>
      <c r="C98" t="inlineStr">
        <is>
          <t>My husband is going with our daughter instead</t>
        </is>
      </c>
      <c r="D98" t="inlineStr"/>
    </row>
    <row r="99">
      <c r="A99" t="inlineStr">
        <is>
          <t>No</t>
        </is>
      </c>
      <c r="B99" t="inlineStr"/>
      <c r="C99" t="inlineStr">
        <is>
          <t>Time</t>
        </is>
      </c>
      <c r="D99" t="inlineStr"/>
    </row>
    <row r="100">
      <c r="A100" t="inlineStr">
        <is>
          <t>No</t>
        </is>
      </c>
      <c r="B100" t="inlineStr"/>
      <c r="C100" t="inlineStr">
        <is>
          <t>money and time</t>
        </is>
      </c>
      <c r="D100" t="inlineStr"/>
    </row>
    <row r="101">
      <c r="A101" t="inlineStr">
        <is>
          <t>No</t>
        </is>
      </c>
      <c r="B101" t="inlineStr"/>
      <c r="C101" t="inlineStr">
        <is>
          <t xml:space="preserve">I want my son to experience being away from his parents and make connections, make decisions and be his own person on the trip. </t>
        </is>
      </c>
      <c r="D101" t="inlineStr"/>
    </row>
    <row r="102">
      <c r="A102" t="inlineStr">
        <is>
          <t>No</t>
        </is>
      </c>
      <c r="B102" t="inlineStr"/>
      <c r="C102" t="inlineStr">
        <is>
          <t>Too many kids back home to take care of.</t>
        </is>
      </c>
      <c r="D102" t="inlineStr"/>
    </row>
    <row r="103">
      <c r="A103" t="inlineStr">
        <is>
          <t>No</t>
        </is>
      </c>
      <c r="B103" t="inlineStr"/>
      <c r="C103" t="inlineStr">
        <is>
          <t>Time commitment, availability, and I want my son to have an experience away from me</t>
        </is>
      </c>
      <c r="D103" t="inlineStr"/>
    </row>
    <row r="104">
      <c r="A104" t="inlineStr">
        <is>
          <t>No</t>
        </is>
      </c>
      <c r="B104" t="inlineStr"/>
      <c r="C104" t="inlineStr">
        <is>
          <t>Costs. My husband went before and loved it. If it wasn’t so expensive I would have gone!</t>
        </is>
      </c>
      <c r="D104" t="inlineStr"/>
    </row>
    <row r="105">
      <c r="A105" t="inlineStr">
        <is>
          <t>No</t>
        </is>
      </c>
      <c r="B105" t="inlineStr"/>
      <c r="C105" t="inlineStr">
        <is>
          <t>I’m not good with teenagers</t>
        </is>
      </c>
      <c r="D105" t="inlineStr"/>
    </row>
    <row r="106">
      <c r="A106" t="inlineStr">
        <is>
          <t>No</t>
        </is>
      </c>
      <c r="B106" t="inlineStr"/>
      <c r="C106" t="inlineStr">
        <is>
          <t xml:space="preserve">I think the experience will be fuller without mom or dad there. </t>
        </is>
      </c>
      <c r="D106" t="inlineStr"/>
    </row>
    <row r="107">
      <c r="A107" t="inlineStr">
        <is>
          <t>Yes</t>
        </is>
      </c>
      <c r="B107" t="inlineStr">
        <is>
          <t>The destination country and the service opportunity</t>
        </is>
      </c>
      <c r="C107" t="inlineStr"/>
      <c r="D107" t="inlineStr"/>
    </row>
    <row r="108">
      <c r="A108" t="inlineStr">
        <is>
          <t>No</t>
        </is>
      </c>
      <c r="B108" t="inlineStr"/>
      <c r="C108" t="inlineStr">
        <is>
          <t>Work</t>
        </is>
      </c>
      <c r="D108" t="inlineStr"/>
    </row>
    <row r="109">
      <c r="A109" t="inlineStr">
        <is>
          <t>No</t>
        </is>
      </c>
      <c r="B109" t="inlineStr"/>
      <c r="C109" t="inlineStr">
        <is>
          <t xml:space="preserve">Money </t>
        </is>
      </c>
      <c r="D109" t="inlineStr"/>
    </row>
    <row r="110">
      <c r="A110" t="inlineStr">
        <is>
          <t>Maybe</t>
        </is>
      </c>
      <c r="B110" t="inlineStr"/>
      <c r="C110" t="inlineStr"/>
      <c r="D110" t="inlineStr">
        <is>
          <t xml:space="preserve">Cost and destination choice. </t>
        </is>
      </c>
    </row>
    <row r="111">
      <c r="A111" t="inlineStr">
        <is>
          <t>No</t>
        </is>
      </c>
      <c r="B111" t="inlineStr"/>
      <c r="C111" t="inlineStr"/>
      <c r="D111" t="inlineStr"/>
    </row>
    <row r="112">
      <c r="A112" t="inlineStr">
        <is>
          <t>No</t>
        </is>
      </c>
      <c r="B112" t="inlineStr"/>
      <c r="C112" t="inlineStr">
        <is>
          <t>Mostly financial… also wanted her to get to do something independently</t>
        </is>
      </c>
      <c r="D112" t="inlineStr"/>
    </row>
    <row r="113">
      <c r="A113" t="inlineStr">
        <is>
          <t>No</t>
        </is>
      </c>
      <c r="B113" t="inlineStr"/>
      <c r="C113" t="inlineStr">
        <is>
          <t>Felt my daughter needed the chance to go out on her own</t>
        </is>
      </c>
      <c r="D113" t="inlineStr"/>
    </row>
    <row r="114">
      <c r="A114" t="inlineStr">
        <is>
          <t>Yes</t>
        </is>
      </c>
      <c r="B114" t="inlineStr">
        <is>
          <t xml:space="preserve">My sibling went. Health concerns for my child. </t>
        </is>
      </c>
      <c r="C114" t="inlineStr"/>
      <c r="D114" t="inlineStr"/>
    </row>
    <row r="115">
      <c r="A115" t="inlineStr">
        <is>
          <t>No</t>
        </is>
      </c>
      <c r="B115" t="inlineStr"/>
      <c r="C115" t="inlineStr">
        <is>
          <t xml:space="preserve">My daughter wanted this to be her experience.  </t>
        </is>
      </c>
      <c r="D115" t="inlineStr"/>
    </row>
    <row r="116">
      <c r="A116" t="inlineStr">
        <is>
          <t>No</t>
        </is>
      </c>
      <c r="B116" t="inlineStr"/>
      <c r="C116" t="inlineStr"/>
      <c r="D116" t="inlineStr"/>
    </row>
    <row r="117">
      <c r="A117" t="inlineStr">
        <is>
          <t>No</t>
        </is>
      </c>
      <c r="B117" t="inlineStr"/>
      <c r="C117" t="inlineStr">
        <is>
          <t>I have other kids at home and too many obligations to leave</t>
        </is>
      </c>
      <c r="D117" t="inlineStr"/>
    </row>
    <row r="118">
      <c r="A118" t="inlineStr">
        <is>
          <t>No</t>
        </is>
      </c>
      <c r="B118" t="inlineStr"/>
      <c r="C118" t="inlineStr">
        <is>
          <t>cost</t>
        </is>
      </c>
      <c r="D118" t="inlineStr"/>
    </row>
    <row r="119">
      <c r="A119" t="inlineStr">
        <is>
          <t>No</t>
        </is>
      </c>
      <c r="B119" t="inlineStr"/>
      <c r="C119" t="inlineStr">
        <is>
          <t xml:space="preserve">Child wants to be independent and want to give them that opportunity. </t>
        </is>
      </c>
      <c r="D119" t="inlineStr"/>
    </row>
    <row r="120">
      <c r="A120" t="inlineStr">
        <is>
          <t>No</t>
        </is>
      </c>
      <c r="B120" t="inlineStr"/>
      <c r="C120" t="inlineStr"/>
      <c r="D120" t="inlineStr"/>
    </row>
    <row r="121">
      <c r="A121" t="inlineStr">
        <is>
          <t>No</t>
        </is>
      </c>
      <c r="B121" t="inlineStr"/>
      <c r="C121" t="inlineStr">
        <is>
          <t>Money.</t>
        </is>
      </c>
      <c r="D121" t="inlineStr"/>
    </row>
    <row r="122">
      <c r="A122" t="inlineStr">
        <is>
          <t>No</t>
        </is>
      </c>
      <c r="B122" t="inlineStr"/>
      <c r="C122" t="inlineStr"/>
      <c r="D122" t="inlineStr"/>
    </row>
    <row r="123">
      <c r="A123" t="inlineStr">
        <is>
          <t>No</t>
        </is>
      </c>
      <c r="B123" t="inlineStr"/>
      <c r="C123" t="inlineStr">
        <is>
          <t>Work and family responsibilities</t>
        </is>
      </c>
      <c r="D123" t="inlineStr"/>
    </row>
    <row r="124">
      <c r="A124" t="inlineStr">
        <is>
          <t>No</t>
        </is>
      </c>
      <c r="B124" t="inlineStr"/>
      <c r="C124" t="inlineStr">
        <is>
          <t>the price was the main factor</t>
        </is>
      </c>
      <c r="D124" t="inlineStr"/>
    </row>
    <row r="125">
      <c r="A125" t="inlineStr">
        <is>
          <t>Yes</t>
        </is>
      </c>
      <c r="B125" t="inlineStr">
        <is>
          <t xml:space="preserve">My son and wife asked me if I would like to participate as a Parent Builder... You don't say No to that kind of invitation... I was on it! </t>
        </is>
      </c>
      <c r="C125" t="inlineStr"/>
      <c r="D125" t="inlineStr"/>
    </row>
    <row r="126">
      <c r="A126" t="inlineStr">
        <is>
          <t>No</t>
        </is>
      </c>
      <c r="B126" t="inlineStr"/>
      <c r="C126" t="inlineStr">
        <is>
          <t xml:space="preserve">Money and letting my daughter have her own experience </t>
        </is>
      </c>
      <c r="D126" t="inlineStr"/>
    </row>
    <row r="127">
      <c r="A127" t="inlineStr">
        <is>
          <t>Maybe</t>
        </is>
      </c>
      <c r="B127" t="inlineStr"/>
      <c r="C127" t="inlineStr"/>
      <c r="D127" t="inlineStr"/>
    </row>
    <row r="128">
      <c r="A128" t="inlineStr">
        <is>
          <t>No</t>
        </is>
      </c>
      <c r="B128" t="inlineStr"/>
      <c r="C128" t="inlineStr">
        <is>
          <t xml:space="preserve">My daughter didn’t want me to go with her </t>
        </is>
      </c>
      <c r="D128" t="inlineStr"/>
    </row>
    <row r="129">
      <c r="A129" t="inlineStr">
        <is>
          <t>No</t>
        </is>
      </c>
      <c r="B129" t="inlineStr"/>
      <c r="C129" t="inlineStr">
        <is>
          <t>My daughter did not want me to go</t>
        </is>
      </c>
      <c r="D129" t="inlineStr"/>
    </row>
    <row r="130">
      <c r="A130" t="inlineStr">
        <is>
          <t>No</t>
        </is>
      </c>
      <c r="B130" t="inlineStr"/>
      <c r="C130" t="inlineStr">
        <is>
          <t>Mom was already full</t>
        </is>
      </c>
      <c r="D130" t="inlineStr"/>
    </row>
    <row r="131">
      <c r="A131" t="inlineStr">
        <is>
          <t>No</t>
        </is>
      </c>
      <c r="B131" t="inlineStr"/>
      <c r="C131" t="inlineStr">
        <is>
          <t xml:space="preserve">Cost of the trip was too expensive for both of us to go </t>
        </is>
      </c>
      <c r="D131" t="inlineStr"/>
    </row>
    <row r="132">
      <c r="A132" t="inlineStr">
        <is>
          <t>Yes</t>
        </is>
      </c>
      <c r="B132" t="inlineStr">
        <is>
          <t xml:space="preserve">I love to travel and love what HXP does to help. </t>
        </is>
      </c>
      <c r="C132" t="inlineStr"/>
      <c r="D132" t="inlineStr"/>
    </row>
    <row r="133">
      <c r="A133" t="inlineStr">
        <is>
          <t>No</t>
        </is>
      </c>
      <c r="B133" t="inlineStr"/>
      <c r="C133" t="inlineStr">
        <is>
          <t>Cost</t>
        </is>
      </c>
      <c r="D133" t="inlineStr"/>
    </row>
    <row r="134">
      <c r="A134" t="inlineStr">
        <is>
          <t>No</t>
        </is>
      </c>
      <c r="B134" t="inlineStr"/>
      <c r="C134" t="inlineStr">
        <is>
          <t xml:space="preserve">3 other kids at home </t>
        </is>
      </c>
      <c r="D134" t="inlineStr"/>
    </row>
    <row r="135">
      <c r="A135" t="inlineStr">
        <is>
          <t>No</t>
        </is>
      </c>
      <c r="B135" t="inlineStr"/>
      <c r="C135" t="inlineStr"/>
      <c r="D135" t="inlineStr"/>
    </row>
    <row r="136">
      <c r="A136" t="inlineStr">
        <is>
          <t>No</t>
        </is>
      </c>
      <c r="B136" t="inlineStr"/>
      <c r="C136" t="inlineStr">
        <is>
          <t>Additional Cost</t>
        </is>
      </c>
      <c r="D136" t="inlineStr"/>
    </row>
    <row r="137">
      <c r="A137" t="inlineStr">
        <is>
          <t>No</t>
        </is>
      </c>
      <c r="B137" t="inlineStr"/>
      <c r="C137" t="inlineStr">
        <is>
          <t xml:space="preserve">Not enough vacation time </t>
        </is>
      </c>
      <c r="D137" t="inlineStr"/>
    </row>
    <row r="138">
      <c r="A138" t="inlineStr">
        <is>
          <t>No</t>
        </is>
      </c>
      <c r="B138" t="inlineStr"/>
      <c r="C138" t="inlineStr">
        <is>
          <t>Time availability.  Two working parents don’t have time available off work to commit to such a big trip.</t>
        </is>
      </c>
      <c r="D138" t="inlineStr"/>
    </row>
    <row r="139">
      <c r="A139" t="inlineStr">
        <is>
          <t>No</t>
        </is>
      </c>
      <c r="B139" t="inlineStr"/>
      <c r="C139" t="inlineStr">
        <is>
          <t>Other commitments and wanting to give son space</t>
        </is>
      </c>
      <c r="D139" t="inlineStr"/>
    </row>
    <row r="140">
      <c r="A140" t="inlineStr">
        <is>
          <t>No</t>
        </is>
      </c>
      <c r="B140" t="inlineStr"/>
      <c r="C140" t="inlineStr"/>
      <c r="D140" t="inlineStr"/>
    </row>
    <row r="141">
      <c r="A141" t="inlineStr">
        <is>
          <t>No</t>
        </is>
      </c>
      <c r="B141" t="inlineStr"/>
      <c r="C141" t="inlineStr">
        <is>
          <t>Cost</t>
        </is>
      </c>
      <c r="D141" t="inlineStr"/>
    </row>
    <row r="142">
      <c r="A142" t="inlineStr">
        <is>
          <t>No</t>
        </is>
      </c>
      <c r="B142" t="inlineStr"/>
      <c r="C142" t="inlineStr">
        <is>
          <t>my child</t>
        </is>
      </c>
      <c r="D142" t="inlineStr"/>
    </row>
    <row r="143">
      <c r="A143" t="inlineStr">
        <is>
          <t>No</t>
        </is>
      </c>
      <c r="B143" t="inlineStr"/>
      <c r="C143" t="inlineStr">
        <is>
          <t xml:space="preserve">I have 6 younger children at home </t>
        </is>
      </c>
      <c r="D143" t="inlineStr"/>
    </row>
    <row r="144">
      <c r="A144" t="inlineStr">
        <is>
          <t>No</t>
        </is>
      </c>
      <c r="B144" t="inlineStr"/>
      <c r="C144" t="inlineStr">
        <is>
          <t>Cost</t>
        </is>
      </c>
      <c r="D144" t="inlineStr"/>
    </row>
    <row r="145">
      <c r="A145" t="inlineStr">
        <is>
          <t>No</t>
        </is>
      </c>
      <c r="B145" t="inlineStr"/>
      <c r="C145" t="inlineStr">
        <is>
          <t xml:space="preserve">Daughter wanted to go alone. </t>
        </is>
      </c>
      <c r="D145" t="inlineStr"/>
    </row>
    <row r="146">
      <c r="A146" t="inlineStr">
        <is>
          <t>Yes</t>
        </is>
      </c>
      <c r="B146" t="inlineStr">
        <is>
          <t>I’m impressed by the HXP program and know we’ll be in good hands.</t>
        </is>
      </c>
      <c r="C146" t="inlineStr"/>
      <c r="D146" t="inlineStr"/>
    </row>
    <row r="147">
      <c r="A147" t="inlineStr">
        <is>
          <t>No</t>
        </is>
      </c>
      <c r="B147" t="inlineStr"/>
      <c r="C147" t="inlineStr">
        <is>
          <t>My child wouldn't want me there</t>
        </is>
      </c>
      <c r="D147" t="inlineStr"/>
    </row>
    <row r="148">
      <c r="A148" t="inlineStr">
        <is>
          <t>No</t>
        </is>
      </c>
      <c r="B148" t="inlineStr"/>
      <c r="C148" t="inlineStr">
        <is>
          <t>My kids. They didn't want me to go. They wanted to experience it themselves without me getting a birds eye view.</t>
        </is>
      </c>
      <c r="D148" t="inlineStr"/>
    </row>
    <row r="149">
      <c r="A149" t="inlineStr">
        <is>
          <t>No</t>
        </is>
      </c>
      <c r="B149" t="inlineStr"/>
      <c r="C149" t="inlineStr">
        <is>
          <t>Money and time</t>
        </is>
      </c>
      <c r="D149" t="inlineStr"/>
    </row>
    <row r="150">
      <c r="A150" t="inlineStr">
        <is>
          <t>No</t>
        </is>
      </c>
      <c r="B150" t="inlineStr"/>
      <c r="C150" t="inlineStr">
        <is>
          <t>Our daughter didn’t want us to go with her =)</t>
        </is>
      </c>
      <c r="D150" t="inlineStr"/>
    </row>
    <row r="151">
      <c r="A151" t="inlineStr">
        <is>
          <t>No</t>
        </is>
      </c>
      <c r="B151" t="inlineStr"/>
      <c r="C151" t="inlineStr">
        <is>
          <t>schedule with work</t>
        </is>
      </c>
      <c r="D151" t="inlineStr"/>
    </row>
    <row r="152">
      <c r="A152" t="inlineStr">
        <is>
          <t>No</t>
        </is>
      </c>
      <c r="B152" t="inlineStr"/>
      <c r="C152" t="inlineStr">
        <is>
          <t xml:space="preserve">Other obligations at home </t>
        </is>
      </c>
      <c r="D152" t="inlineStr"/>
    </row>
    <row r="153">
      <c r="A153" t="inlineStr">
        <is>
          <t>No</t>
        </is>
      </c>
      <c r="B153" t="inlineStr"/>
      <c r="C153" t="inlineStr">
        <is>
          <t>Health issues, other children at home</t>
        </is>
      </c>
      <c r="D153" t="inlineStr"/>
    </row>
    <row r="154">
      <c r="A154" t="inlineStr">
        <is>
          <t>No</t>
        </is>
      </c>
      <c r="B154" t="inlineStr"/>
      <c r="C154" t="inlineStr">
        <is>
          <t>Time and $ and expired passport</t>
        </is>
      </c>
      <c r="D154" t="inlineStr"/>
    </row>
    <row r="155">
      <c r="A155" t="inlineStr">
        <is>
          <t>No</t>
        </is>
      </c>
      <c r="B155" t="inlineStr"/>
      <c r="C155" t="inlineStr">
        <is>
          <t>Time</t>
        </is>
      </c>
      <c r="D155" t="inlineStr"/>
    </row>
    <row r="156">
      <c r="A156" t="inlineStr">
        <is>
          <t>No</t>
        </is>
      </c>
      <c r="B156" t="inlineStr"/>
      <c r="C156" t="inlineStr">
        <is>
          <t>We think it would be great for our son to go without one of us.  My older son went last year with my husband.</t>
        </is>
      </c>
      <c r="D156" t="inlineStr"/>
    </row>
    <row r="157">
      <c r="A157" t="inlineStr">
        <is>
          <t>No</t>
        </is>
      </c>
      <c r="B157" t="inlineStr"/>
      <c r="C157" t="inlineStr">
        <is>
          <t>Cost</t>
        </is>
      </c>
      <c r="D157" t="inlineStr"/>
    </row>
    <row r="158">
      <c r="A158" t="inlineStr">
        <is>
          <t>No</t>
        </is>
      </c>
      <c r="B158" t="inlineStr"/>
      <c r="C158" t="inlineStr">
        <is>
          <t>I'm deaf and I believe it would be difficult to communicate with the group.</t>
        </is>
      </c>
      <c r="D158" t="inlineStr"/>
    </row>
    <row r="159">
      <c r="A159" t="inlineStr">
        <is>
          <t>No</t>
        </is>
      </c>
      <c r="B159" t="inlineStr"/>
      <c r="C159" t="inlineStr"/>
      <c r="D159" t="inlineStr"/>
    </row>
    <row r="160">
      <c r="A160" t="inlineStr">
        <is>
          <t>No</t>
        </is>
      </c>
      <c r="B160" t="inlineStr"/>
      <c r="C160" t="inlineStr">
        <is>
          <t>Work obligations</t>
        </is>
      </c>
      <c r="D160" t="inlineStr"/>
    </row>
    <row r="161">
      <c r="A161" t="inlineStr"/>
      <c r="B161" t="inlineStr"/>
      <c r="C161" t="inlineStr"/>
      <c r="D161" t="inlineStr"/>
    </row>
    <row r="162">
      <c r="A162" t="inlineStr">
        <is>
          <t>No</t>
        </is>
      </c>
      <c r="B162" t="inlineStr"/>
      <c r="C162" t="inlineStr">
        <is>
          <t xml:space="preserve">Can’t make it. </t>
        </is>
      </c>
      <c r="D162" t="inlineStr"/>
    </row>
    <row r="163">
      <c r="A163" t="inlineStr">
        <is>
          <t>No</t>
        </is>
      </c>
      <c r="B163" t="inlineStr"/>
      <c r="C163" t="inlineStr">
        <is>
          <t>Time demands</t>
        </is>
      </c>
      <c r="D163" t="inlineStr"/>
    </row>
    <row r="164">
      <c r="A164" t="inlineStr">
        <is>
          <t>No</t>
        </is>
      </c>
      <c r="B164" t="inlineStr"/>
      <c r="C164" t="inlineStr">
        <is>
          <t xml:space="preserve">Money </t>
        </is>
      </c>
      <c r="D164" t="inlineStr"/>
    </row>
    <row r="165">
      <c r="A165" t="inlineStr">
        <is>
          <t>No</t>
        </is>
      </c>
      <c r="B165" t="inlineStr"/>
      <c r="C165" t="inlineStr">
        <is>
          <t>My son did not want me to go with him</t>
        </is>
      </c>
      <c r="D165" t="inlineStr"/>
    </row>
    <row r="166">
      <c r="A166" t="inlineStr">
        <is>
          <t>Yes</t>
        </is>
      </c>
      <c r="B166" t="inlineStr"/>
      <c r="C166" t="inlineStr"/>
      <c r="D166" t="inlineStr"/>
    </row>
    <row r="167">
      <c r="A167" t="inlineStr">
        <is>
          <t>No</t>
        </is>
      </c>
      <c r="B167" t="inlineStr"/>
      <c r="C167" t="inlineStr"/>
      <c r="D167" t="inlineStr"/>
    </row>
    <row r="168">
      <c r="A168" t="inlineStr">
        <is>
          <t>No</t>
        </is>
      </c>
      <c r="B168" t="inlineStr"/>
      <c r="C168" t="inlineStr">
        <is>
          <t>Work</t>
        </is>
      </c>
      <c r="D168" t="inlineStr"/>
    </row>
    <row r="169">
      <c r="A169" t="inlineStr">
        <is>
          <t>No</t>
        </is>
      </c>
      <c r="B169" t="inlineStr"/>
      <c r="C169" t="inlineStr">
        <is>
          <t>I have young children at home</t>
        </is>
      </c>
      <c r="D169" t="inlineStr"/>
    </row>
    <row r="170">
      <c r="A170" t="inlineStr">
        <is>
          <t>No</t>
        </is>
      </c>
      <c r="B170" t="inlineStr"/>
      <c r="C170" t="inlineStr">
        <is>
          <t>Too many other kids at home that I can't leave</t>
        </is>
      </c>
      <c r="D170" t="inlineStr"/>
    </row>
    <row r="171">
      <c r="A171" t="inlineStr">
        <is>
          <t>No</t>
        </is>
      </c>
      <c r="B171" t="inlineStr"/>
      <c r="C171" t="inlineStr">
        <is>
          <t>Let my daughter have her own experience with me</t>
        </is>
      </c>
      <c r="D171" t="inlineStr"/>
    </row>
    <row r="172">
      <c r="A172" t="inlineStr">
        <is>
          <t>No</t>
        </is>
      </c>
      <c r="B172" t="inlineStr"/>
      <c r="C172" t="inlineStr">
        <is>
          <t>My son did not want me to go</t>
        </is>
      </c>
      <c r="D172" t="inlineStr"/>
    </row>
    <row r="173">
      <c r="A173" t="inlineStr">
        <is>
          <t>No</t>
        </is>
      </c>
      <c r="B173" t="inlineStr"/>
      <c r="C173" t="inlineStr">
        <is>
          <t xml:space="preserve">Cost and I already went with another child </t>
        </is>
      </c>
      <c r="D173" t="inlineStr"/>
    </row>
    <row r="174">
      <c r="A174" t="inlineStr">
        <is>
          <t>No</t>
        </is>
      </c>
      <c r="B174" t="inlineStr"/>
      <c r="C174" t="inlineStr">
        <is>
          <t xml:space="preserve">Cost </t>
        </is>
      </c>
      <c r="D174" t="inlineStr"/>
    </row>
    <row r="175">
      <c r="A175" t="inlineStr">
        <is>
          <t>No</t>
        </is>
      </c>
      <c r="B175" t="inlineStr"/>
      <c r="C175" t="inlineStr">
        <is>
          <t>too expensive to pay for my child and myself. I also think this is a great opportunity for her to do this on her own.</t>
        </is>
      </c>
      <c r="D175" t="inlineStr"/>
    </row>
    <row r="176">
      <c r="A176" t="inlineStr">
        <is>
          <t>No</t>
        </is>
      </c>
      <c r="B176" t="inlineStr"/>
      <c r="C176" t="inlineStr">
        <is>
          <t xml:space="preserve">Other obligations this year, but I hope to go in the future! </t>
        </is>
      </c>
      <c r="D176" t="inlineStr"/>
    </row>
    <row r="177">
      <c r="A177" t="inlineStr">
        <is>
          <t>No</t>
        </is>
      </c>
      <c r="B177" t="inlineStr"/>
      <c r="C177" t="inlineStr">
        <is>
          <t>I want my daughter to have an independent experience.</t>
        </is>
      </c>
      <c r="D177" t="inlineStr"/>
    </row>
    <row r="178">
      <c r="A178" t="inlineStr">
        <is>
          <t>No</t>
        </is>
      </c>
      <c r="B178" t="inlineStr"/>
      <c r="C178" t="inlineStr">
        <is>
          <t>I can't leave my other children.</t>
        </is>
      </c>
      <c r="D178" t="inlineStr"/>
    </row>
    <row r="179">
      <c r="A179" t="inlineStr">
        <is>
          <t>Maybe</t>
        </is>
      </c>
      <c r="B179" t="inlineStr"/>
      <c r="C179" t="inlineStr"/>
      <c r="D179" t="inlineStr">
        <is>
          <t>This year my son wanted to go alone.  But on our way to drop him off at LAX for Fiji Nadi 1, he asked if I would go with him on a trip next year.  I'm surprised he wanted me to go!  So I'll definitely consider it for next year.</t>
        </is>
      </c>
    </row>
    <row r="180">
      <c r="A180" t="inlineStr">
        <is>
          <t>No</t>
        </is>
      </c>
      <c r="B180" t="inlineStr"/>
      <c r="C180" t="inlineStr">
        <is>
          <t xml:space="preserve">I’m not adventurous enough. I don’t do well being away from home for that long. Also I want my child to have their own experience without me there. </t>
        </is>
      </c>
      <c r="D180" t="inlineStr"/>
    </row>
    <row r="181">
      <c r="A181" t="inlineStr">
        <is>
          <t>No</t>
        </is>
      </c>
      <c r="B181" t="inlineStr"/>
      <c r="C181" t="inlineStr">
        <is>
          <t>Expense</t>
        </is>
      </c>
      <c r="D181" t="inlineStr"/>
    </row>
    <row r="182">
      <c r="A182" t="inlineStr">
        <is>
          <t>No</t>
        </is>
      </c>
      <c r="B182" t="inlineStr"/>
      <c r="C182" t="inlineStr">
        <is>
          <t>Too busy with other kids</t>
        </is>
      </c>
      <c r="D182" t="inlineStr"/>
    </row>
    <row r="183">
      <c r="A183" t="inlineStr">
        <is>
          <t>No</t>
        </is>
      </c>
      <c r="B183" t="inlineStr"/>
      <c r="C183" t="inlineStr">
        <is>
          <t>Son didn't want me to!</t>
        </is>
      </c>
      <c r="D183" t="inlineStr"/>
    </row>
    <row r="184">
      <c r="A184" t="inlineStr">
        <is>
          <t>No</t>
        </is>
      </c>
      <c r="B184" t="inlineStr"/>
      <c r="C184" t="inlineStr">
        <is>
          <t>Work commitments</t>
        </is>
      </c>
      <c r="D184" t="inlineStr"/>
    </row>
    <row r="185">
      <c r="A185" t="inlineStr">
        <is>
          <t>No</t>
        </is>
      </c>
      <c r="B185" t="inlineStr"/>
      <c r="C185" t="inlineStr">
        <is>
          <t>I think it would be better for my daughter to be on her own experiencing this!</t>
        </is>
      </c>
      <c r="D185" t="inlineStr"/>
    </row>
    <row r="186">
      <c r="A186" t="inlineStr">
        <is>
          <t>No</t>
        </is>
      </c>
      <c r="B186" t="inlineStr"/>
      <c r="C186" t="inlineStr">
        <is>
          <t>son wanted to see how he could do being away from us in preparing for leaving on a mission next summer.</t>
        </is>
      </c>
      <c r="D186" t="inlineStr"/>
    </row>
    <row r="187">
      <c r="A187" t="inlineStr">
        <is>
          <t>Maybe</t>
        </is>
      </c>
      <c r="B187" t="inlineStr"/>
      <c r="C187" t="inlineStr"/>
      <c r="D187" t="inlineStr"/>
    </row>
    <row r="188">
      <c r="A188" t="inlineStr">
        <is>
          <t>No</t>
        </is>
      </c>
      <c r="B188" t="inlineStr"/>
      <c r="C188" t="inlineStr">
        <is>
          <t>Too many thing going on at home, and cost.</t>
        </is>
      </c>
      <c r="D188" t="inlineStr"/>
    </row>
    <row r="189">
      <c r="A189" t="inlineStr">
        <is>
          <t>No</t>
        </is>
      </c>
      <c r="B189" t="inlineStr"/>
      <c r="C189" t="inlineStr">
        <is>
          <t>I attended as a parent builder with my daughter in Malawi 2022. We absolutely loved it. My son wanted to go on a trip independently this time. I hope to go again sometime!</t>
        </is>
      </c>
      <c r="D189" t="inlineStr"/>
    </row>
    <row r="190">
      <c r="A190" t="inlineStr">
        <is>
          <t>No</t>
        </is>
      </c>
      <c r="B190" t="inlineStr"/>
      <c r="C190" t="inlineStr">
        <is>
          <t>my son didn't ask me to go</t>
        </is>
      </c>
      <c r="D190" t="inlineStr"/>
    </row>
    <row r="191">
      <c r="A191" t="inlineStr">
        <is>
          <t>No</t>
        </is>
      </c>
      <c r="B191" t="inlineStr"/>
      <c r="C191" t="inlineStr">
        <is>
          <t>More kids at home.</t>
        </is>
      </c>
      <c r="D191" t="inlineStr"/>
    </row>
    <row r="192">
      <c r="A192" t="inlineStr">
        <is>
          <t>No</t>
        </is>
      </c>
      <c r="B192" t="inlineStr"/>
      <c r="C192" t="inlineStr">
        <is>
          <t>we wanted our child to be able to enjloy this experience on her own without us  - we feel that she will have a much better experience being able to go and meet new people and feel independent of parental influence</t>
        </is>
      </c>
      <c r="D192" t="inlineStr"/>
    </row>
    <row r="193">
      <c r="A193" t="inlineStr">
        <is>
          <t>No</t>
        </is>
      </c>
      <c r="B193" t="inlineStr"/>
      <c r="C193" t="inlineStr">
        <is>
          <t>Money and time</t>
        </is>
      </c>
      <c r="D193" t="inlineStr"/>
    </row>
    <row r="194">
      <c r="A194" t="inlineStr">
        <is>
          <t>No</t>
        </is>
      </c>
      <c r="B194" t="inlineStr"/>
      <c r="C194" t="inlineStr"/>
      <c r="D194" t="inlineStr"/>
    </row>
    <row r="195">
      <c r="A195" t="inlineStr">
        <is>
          <t>No</t>
        </is>
      </c>
      <c r="B195" t="inlineStr"/>
      <c r="C195" t="inlineStr">
        <is>
          <t xml:space="preserve">I have other children at home and it is too long to leave them. My so. Also wanted an experience just for himself. </t>
        </is>
      </c>
      <c r="D195" t="inlineStr"/>
    </row>
    <row r="196">
      <c r="A196" t="inlineStr">
        <is>
          <t>No</t>
        </is>
      </c>
      <c r="B196" t="inlineStr"/>
      <c r="C196" t="inlineStr">
        <is>
          <t xml:space="preserve">I wanted my daughter to have this experience on her own before she moves out of state for college in the fall. Trying her first time away from home this long in preparation for moving out of state. We will miss her greatly. </t>
        </is>
      </c>
      <c r="D196" t="inlineStr"/>
    </row>
    <row r="197">
      <c r="A197" t="inlineStr">
        <is>
          <t>No</t>
        </is>
      </c>
      <c r="B197" t="inlineStr"/>
      <c r="C197" t="inlineStr">
        <is>
          <t>Cost.</t>
        </is>
      </c>
      <c r="D197" t="inlineStr"/>
    </row>
    <row r="198">
      <c r="A198" t="inlineStr">
        <is>
          <t>Yes</t>
        </is>
      </c>
      <c r="B198" t="inlineStr">
        <is>
          <t xml:space="preserve">Someone at hxp and my daughter </t>
        </is>
      </c>
      <c r="C198" t="inlineStr"/>
      <c r="D198" t="inlineStr"/>
    </row>
    <row r="199">
      <c r="A199" t="inlineStr">
        <is>
          <t>No</t>
        </is>
      </c>
      <c r="B199" t="inlineStr"/>
      <c r="C199" t="inlineStr">
        <is>
          <t>Time</t>
        </is>
      </c>
      <c r="D199" t="inlineStr"/>
    </row>
    <row r="200">
      <c r="A200" t="inlineStr">
        <is>
          <t>No</t>
        </is>
      </c>
      <c r="B200" t="inlineStr"/>
      <c r="C200" t="inlineStr">
        <is>
          <t xml:space="preserve">Cost </t>
        </is>
      </c>
      <c r="D200" t="inlineStr"/>
    </row>
    <row r="201">
      <c r="A201" t="inlineStr">
        <is>
          <t>No</t>
        </is>
      </c>
      <c r="B201" t="inlineStr"/>
      <c r="C201" t="inlineStr">
        <is>
          <t xml:space="preserve">I have other children at home to care for. Also, the cost is too high for me to go as well. </t>
        </is>
      </c>
      <c r="D201" t="inlineStr"/>
    </row>
    <row r="202">
      <c r="A202" t="inlineStr">
        <is>
          <t>No</t>
        </is>
      </c>
      <c r="B202" t="inlineStr"/>
      <c r="C202" t="inlineStr">
        <is>
          <t xml:space="preserve">Our girls (we have 2 going) needed to push themselves out of their comfort zones &amp; we thought that that would not happen if we were there. They would hold back getting to know others &amp; just stick closer to us. </t>
        </is>
      </c>
      <c r="D202" t="inlineStr"/>
    </row>
    <row r="203">
      <c r="A203" t="inlineStr">
        <is>
          <t>No</t>
        </is>
      </c>
      <c r="B203" t="inlineStr"/>
      <c r="C203" t="inlineStr"/>
      <c r="D203" t="inlineStr"/>
    </row>
    <row r="204">
      <c r="A204" t="inlineStr">
        <is>
          <t>No</t>
        </is>
      </c>
      <c r="B204" t="inlineStr"/>
      <c r="C204" t="inlineStr">
        <is>
          <t>My child</t>
        </is>
      </c>
      <c r="D204" t="inlineStr"/>
    </row>
    <row r="205">
      <c r="A205" t="inlineStr">
        <is>
          <t>No</t>
        </is>
      </c>
      <c r="B205" t="inlineStr"/>
      <c r="C205" t="inlineStr">
        <is>
          <t>My child didn’t really want me to go</t>
        </is>
      </c>
      <c r="D205" t="inlineStr"/>
    </row>
    <row r="206">
      <c r="A206" t="inlineStr">
        <is>
          <t>No</t>
        </is>
      </c>
      <c r="B206" t="inlineStr"/>
      <c r="C206" t="inlineStr">
        <is>
          <t>I have other kids at home I need to be here for</t>
        </is>
      </c>
      <c r="D206" t="inlineStr"/>
    </row>
    <row r="207">
      <c r="A207" t="inlineStr">
        <is>
          <t>No</t>
        </is>
      </c>
      <c r="B207" t="inlineStr"/>
      <c r="C207" t="inlineStr">
        <is>
          <t>Time of year</t>
        </is>
      </c>
      <c r="D207" t="inlineStr"/>
    </row>
    <row r="208">
      <c r="A208" t="inlineStr">
        <is>
          <t>No</t>
        </is>
      </c>
      <c r="B208" t="inlineStr"/>
      <c r="C208" t="inlineStr"/>
      <c r="D208" t="inlineStr"/>
    </row>
    <row r="209">
      <c r="A209" t="inlineStr">
        <is>
          <t>No</t>
        </is>
      </c>
      <c r="B209" t="inlineStr"/>
      <c r="C209" t="inlineStr">
        <is>
          <t>I have younger kids at home that need me.</t>
        </is>
      </c>
      <c r="D209" t="inlineStr"/>
    </row>
    <row r="210">
      <c r="A210" t="inlineStr">
        <is>
          <t>No</t>
        </is>
      </c>
      <c r="B210" t="inlineStr"/>
      <c r="C210" t="inlineStr">
        <is>
          <t>Physical limitations</t>
        </is>
      </c>
      <c r="D210" t="inlineStr"/>
    </row>
    <row r="211">
      <c r="A211" t="inlineStr">
        <is>
          <t>Yes</t>
        </is>
      </c>
      <c r="B211" t="inlineStr">
        <is>
          <t>Love HXP and what they offer</t>
        </is>
      </c>
      <c r="C211" t="inlineStr"/>
      <c r="D211" t="inlineStr"/>
    </row>
    <row r="212">
      <c r="A212" t="inlineStr">
        <is>
          <t>No</t>
        </is>
      </c>
      <c r="B212" t="inlineStr"/>
      <c r="C212" t="inlineStr"/>
      <c r="D212" t="inlineStr"/>
    </row>
    <row r="213">
      <c r="A213" t="inlineStr">
        <is>
          <t>No</t>
        </is>
      </c>
      <c r="B213" t="inlineStr"/>
      <c r="C213" t="inlineStr">
        <is>
          <t xml:space="preserve">My child wanted to go without a parent. </t>
        </is>
      </c>
      <c r="D213" t="inlineStr"/>
    </row>
    <row r="214">
      <c r="A214" t="inlineStr">
        <is>
          <t>No</t>
        </is>
      </c>
      <c r="B214" t="inlineStr"/>
      <c r="C214" t="inlineStr">
        <is>
          <t xml:space="preserve">Time constraints with working </t>
        </is>
      </c>
      <c r="D214" t="inlineStr"/>
    </row>
    <row r="215">
      <c r="A215" t="inlineStr">
        <is>
          <t>No</t>
        </is>
      </c>
      <c r="B215" t="inlineStr"/>
      <c r="C215" t="inlineStr">
        <is>
          <t>Money</t>
        </is>
      </c>
      <c r="D215" t="inlineStr"/>
    </row>
    <row r="216">
      <c r="A216" t="inlineStr">
        <is>
          <t>No</t>
        </is>
      </c>
      <c r="B216" t="inlineStr"/>
      <c r="C216" t="inlineStr">
        <is>
          <t>Younger kids at home</t>
        </is>
      </c>
      <c r="D216" t="inlineStr"/>
    </row>
    <row r="217">
      <c r="A217" t="inlineStr">
        <is>
          <t>No</t>
        </is>
      </c>
      <c r="B217" t="inlineStr"/>
      <c r="C217" t="inlineStr"/>
      <c r="D217" t="inlineStr"/>
    </row>
    <row r="218">
      <c r="A218" t="inlineStr">
        <is>
          <t>No</t>
        </is>
      </c>
      <c r="B218" t="inlineStr"/>
      <c r="C218" t="inlineStr">
        <is>
          <t>time commitment</t>
        </is>
      </c>
      <c r="D218" t="inlineStr"/>
    </row>
    <row r="219">
      <c r="A219" t="inlineStr">
        <is>
          <t>No</t>
        </is>
      </c>
      <c r="B219" t="inlineStr"/>
      <c r="C219" t="inlineStr">
        <is>
          <t>Our daughter really wanted to go on her own, after reading on the website why it’s good to go without friends. She decided without a parent would be good too. Haha!</t>
        </is>
      </c>
      <c r="D219" t="inlineStr"/>
    </row>
    <row r="220">
      <c r="A220" t="inlineStr">
        <is>
          <t>Yes</t>
        </is>
      </c>
      <c r="B220" t="inlineStr">
        <is>
          <t>spending time with my son</t>
        </is>
      </c>
      <c r="C220" t="inlineStr"/>
      <c r="D220" t="inlineStr"/>
    </row>
    <row r="221">
      <c r="A221" t="inlineStr">
        <is>
          <t>No</t>
        </is>
      </c>
      <c r="B221" t="inlineStr"/>
      <c r="C221" t="inlineStr">
        <is>
          <t xml:space="preserve">Other children and church calling. </t>
        </is>
      </c>
      <c r="D221" t="inlineStr"/>
    </row>
    <row r="222">
      <c r="A222" t="inlineStr">
        <is>
          <t>No</t>
        </is>
      </c>
      <c r="B222" t="inlineStr"/>
      <c r="C222" t="inlineStr">
        <is>
          <t>Mostly because it is a trip my kids want to do with out us. And it’s expensive</t>
        </is>
      </c>
      <c r="D222" t="inlineStr"/>
    </row>
    <row r="223">
      <c r="A223" t="inlineStr">
        <is>
          <t>No</t>
        </is>
      </c>
      <c r="B223" t="inlineStr"/>
      <c r="C223" t="inlineStr">
        <is>
          <t>Work schedule</t>
        </is>
      </c>
      <c r="D223" t="inlineStr"/>
    </row>
    <row r="224">
      <c r="A224" t="inlineStr">
        <is>
          <t>No</t>
        </is>
      </c>
      <c r="B224" t="inlineStr"/>
      <c r="C224" t="inlineStr">
        <is>
          <t>It was full</t>
        </is>
      </c>
      <c r="D224" t="inlineStr"/>
    </row>
    <row r="225">
      <c r="A225" t="inlineStr">
        <is>
          <t>No</t>
        </is>
      </c>
      <c r="B225" t="inlineStr"/>
      <c r="C225" t="inlineStr">
        <is>
          <t xml:space="preserve">Not a huge fan of traveling. </t>
        </is>
      </c>
      <c r="D225" t="inlineStr"/>
    </row>
    <row r="226">
      <c r="A226" t="inlineStr">
        <is>
          <t>No</t>
        </is>
      </c>
      <c r="B226" t="inlineStr"/>
      <c r="C226" t="inlineStr">
        <is>
          <t>Cost &amp; time committment</t>
        </is>
      </c>
      <c r="D226" t="inlineStr"/>
    </row>
    <row r="227">
      <c r="A227" t="inlineStr">
        <is>
          <t>No</t>
        </is>
      </c>
      <c r="B227" t="inlineStr"/>
      <c r="C227" t="inlineStr"/>
      <c r="D227" t="inlineStr"/>
    </row>
    <row r="228">
      <c r="A228" t="inlineStr">
        <is>
          <t>No</t>
        </is>
      </c>
      <c r="B228" t="inlineStr"/>
      <c r="C228" t="inlineStr">
        <is>
          <t xml:space="preserve">Money </t>
        </is>
      </c>
      <c r="D228" t="inlineStr"/>
    </row>
    <row r="229">
      <c r="A229" t="inlineStr">
        <is>
          <t>No</t>
        </is>
      </c>
      <c r="B229" t="inlineStr"/>
      <c r="C229" t="inlineStr">
        <is>
          <t>I have other small kids so it's not feasible at this time</t>
        </is>
      </c>
      <c r="D229" t="inlineStr"/>
    </row>
    <row r="230">
      <c r="A230" t="inlineStr">
        <is>
          <t>No</t>
        </is>
      </c>
      <c r="B230" t="inlineStr"/>
      <c r="C230" t="inlineStr"/>
      <c r="D230" t="inlineStr"/>
    </row>
    <row r="231">
      <c r="A231" t="inlineStr">
        <is>
          <t>No</t>
        </is>
      </c>
      <c r="B231" t="inlineStr"/>
      <c r="C231" t="inlineStr">
        <is>
          <t>I want my kids to have an experience without their own parents there.</t>
        </is>
      </c>
      <c r="D231" t="inlineStr"/>
    </row>
    <row r="232">
      <c r="A232" t="inlineStr">
        <is>
          <t>No</t>
        </is>
      </c>
      <c r="B232" t="inlineStr"/>
      <c r="C232" t="inlineStr">
        <is>
          <t xml:space="preserve">Got asked last minute and had other travel plans </t>
        </is>
      </c>
      <c r="D232" t="inlineStr"/>
    </row>
    <row r="233">
      <c r="A233" t="inlineStr">
        <is>
          <t>No</t>
        </is>
      </c>
      <c r="B233" t="inlineStr"/>
      <c r="C233" t="inlineStr">
        <is>
          <t>My son didn't want me to. He wanted his own experience. 🤣</t>
        </is>
      </c>
      <c r="D233" t="inlineStr"/>
    </row>
    <row r="234">
      <c r="A234" t="inlineStr">
        <is>
          <t>Yes</t>
        </is>
      </c>
      <c r="B234" t="inlineStr">
        <is>
          <t xml:space="preserve">Having this experience to share with my daughter </t>
        </is>
      </c>
      <c r="C234" t="inlineStr"/>
      <c r="D234" t="inlineStr"/>
    </row>
    <row r="235">
      <c r="A235" t="inlineStr">
        <is>
          <t>No</t>
        </is>
      </c>
      <c r="B235" t="inlineStr"/>
      <c r="C235" t="inlineStr">
        <is>
          <t>My son's independece</t>
        </is>
      </c>
      <c r="D235" t="inlineStr"/>
    </row>
    <row r="236">
      <c r="A236" t="inlineStr">
        <is>
          <t>No</t>
        </is>
      </c>
      <c r="B236" t="inlineStr"/>
      <c r="C236" t="inlineStr">
        <is>
          <t>Time</t>
        </is>
      </c>
      <c r="D236" t="inlineStr"/>
    </row>
    <row r="237">
      <c r="A237" t="inlineStr">
        <is>
          <t>Yes</t>
        </is>
      </c>
      <c r="B237" t="inlineStr">
        <is>
          <t>Previous children went on HXP</t>
        </is>
      </c>
      <c r="C237" t="inlineStr"/>
      <c r="D237" t="inlineStr"/>
    </row>
    <row r="238">
      <c r="A238" t="inlineStr">
        <is>
          <t>No</t>
        </is>
      </c>
      <c r="B238" t="inlineStr"/>
      <c r="C238" t="inlineStr">
        <is>
          <t>Children at home.</t>
        </is>
      </c>
      <c r="D238" t="inlineStr"/>
    </row>
    <row r="239">
      <c r="A239" t="inlineStr">
        <is>
          <t>No</t>
        </is>
      </c>
      <c r="B239" t="inlineStr"/>
      <c r="C239" t="inlineStr">
        <is>
          <t xml:space="preserve">I’ve done it before and it was awesome. But I can’t afford it. </t>
        </is>
      </c>
      <c r="D239" t="inlineStr"/>
    </row>
    <row r="240">
      <c r="A240" t="inlineStr">
        <is>
          <t>No</t>
        </is>
      </c>
      <c r="B240" t="inlineStr"/>
      <c r="C240" t="inlineStr">
        <is>
          <t>You her son at home</t>
        </is>
      </c>
      <c r="D240" t="inlineStr"/>
    </row>
    <row r="241">
      <c r="A241" t="inlineStr">
        <is>
          <t>Yes</t>
        </is>
      </c>
      <c r="B241" t="inlineStr">
        <is>
          <t>Daughter/cause</t>
        </is>
      </c>
      <c r="C241" t="inlineStr"/>
      <c r="D241" t="inlineStr"/>
    </row>
    <row r="242">
      <c r="A242" t="inlineStr">
        <is>
          <t>No</t>
        </is>
      </c>
      <c r="B242" t="inlineStr"/>
      <c r="C242" t="inlineStr">
        <is>
          <t>Cost</t>
        </is>
      </c>
      <c r="D242" t="inlineStr"/>
    </row>
    <row r="243">
      <c r="A243" t="inlineStr">
        <is>
          <t>No</t>
        </is>
      </c>
      <c r="B243" t="inlineStr"/>
      <c r="C243" t="inlineStr">
        <is>
          <t xml:space="preserve">Time </t>
        </is>
      </c>
      <c r="D243" t="inlineStr"/>
    </row>
    <row r="244">
      <c r="A244" t="inlineStr">
        <is>
          <t>No</t>
        </is>
      </c>
      <c r="B244" t="inlineStr"/>
      <c r="C244" t="inlineStr">
        <is>
          <t>Let me child go alone</t>
        </is>
      </c>
      <c r="D244" t="inlineStr"/>
    </row>
    <row r="245">
      <c r="A245" t="inlineStr">
        <is>
          <t>No</t>
        </is>
      </c>
      <c r="B245" t="inlineStr"/>
      <c r="C245" t="inlineStr">
        <is>
          <t xml:space="preserve">Location </t>
        </is>
      </c>
      <c r="D245" t="inlineStr"/>
    </row>
    <row r="246">
      <c r="A246" t="inlineStr">
        <is>
          <t>No</t>
        </is>
      </c>
      <c r="B246" t="inlineStr"/>
      <c r="C246" t="inlineStr">
        <is>
          <t>Our daughter didn't want a parent to go</t>
        </is>
      </c>
      <c r="D246" t="inlineStr"/>
    </row>
    <row r="247">
      <c r="A247" t="inlineStr">
        <is>
          <t>No</t>
        </is>
      </c>
      <c r="B247" t="inlineStr"/>
      <c r="C247" t="inlineStr">
        <is>
          <t xml:space="preserve">Time away from family and cost </t>
        </is>
      </c>
      <c r="D247" t="inlineStr"/>
    </row>
    <row r="248">
      <c r="A248" t="inlineStr">
        <is>
          <t>No</t>
        </is>
      </c>
      <c r="B248" t="inlineStr"/>
      <c r="C248" t="inlineStr">
        <is>
          <t>Time</t>
        </is>
      </c>
      <c r="D248" t="inlineStr"/>
    </row>
    <row r="249">
      <c r="A249" t="inlineStr">
        <is>
          <t>Yes</t>
        </is>
      </c>
      <c r="B249" t="inlineStr">
        <is>
          <t>went a few years ago with another daughter and loved it.  wanted it again for this child</t>
        </is>
      </c>
      <c r="C249" t="inlineStr"/>
      <c r="D249" t="inlineStr"/>
    </row>
    <row r="250">
      <c r="A250" t="inlineStr">
        <is>
          <t>No</t>
        </is>
      </c>
      <c r="B250" t="inlineStr"/>
      <c r="C250" t="inlineStr">
        <is>
          <t>My granddaughter went to Thailand last year so we wanted Drake to have the experience too.</t>
        </is>
      </c>
      <c r="D250" t="inlineStr"/>
    </row>
    <row r="251">
      <c r="A251" t="inlineStr">
        <is>
          <t>Yes</t>
        </is>
      </c>
      <c r="B251" t="inlineStr">
        <is>
          <t xml:space="preserve">My daughter, and my sister-in-law went as a parent builder last year. </t>
        </is>
      </c>
      <c r="C251" t="inlineStr"/>
      <c r="D251" t="inlineStr"/>
    </row>
    <row r="252">
      <c r="A252" t="inlineStr">
        <is>
          <t>Yes</t>
        </is>
      </c>
      <c r="B252" t="inlineStr">
        <is>
          <t>Knowing past parent builders, chance to spend time with my daughter (busy/demanding job) and a chance to return to my mission</t>
        </is>
      </c>
      <c r="C252" t="inlineStr"/>
      <c r="D252" t="inlineStr"/>
    </row>
    <row r="253">
      <c r="A253" t="inlineStr">
        <is>
          <t>No</t>
        </is>
      </c>
      <c r="B253" t="inlineStr"/>
      <c r="C253" t="inlineStr"/>
      <c r="D253" t="inlineStr"/>
    </row>
    <row r="254">
      <c r="A254" t="inlineStr">
        <is>
          <t>No</t>
        </is>
      </c>
      <c r="B254" t="inlineStr"/>
      <c r="C254" t="inlineStr">
        <is>
          <t>My child didn't really want me to go. She wanted to experience it on her own!</t>
        </is>
      </c>
      <c r="D254" t="inlineStr"/>
    </row>
    <row r="255">
      <c r="A255" t="inlineStr">
        <is>
          <t>No</t>
        </is>
      </c>
      <c r="B255" t="inlineStr"/>
      <c r="C255" t="inlineStr">
        <is>
          <t>Time, money, and other kids at home</t>
        </is>
      </c>
      <c r="D255" t="inlineStr"/>
    </row>
    <row r="256">
      <c r="A256" t="inlineStr">
        <is>
          <t>No</t>
        </is>
      </c>
      <c r="B256" t="inlineStr"/>
      <c r="C256" t="inlineStr">
        <is>
          <t>Only the price</t>
        </is>
      </c>
      <c r="D256" t="inlineStr"/>
    </row>
    <row r="257">
      <c r="A257" t="inlineStr">
        <is>
          <t>No</t>
        </is>
      </c>
      <c r="B257" t="inlineStr"/>
      <c r="C257" t="inlineStr"/>
      <c r="D257" t="inlineStr"/>
    </row>
    <row r="258">
      <c r="A258" t="inlineStr">
        <is>
          <t>No</t>
        </is>
      </c>
      <c r="B258" t="inlineStr"/>
      <c r="C258" t="inlineStr">
        <is>
          <t>My son wants to do it on his own, and the cost.</t>
        </is>
      </c>
      <c r="D258" t="inlineStr"/>
    </row>
    <row r="259">
      <c r="A259" t="inlineStr">
        <is>
          <t>No</t>
        </is>
      </c>
      <c r="B259" t="inlineStr"/>
      <c r="C259" t="inlineStr">
        <is>
          <t>other obligations at this time</t>
        </is>
      </c>
      <c r="D259" t="inlineStr"/>
    </row>
    <row r="260">
      <c r="A260" t="inlineStr">
        <is>
          <t>No</t>
        </is>
      </c>
      <c r="B260" t="inlineStr"/>
      <c r="C260" t="inlineStr">
        <is>
          <t>Other Children at Home</t>
        </is>
      </c>
      <c r="D260" t="inlineStr"/>
    </row>
    <row r="261">
      <c r="A261" t="inlineStr">
        <is>
          <t>No</t>
        </is>
      </c>
      <c r="B261" t="inlineStr"/>
      <c r="C261" t="inlineStr">
        <is>
          <t xml:space="preserve">I couldn’t leave my family </t>
        </is>
      </c>
      <c r="D261" t="inlineStr"/>
    </row>
    <row r="262">
      <c r="A262" t="inlineStr">
        <is>
          <t>No</t>
        </is>
      </c>
      <c r="B262" t="inlineStr"/>
      <c r="C262" t="inlineStr">
        <is>
          <t>I wanted my daughter to have the experience of going and not knowing anyone</t>
        </is>
      </c>
      <c r="D262" t="inlineStr"/>
    </row>
    <row r="263">
      <c r="A263" t="inlineStr"/>
      <c r="B263" t="inlineStr"/>
      <c r="C263" t="inlineStr"/>
      <c r="D263" t="inlineStr"/>
    </row>
    <row r="264">
      <c r="A264" t="inlineStr">
        <is>
          <t>No</t>
        </is>
      </c>
      <c r="B264" t="inlineStr"/>
      <c r="C264" t="inlineStr">
        <is>
          <t>Have younger kids at home</t>
        </is>
      </c>
      <c r="D264" t="inlineStr"/>
    </row>
    <row r="265">
      <c r="A265" t="inlineStr">
        <is>
          <t>No</t>
        </is>
      </c>
      <c r="B265" t="inlineStr"/>
      <c r="C265" t="inlineStr">
        <is>
          <t>Time off work</t>
        </is>
      </c>
      <c r="D265" t="inlineStr"/>
    </row>
    <row r="266">
      <c r="A266" t="inlineStr">
        <is>
          <t>No</t>
        </is>
      </c>
      <c r="B266" t="inlineStr"/>
      <c r="C266" t="inlineStr">
        <is>
          <t>My wife is going. I don't have enough time off from work to be able to go.</t>
        </is>
      </c>
      <c r="D266" t="inlineStr"/>
    </row>
    <row r="267">
      <c r="A267" t="inlineStr"/>
      <c r="B267" t="inlineStr"/>
      <c r="C267" t="inlineStr"/>
      <c r="D267" t="inlineStr"/>
    </row>
    <row r="268">
      <c r="A268" t="inlineStr"/>
      <c r="B268" t="inlineStr"/>
      <c r="C268" t="inlineStr"/>
      <c r="D268" t="inlineStr"/>
    </row>
    <row r="269">
      <c r="A269" t="inlineStr"/>
      <c r="B269" t="inlineStr"/>
      <c r="C269" t="inlineStr"/>
      <c r="D269" t="inlineStr"/>
    </row>
    <row r="270">
      <c r="A270" t="inlineStr"/>
      <c r="B270" t="inlineStr"/>
      <c r="C270" t="inlineStr"/>
      <c r="D270" t="inlineStr"/>
    </row>
    <row r="271">
      <c r="A271" t="inlineStr">
        <is>
          <t>No</t>
        </is>
      </c>
      <c r="B271" t="inlineStr"/>
      <c r="C271" t="inlineStr">
        <is>
          <t>Time commitment with small children at home</t>
        </is>
      </c>
      <c r="D271" t="inlineStr"/>
    </row>
    <row r="272">
      <c r="A272" t="inlineStr"/>
      <c r="B272" t="inlineStr"/>
      <c r="C272" t="inlineStr"/>
      <c r="D272" t="inlineStr"/>
    </row>
    <row r="273">
      <c r="A273" t="inlineStr"/>
      <c r="B273" t="inlineStr"/>
      <c r="C273" t="inlineStr"/>
      <c r="D273" t="inlineStr"/>
    </row>
    <row r="274">
      <c r="A274" t="inlineStr">
        <is>
          <t>Yes</t>
        </is>
      </c>
      <c r="B274" t="inlineStr">
        <is>
          <t>Location and HXP asked me.</t>
        </is>
      </c>
      <c r="C274" t="inlineStr"/>
      <c r="D274" t="inlineStr"/>
    </row>
    <row r="275">
      <c r="A275" t="inlineStr">
        <is>
          <t>No</t>
        </is>
      </c>
      <c r="B275" t="inlineStr"/>
      <c r="C275" t="inlineStr">
        <is>
          <t>I want my child to have their own experience.</t>
        </is>
      </c>
      <c r="D275" t="inlineStr"/>
    </row>
    <row r="276">
      <c r="A276" t="inlineStr">
        <is>
          <t>Yes</t>
        </is>
      </c>
      <c r="B276" t="inlineStr">
        <is>
          <t>My son asked me to go</t>
        </is>
      </c>
      <c r="C276" t="inlineStr"/>
      <c r="D276" t="inlineStr"/>
    </row>
    <row r="277">
      <c r="A277" t="inlineStr"/>
      <c r="B277" t="inlineStr"/>
      <c r="C277" t="inlineStr"/>
      <c r="D277" t="inlineStr"/>
    </row>
    <row r="278">
      <c r="A278" t="inlineStr"/>
      <c r="B278" t="inlineStr"/>
      <c r="C278" t="inlineStr"/>
      <c r="D278" t="inlineStr"/>
    </row>
    <row r="279">
      <c r="A279" t="inlineStr">
        <is>
          <t>Yes</t>
        </is>
      </c>
      <c r="B279" t="inlineStr">
        <is>
          <t>I’ve heard great things from our neighbors who’ve taken their kids on trips. I really wanted our children to have amazing experiences too.</t>
        </is>
      </c>
      <c r="C279" t="inlineStr"/>
      <c r="D279" t="inlineStr"/>
    </row>
    <row r="280">
      <c r="A280" t="inlineStr">
        <is>
          <t>No</t>
        </is>
      </c>
      <c r="B280" t="inlineStr"/>
      <c r="C280" t="inlineStr">
        <is>
          <t>My daughter needs the experience without me. But I would love to go!</t>
        </is>
      </c>
      <c r="D280" t="inlineStr"/>
    </row>
    <row r="281">
      <c r="A281" t="inlineStr">
        <is>
          <t>No</t>
        </is>
      </c>
      <c r="B281" t="inlineStr"/>
      <c r="C281" t="inlineStr">
        <is>
          <t>Cost, no significant discount to attend as a Parent Builder</t>
        </is>
      </c>
      <c r="D281" t="inlineStr"/>
    </row>
    <row r="282">
      <c r="A282" t="inlineStr">
        <is>
          <t>Yes</t>
        </is>
      </c>
      <c r="B282" t="inlineStr">
        <is>
          <t xml:space="preserve">Child was worried about traveling alone </t>
        </is>
      </c>
      <c r="C282" t="inlineStr"/>
      <c r="D282" t="inlineStr"/>
    </row>
    <row r="283">
      <c r="A283" t="inlineStr">
        <is>
          <t>No</t>
        </is>
      </c>
      <c r="B283" t="inlineStr"/>
      <c r="C283" t="inlineStr">
        <is>
          <t xml:space="preserve">I have other children and obligations. </t>
        </is>
      </c>
      <c r="D283" t="inlineStr"/>
    </row>
    <row r="284">
      <c r="A284" t="inlineStr">
        <is>
          <t>No</t>
        </is>
      </c>
      <c r="B284" t="inlineStr"/>
      <c r="C284" t="inlineStr">
        <is>
          <t>Son is graduating</t>
        </is>
      </c>
      <c r="D284" t="inlineStr"/>
    </row>
    <row r="285">
      <c r="A285" t="inlineStr">
        <is>
          <t>No</t>
        </is>
      </c>
      <c r="B285" t="inlineStr"/>
      <c r="C285" t="inlineStr"/>
      <c r="D285" t="inlineStr"/>
    </row>
    <row r="286">
      <c r="A286" t="inlineStr">
        <is>
          <t>Yes</t>
        </is>
      </c>
      <c r="B286" t="inlineStr">
        <is>
          <t>My daughter and her excitement for the trip</t>
        </is>
      </c>
      <c r="C286" t="inlineStr"/>
      <c r="D286" t="inlineStr"/>
    </row>
    <row r="287">
      <c r="A287" t="inlineStr">
        <is>
          <t>No</t>
        </is>
      </c>
      <c r="B287" t="inlineStr"/>
      <c r="C287" t="inlineStr">
        <is>
          <t xml:space="preserve">I went before and it's just too long to be away from work and disconnected at this phase of life and my career. </t>
        </is>
      </c>
      <c r="D287" t="inlineStr"/>
    </row>
    <row r="288">
      <c r="A288" t="inlineStr">
        <is>
          <t>No</t>
        </is>
      </c>
      <c r="B288" t="inlineStr"/>
      <c r="C288" t="inlineStr">
        <is>
          <t>Child wanted individual trip, cost</t>
        </is>
      </c>
      <c r="D288" t="inlineStr"/>
    </row>
    <row r="289">
      <c r="A289" t="inlineStr"/>
      <c r="B289" t="inlineStr"/>
      <c r="C289" t="inlineStr"/>
      <c r="D289" t="inlineStr"/>
    </row>
    <row r="290">
      <c r="A290" t="inlineStr">
        <is>
          <t>No</t>
        </is>
      </c>
      <c r="B290" t="inlineStr"/>
      <c r="C290" t="inlineStr">
        <is>
          <t xml:space="preserve">Builder needs experience away from family and friends. </t>
        </is>
      </c>
      <c r="D290" t="inlineStr"/>
    </row>
    <row r="291">
      <c r="A291" t="inlineStr">
        <is>
          <t>Yes</t>
        </is>
      </c>
      <c r="B291" t="inlineStr">
        <is>
          <t>I really wanted to go with my son and have a great experience serving with him in another part of the world. I wished we had made it a priority to go last year so I could go with another younger son this year. We have neighbors that have taken their kids on multiple trips and they’ve spoken highly of it.</t>
        </is>
      </c>
      <c r="C291" t="inlineStr"/>
      <c r="D291" t="inlineStr"/>
    </row>
    <row r="292">
      <c r="A292" t="inlineStr">
        <is>
          <t>No</t>
        </is>
      </c>
      <c r="B292" t="inlineStr"/>
      <c r="C292" t="inlineStr">
        <is>
          <t>My child didn’t want me to 😂</t>
        </is>
      </c>
      <c r="D292" t="inlineStr"/>
    </row>
    <row r="293">
      <c r="A293" t="inlineStr">
        <is>
          <t>No</t>
        </is>
      </c>
      <c r="B293" t="inlineStr"/>
      <c r="C293" t="inlineStr"/>
      <c r="D293" t="inlineStr"/>
    </row>
    <row r="294">
      <c r="A294" t="inlineStr"/>
      <c r="B294" t="inlineStr"/>
      <c r="C294" t="inlineStr"/>
      <c r="D294" t="inlineStr"/>
    </row>
    <row r="295">
      <c r="A295" t="inlineStr"/>
      <c r="B295" t="inlineStr"/>
      <c r="C295" t="inlineStr"/>
      <c r="D295" t="inlineStr"/>
    </row>
    <row r="296">
      <c r="A296" t="inlineStr"/>
      <c r="B296" t="inlineStr"/>
      <c r="C296" t="inlineStr"/>
      <c r="D296" t="inlineStr"/>
    </row>
    <row r="297">
      <c r="A297" t="inlineStr">
        <is>
          <t>No</t>
        </is>
      </c>
      <c r="B297" t="inlineStr"/>
      <c r="C297" t="inlineStr">
        <is>
          <t xml:space="preserve">Cousins that have gone. </t>
        </is>
      </c>
      <c r="D297" t="inlineStr"/>
    </row>
    <row r="298">
      <c r="A298" t="inlineStr">
        <is>
          <t>No</t>
        </is>
      </c>
      <c r="B298" t="inlineStr"/>
      <c r="C298" t="inlineStr">
        <is>
          <t>My son wanted to sign up on his own and have the experience without his parents-even though he loves us and we are the coolest :)</t>
        </is>
      </c>
      <c r="D298" t="inlineStr"/>
    </row>
    <row r="299">
      <c r="A299" t="inlineStr">
        <is>
          <t>No</t>
        </is>
      </c>
      <c r="B299" t="inlineStr"/>
      <c r="C299" t="inlineStr">
        <is>
          <t xml:space="preserve">My son wanted to sign up with his friend and they didn't want their parents going-even though we are the best! Also, I had already committed to be in charge of the food at our Stake YW camp which is the same time.. </t>
        </is>
      </c>
      <c r="D299" t="inlineStr"/>
    </row>
    <row r="300">
      <c r="A300" t="inlineStr"/>
      <c r="B300" t="inlineStr"/>
      <c r="C300" t="inlineStr"/>
      <c r="D300" t="inlineStr"/>
    </row>
    <row r="301">
      <c r="A301" t="inlineStr">
        <is>
          <t>No</t>
        </is>
      </c>
      <c r="B301" t="inlineStr"/>
      <c r="C301" t="inlineStr">
        <is>
          <t>My daughter really wanted to do this trip independent of anyone familiar</t>
        </is>
      </c>
      <c r="D301" t="inlineStr"/>
    </row>
    <row r="302">
      <c r="A302" t="inlineStr">
        <is>
          <t>No</t>
        </is>
      </c>
      <c r="B302" t="inlineStr"/>
      <c r="C302" t="inlineStr"/>
      <c r="D302" t="inlineStr"/>
    </row>
    <row r="303">
      <c r="A303" t="inlineStr">
        <is>
          <t>No</t>
        </is>
      </c>
      <c r="B303" t="inlineStr"/>
      <c r="C303" t="inlineStr"/>
      <c r="D303" t="inlineStr"/>
    </row>
    <row r="304">
      <c r="A304" t="inlineStr">
        <is>
          <t>No</t>
        </is>
      </c>
      <c r="B304" t="inlineStr"/>
      <c r="C304" t="inlineStr"/>
      <c r="D304" t="inlineStr"/>
    </row>
    <row r="305">
      <c r="A305" t="inlineStr">
        <is>
          <t>No</t>
        </is>
      </c>
      <c r="B305" t="inlineStr"/>
      <c r="C305" t="inlineStr">
        <is>
          <t>Wanted him to have an experience away from home without us</t>
        </is>
      </c>
      <c r="D305" t="inlineStr"/>
    </row>
    <row r="306">
      <c r="A306" t="inlineStr">
        <is>
          <t>No</t>
        </is>
      </c>
      <c r="B306" t="inlineStr"/>
      <c r="C306" t="inlineStr">
        <is>
          <t xml:space="preserve">This is a trip Kate wants to go on by herself- I think it will be more meaningful to go alone. </t>
        </is>
      </c>
      <c r="D306" t="inlineStr"/>
    </row>
    <row r="307">
      <c r="A307" t="inlineStr">
        <is>
          <t>No</t>
        </is>
      </c>
      <c r="B307" t="inlineStr"/>
      <c r="C307" t="inlineStr">
        <is>
          <t>My daughter wanted to do it on her own.</t>
        </is>
      </c>
      <c r="D307" t="inlineStr"/>
    </row>
    <row r="308">
      <c r="A308" t="inlineStr">
        <is>
          <t>No</t>
        </is>
      </c>
      <c r="B308" t="inlineStr"/>
      <c r="C308" t="inlineStr">
        <is>
          <t xml:space="preserve">To allow my daughter to have her own experience    </t>
        </is>
      </c>
      <c r="D308" t="inlineStr"/>
    </row>
    <row r="309">
      <c r="A309" t="inlineStr">
        <is>
          <t>No</t>
        </is>
      </c>
      <c r="B309" t="inlineStr"/>
      <c r="C309" t="inlineStr">
        <is>
          <t>Price and time away</t>
        </is>
      </c>
      <c r="D309" t="inlineStr"/>
    </row>
    <row r="310">
      <c r="A310" t="inlineStr">
        <is>
          <t>No</t>
        </is>
      </c>
      <c r="B310" t="inlineStr"/>
      <c r="C310" t="inlineStr">
        <is>
          <t xml:space="preserve">I went last year and don't have the time this year. </t>
        </is>
      </c>
      <c r="D310" t="inlineStr"/>
    </row>
    <row r="311">
      <c r="A311" t="inlineStr">
        <is>
          <t>No</t>
        </is>
      </c>
      <c r="B311" t="inlineStr"/>
      <c r="C311" t="inlineStr">
        <is>
          <t>Past kids experience</t>
        </is>
      </c>
      <c r="D311" t="inlineStr"/>
    </row>
    <row r="312">
      <c r="A312" t="inlineStr"/>
      <c r="B312" t="inlineStr"/>
      <c r="C312" t="inlineStr"/>
      <c r="D312" t="inlineStr"/>
    </row>
    <row r="313">
      <c r="A313" t="inlineStr">
        <is>
          <t>No</t>
        </is>
      </c>
      <c r="B313" t="inlineStr"/>
      <c r="C313" t="inlineStr">
        <is>
          <t>I would really like to go in the future. I am sending 3 teens this year. Finance is a part of why I am not going. And then it would be tough for me to get off work that long this year. But hopefully next year.</t>
        </is>
      </c>
      <c r="D313" t="inlineStr"/>
    </row>
    <row r="314">
      <c r="A314" t="inlineStr">
        <is>
          <t>Yes</t>
        </is>
      </c>
      <c r="B314" t="inlineStr"/>
      <c r="C314" t="inlineStr"/>
      <c r="D314" t="inlineStr"/>
    </row>
    <row r="315">
      <c r="A315" t="inlineStr">
        <is>
          <t>No</t>
        </is>
      </c>
      <c r="B315" t="inlineStr"/>
      <c r="C315" t="inlineStr">
        <is>
          <t xml:space="preserve">I have other children </t>
        </is>
      </c>
      <c r="D315" t="inlineStr"/>
    </row>
    <row r="316">
      <c r="A316" t="inlineStr">
        <is>
          <t>No</t>
        </is>
      </c>
      <c r="B316" t="inlineStr"/>
      <c r="C316" t="inlineStr">
        <is>
          <t xml:space="preserve">My husband is the parent builder so I need to stay home </t>
        </is>
      </c>
      <c r="D316" t="inlineStr"/>
    </row>
    <row r="317">
      <c r="A317" t="inlineStr">
        <is>
          <t>No</t>
        </is>
      </c>
      <c r="B317" t="inlineStr"/>
      <c r="C317" t="inlineStr">
        <is>
          <t>Cost</t>
        </is>
      </c>
      <c r="D317" t="inlineStr"/>
    </row>
    <row r="318">
      <c r="A318" t="inlineStr">
        <is>
          <t>No</t>
        </is>
      </c>
      <c r="B318" t="inlineStr"/>
      <c r="C318" t="inlineStr">
        <is>
          <t>wanted my child to do it on her own</t>
        </is>
      </c>
      <c r="D318" t="inlineStr"/>
    </row>
    <row r="319">
      <c r="A319" t="inlineStr">
        <is>
          <t>No</t>
        </is>
      </c>
      <c r="B319" t="inlineStr"/>
      <c r="C319" t="inlineStr">
        <is>
          <t>Timing.  Giving my son space to meet new people.</t>
        </is>
      </c>
      <c r="D319" t="inlineStr"/>
    </row>
    <row r="320">
      <c r="A320" t="inlineStr">
        <is>
          <t>No</t>
        </is>
      </c>
      <c r="B320" t="inlineStr"/>
      <c r="C320" t="inlineStr">
        <is>
          <t>Time and money</t>
        </is>
      </c>
      <c r="D320" t="inlineStr"/>
    </row>
    <row r="321">
      <c r="A321" t="inlineStr">
        <is>
          <t>No</t>
        </is>
      </c>
      <c r="B321" t="inlineStr"/>
      <c r="C321" t="inlineStr">
        <is>
          <t xml:space="preserve">4 other needy children at home including a child with Autism. Work, cost etc. </t>
        </is>
      </c>
      <c r="D321" t="inlineStr"/>
    </row>
    <row r="322">
      <c r="A322" t="inlineStr">
        <is>
          <t>No</t>
        </is>
      </c>
      <c r="B322" t="inlineStr"/>
      <c r="C322" t="inlineStr">
        <is>
          <t>Money and time off work</t>
        </is>
      </c>
      <c r="D322" t="inlineStr"/>
    </row>
    <row r="323">
      <c r="A323" t="inlineStr">
        <is>
          <t>Yes</t>
        </is>
      </c>
      <c r="B323" t="inlineStr">
        <is>
          <t xml:space="preserve">Want to build a testimony building experience with Arin. </t>
        </is>
      </c>
      <c r="C323" t="inlineStr"/>
      <c r="D323" t="inlineStr"/>
    </row>
    <row r="324">
      <c r="A324" t="inlineStr">
        <is>
          <t>No</t>
        </is>
      </c>
      <c r="B324" t="inlineStr"/>
      <c r="C324" t="inlineStr">
        <is>
          <t>Time away from my younger children</t>
        </is>
      </c>
      <c r="D324" t="inlineStr"/>
    </row>
    <row r="325">
      <c r="A325" t="inlineStr">
        <is>
          <t>No</t>
        </is>
      </c>
      <c r="B325" t="inlineStr"/>
      <c r="C325" t="inlineStr"/>
      <c r="D325" t="inlineStr"/>
    </row>
    <row r="326">
      <c r="A326" t="inlineStr">
        <is>
          <t>Yes</t>
        </is>
      </c>
      <c r="B326" t="inlineStr">
        <is>
          <t>Experience with my daughter before she graduates and service opportunity</t>
        </is>
      </c>
      <c r="C326" t="inlineStr"/>
      <c r="D326" t="inlineStr"/>
    </row>
    <row r="327">
      <c r="A327" t="inlineStr">
        <is>
          <t>No</t>
        </is>
      </c>
      <c r="B327" t="inlineStr"/>
      <c r="C327" t="inlineStr">
        <is>
          <t xml:space="preserve">Other kids at home </t>
        </is>
      </c>
      <c r="D327" t="inlineStr"/>
    </row>
    <row r="328">
      <c r="A328" t="inlineStr">
        <is>
          <t>No</t>
        </is>
      </c>
      <c r="B328" t="inlineStr"/>
      <c r="C328" t="inlineStr">
        <is>
          <t>Logistics</t>
        </is>
      </c>
      <c r="D328" t="inlineStr"/>
    </row>
    <row r="329">
      <c r="A329" t="inlineStr"/>
      <c r="B329" t="inlineStr"/>
      <c r="C329" t="inlineStr"/>
      <c r="D329" t="inlineStr"/>
    </row>
    <row r="330">
      <c r="A330" t="inlineStr">
        <is>
          <t>No</t>
        </is>
      </c>
      <c r="B330" t="inlineStr"/>
      <c r="C330" t="inlineStr">
        <is>
          <t>This was for my kids I wanted them to have "me, mom" free time.</t>
        </is>
      </c>
      <c r="D330" t="inlineStr"/>
    </row>
    <row r="331">
      <c r="A331" t="inlineStr">
        <is>
          <t>No</t>
        </is>
      </c>
      <c r="B331" t="inlineStr"/>
      <c r="C331" t="inlineStr">
        <is>
          <t>I wanted him to experience it alone</t>
        </is>
      </c>
      <c r="D331" t="inlineStr"/>
    </row>
    <row r="332">
      <c r="A332" t="inlineStr">
        <is>
          <t>No</t>
        </is>
      </c>
      <c r="B332" t="inlineStr"/>
      <c r="C332" t="inlineStr">
        <is>
          <t>My husband is already going with my son and we felt like two parents on his trip would be overkill and costly.  Bummed because it sounds amazing!</t>
        </is>
      </c>
      <c r="D332" t="inlineStr"/>
    </row>
    <row r="333">
      <c r="A333" t="inlineStr">
        <is>
          <t>No</t>
        </is>
      </c>
      <c r="B333" t="inlineStr"/>
      <c r="C333" t="inlineStr">
        <is>
          <t>Price, length of being away from other children</t>
        </is>
      </c>
      <c r="D333" t="inlineStr"/>
    </row>
    <row r="334">
      <c r="A334" t="inlineStr"/>
      <c r="B334" t="inlineStr"/>
      <c r="C334" t="inlineStr"/>
      <c r="D334" t="inlineStr"/>
    </row>
    <row r="335">
      <c r="A335" t="inlineStr">
        <is>
          <t>No</t>
        </is>
      </c>
      <c r="B335" t="inlineStr"/>
      <c r="C335" t="inlineStr">
        <is>
          <t>Other family at home</t>
        </is>
      </c>
      <c r="D335" t="inlineStr"/>
    </row>
    <row r="336">
      <c r="A336" t="inlineStr">
        <is>
          <t>No</t>
        </is>
      </c>
      <c r="B336" t="inlineStr"/>
      <c r="C336" t="inlineStr">
        <is>
          <t xml:space="preserve">Child wanted to go alone </t>
        </is>
      </c>
      <c r="D336" t="inlineStr"/>
    </row>
    <row r="337">
      <c r="A337" t="inlineStr">
        <is>
          <t>No</t>
        </is>
      </c>
      <c r="B337" t="inlineStr"/>
      <c r="C337" t="inlineStr">
        <is>
          <t>I wanted my child to have an experience without me so that it was special for them. I do want to go some day! I love this program so much!</t>
        </is>
      </c>
      <c r="D337" t="inlineStr"/>
    </row>
    <row r="338">
      <c r="A338" t="inlineStr">
        <is>
          <t>No</t>
        </is>
      </c>
      <c r="B338" t="inlineStr"/>
      <c r="C338" t="inlineStr">
        <is>
          <t>I want my kids to have an experience on their own--to know that they can do hard things without me</t>
        </is>
      </c>
      <c r="D338" t="inlineStr"/>
    </row>
    <row r="339">
      <c r="A339" t="inlineStr">
        <is>
          <t>No</t>
        </is>
      </c>
      <c r="B339" t="inlineStr"/>
      <c r="C339" t="inlineStr">
        <is>
          <t>my kid would hold back if I was there</t>
        </is>
      </c>
      <c r="D339" t="inlineStr"/>
    </row>
    <row r="340">
      <c r="A340" t="inlineStr">
        <is>
          <t>No</t>
        </is>
      </c>
      <c r="B340" t="inlineStr"/>
      <c r="C340" t="inlineStr">
        <is>
          <t>My kids think they would get more out of their trip without a parent.</t>
        </is>
      </c>
      <c r="D340" t="inlineStr"/>
    </row>
    <row r="341">
      <c r="A341" t="inlineStr">
        <is>
          <t>No</t>
        </is>
      </c>
      <c r="B341" t="inlineStr"/>
      <c r="C341" t="inlineStr">
        <is>
          <t>Too many other commitments right now.</t>
        </is>
      </c>
      <c r="D341" t="inlineStr"/>
    </row>
    <row r="342">
      <c r="A342" t="inlineStr">
        <is>
          <t>No</t>
        </is>
      </c>
      <c r="B342" t="inlineStr"/>
      <c r="C342" t="inlineStr">
        <is>
          <t>Cost</t>
        </is>
      </c>
      <c r="D342" t="inlineStr"/>
    </row>
    <row r="343">
      <c r="A343" t="inlineStr">
        <is>
          <t>No</t>
        </is>
      </c>
      <c r="B343" t="inlineStr"/>
      <c r="C343" t="inlineStr">
        <is>
          <t>I have 6 other kids at home right now</t>
        </is>
      </c>
      <c r="D343" t="inlineStr"/>
    </row>
    <row r="344">
      <c r="A344" t="inlineStr">
        <is>
          <t>No</t>
        </is>
      </c>
      <c r="B344" t="inlineStr"/>
      <c r="C344" t="inlineStr">
        <is>
          <t xml:space="preserve">My kids wanted to go on their own </t>
        </is>
      </c>
      <c r="D344" t="inlineStr"/>
    </row>
    <row r="345">
      <c r="A345" t="inlineStr"/>
      <c r="B345" t="inlineStr"/>
      <c r="C345" t="inlineStr"/>
      <c r="D345" t="inlineStr"/>
    </row>
    <row r="346">
      <c r="A346" t="inlineStr">
        <is>
          <t>No</t>
        </is>
      </c>
      <c r="B346" t="inlineStr"/>
      <c r="C346" t="inlineStr">
        <is>
          <t>Other small children at home</t>
        </is>
      </c>
      <c r="D346" t="inlineStr"/>
    </row>
    <row r="347">
      <c r="A347" t="inlineStr">
        <is>
          <t>No</t>
        </is>
      </c>
      <c r="B347" t="inlineStr"/>
      <c r="C347" t="inlineStr">
        <is>
          <t>new job</t>
        </is>
      </c>
      <c r="D347" t="inlineStr"/>
    </row>
    <row r="348">
      <c r="A348" t="inlineStr">
        <is>
          <t>No</t>
        </is>
      </c>
      <c r="B348" t="inlineStr"/>
      <c r="C348" t="inlineStr">
        <is>
          <t>Want my daughter to have experience on her own</t>
        </is>
      </c>
      <c r="D348" t="inlineStr"/>
    </row>
    <row r="349">
      <c r="A349" t="inlineStr">
        <is>
          <t>No</t>
        </is>
      </c>
      <c r="B349" t="inlineStr"/>
      <c r="C349" t="inlineStr">
        <is>
          <t>My child did not want a parent with her this time</t>
        </is>
      </c>
      <c r="D349" t="inlineStr"/>
    </row>
    <row r="350">
      <c r="A350" t="inlineStr">
        <is>
          <t>No</t>
        </is>
      </c>
      <c r="B350" t="inlineStr"/>
      <c r="C350" t="inlineStr">
        <is>
          <t>Cost</t>
        </is>
      </c>
      <c r="D350" t="inlineStr"/>
    </row>
    <row r="351">
      <c r="A351" t="inlineStr">
        <is>
          <t>No</t>
        </is>
      </c>
      <c r="B351" t="inlineStr"/>
      <c r="C351" t="inlineStr">
        <is>
          <t xml:space="preserve">I totally would have but my builder said she needed to go and prepare to do things on her own. </t>
        </is>
      </c>
      <c r="D351" t="inlineStr"/>
    </row>
    <row r="352">
      <c r="A352" t="inlineStr"/>
      <c r="B352" t="inlineStr"/>
      <c r="C352" t="inlineStr"/>
      <c r="D352" t="inlineStr"/>
    </row>
    <row r="353">
      <c r="A353" t="inlineStr"/>
      <c r="B353" t="inlineStr"/>
      <c r="C353" t="inlineStr"/>
      <c r="D353" t="inlineStr"/>
    </row>
    <row r="354">
      <c r="A354" t="inlineStr">
        <is>
          <t>No</t>
        </is>
      </c>
      <c r="B354" t="inlineStr"/>
      <c r="C354" t="inlineStr"/>
      <c r="D354" t="inlineStr"/>
    </row>
    <row r="355">
      <c r="A355" t="inlineStr">
        <is>
          <t>No</t>
        </is>
      </c>
      <c r="B355" t="inlineStr"/>
      <c r="C355" t="inlineStr">
        <is>
          <t>Time</t>
        </is>
      </c>
      <c r="D355" t="inlineStr"/>
    </row>
    <row r="356">
      <c r="A356" t="inlineStr">
        <is>
          <t>Yes</t>
        </is>
      </c>
      <c r="B356" t="inlineStr">
        <is>
          <t>I initially went with my older daughter as I feel it is so important that they are exposed to the world and how blessed we are to have the luxuries and life we do. I had such a wonderful experience with her I wanted to go with my younger daughter as well.</t>
        </is>
      </c>
      <c r="C356" t="inlineStr"/>
      <c r="D356" t="inlineStr"/>
    </row>
    <row r="357">
      <c r="A357" t="inlineStr">
        <is>
          <t>Yes</t>
        </is>
      </c>
      <c r="B357" t="inlineStr">
        <is>
          <t xml:space="preserve">My daughter </t>
        </is>
      </c>
      <c r="C357" t="inlineStr"/>
      <c r="D357" t="inlineStr"/>
    </row>
    <row r="358">
      <c r="A358" t="inlineStr">
        <is>
          <t>No</t>
        </is>
      </c>
      <c r="B358" t="inlineStr"/>
      <c r="C358" t="inlineStr">
        <is>
          <t xml:space="preserve">Want my kid to be on his own </t>
        </is>
      </c>
      <c r="D358" t="inlineStr"/>
    </row>
    <row r="359">
      <c r="A359" t="inlineStr">
        <is>
          <t>No</t>
        </is>
      </c>
      <c r="B359" t="inlineStr"/>
      <c r="C359" t="inlineStr">
        <is>
          <t>Our kids need an adventure without his parents.</t>
        </is>
      </c>
      <c r="D359" t="inlineStr"/>
    </row>
    <row r="360">
      <c r="A360" t="inlineStr">
        <is>
          <t>No</t>
        </is>
      </c>
      <c r="B360" t="inlineStr"/>
      <c r="C360" t="inlineStr"/>
      <c r="D360" t="inlineStr"/>
    </row>
    <row r="361">
      <c r="A361" t="inlineStr">
        <is>
          <t>No</t>
        </is>
      </c>
      <c r="B361" t="inlineStr"/>
      <c r="C361" t="inlineStr">
        <is>
          <t>She went on an HXP trip last year and loved it, so we decided to send her on another one in a warmer location.</t>
        </is>
      </c>
      <c r="D361" t="inlineStr"/>
    </row>
    <row r="362">
      <c r="A362" t="inlineStr">
        <is>
          <t>No</t>
        </is>
      </c>
      <c r="B362" t="inlineStr"/>
      <c r="C362" t="inlineStr">
        <is>
          <t>His sister went on an HXP trip last year and he wanted to go this year and see what it is all about.  Also what a great opportunity for him to go serve others.</t>
        </is>
      </c>
      <c r="D362" t="inlineStr"/>
    </row>
    <row r="363">
      <c r="A363" t="inlineStr">
        <is>
          <t>No</t>
        </is>
      </c>
      <c r="B363" t="inlineStr"/>
      <c r="C363" t="inlineStr">
        <is>
          <t>Work and money. More important that our child go on these trips</t>
        </is>
      </c>
      <c r="D363" t="inlineStr"/>
    </row>
    <row r="364">
      <c r="A364" t="inlineStr">
        <is>
          <t>No</t>
        </is>
      </c>
      <c r="B364" t="inlineStr"/>
      <c r="C364" t="inlineStr">
        <is>
          <t>Money</t>
        </is>
      </c>
      <c r="D364" t="inlineStr"/>
    </row>
    <row r="365">
      <c r="A365" t="inlineStr">
        <is>
          <t>Yes</t>
        </is>
      </c>
      <c r="B365" t="inlineStr">
        <is>
          <t>Wanted to share the experience with my son</t>
        </is>
      </c>
      <c r="C365" t="inlineStr"/>
      <c r="D365" t="inlineStr"/>
    </row>
    <row r="366">
      <c r="A366" t="inlineStr">
        <is>
          <t>Yes</t>
        </is>
      </c>
      <c r="B366" t="inlineStr"/>
      <c r="C366" t="inlineStr"/>
      <c r="D366" t="inlineStr"/>
    </row>
    <row r="367">
      <c r="A367" t="inlineStr">
        <is>
          <t>Yes</t>
        </is>
      </c>
      <c r="B367" t="inlineStr">
        <is>
          <t>Past parent builder testimonials</t>
        </is>
      </c>
      <c r="C367" t="inlineStr"/>
      <c r="D367" t="inlineStr"/>
    </row>
    <row r="368">
      <c r="A368" t="inlineStr">
        <is>
          <t>No</t>
        </is>
      </c>
      <c r="B368" t="inlineStr"/>
      <c r="C368" t="inlineStr">
        <is>
          <t xml:space="preserve">Money, time </t>
        </is>
      </c>
      <c r="D368" t="inlineStr"/>
    </row>
    <row r="369">
      <c r="A369" t="inlineStr">
        <is>
          <t>Yes</t>
        </is>
      </c>
      <c r="B369" t="inlineStr">
        <is>
          <t xml:space="preserve">Don't want to send 14 year old alone to meet up </t>
        </is>
      </c>
      <c r="C369" t="inlineStr"/>
      <c r="D369" t="inlineStr"/>
    </row>
    <row r="370">
      <c r="A370" t="inlineStr">
        <is>
          <t>No</t>
        </is>
      </c>
      <c r="B370" t="inlineStr"/>
      <c r="C370" t="inlineStr">
        <is>
          <t xml:space="preserve">They already had both parent builders needed. </t>
        </is>
      </c>
      <c r="D370" t="inlineStr"/>
    </row>
    <row r="371">
      <c r="A371" t="inlineStr">
        <is>
          <t>No</t>
        </is>
      </c>
      <c r="B371" t="inlineStr"/>
      <c r="C371" t="inlineStr">
        <is>
          <t>Cost and amount of time</t>
        </is>
      </c>
      <c r="D371" t="inlineStr"/>
    </row>
    <row r="372">
      <c r="A372" t="inlineStr">
        <is>
          <t>No</t>
        </is>
      </c>
      <c r="B372" t="inlineStr"/>
      <c r="C372" t="inlineStr">
        <is>
          <t>Cost and wanting my child to have an independent experience</t>
        </is>
      </c>
      <c r="D372" t="inlineStr"/>
    </row>
    <row r="373">
      <c r="A373" t="inlineStr">
        <is>
          <t>No</t>
        </is>
      </c>
      <c r="B373" t="inlineStr"/>
      <c r="C373" t="inlineStr">
        <is>
          <t xml:space="preserve">Time/ cost/ availability </t>
        </is>
      </c>
      <c r="D373" t="inlineStr"/>
    </row>
    <row r="374">
      <c r="A374" t="inlineStr">
        <is>
          <t>Yes</t>
        </is>
      </c>
      <c r="B374" t="inlineStr">
        <is>
          <t>Wanted to have this kind of experience with my kids</t>
        </is>
      </c>
      <c r="C374" t="inlineStr"/>
      <c r="D374" t="inlineStr"/>
    </row>
    <row r="375">
      <c r="A375" t="inlineStr">
        <is>
          <t>No</t>
        </is>
      </c>
      <c r="B375" t="inlineStr"/>
      <c r="C375" t="inlineStr">
        <is>
          <t>Opportunity for child to grow on own</t>
        </is>
      </c>
      <c r="D375" t="inlineStr"/>
    </row>
    <row r="376">
      <c r="A376" t="inlineStr">
        <is>
          <t>No</t>
        </is>
      </c>
      <c r="B376" t="inlineStr"/>
      <c r="C376" t="inlineStr"/>
      <c r="D376" t="inlineStr"/>
    </row>
    <row r="377">
      <c r="A377" t="inlineStr">
        <is>
          <t>No</t>
        </is>
      </c>
      <c r="B377" t="inlineStr"/>
      <c r="C377" t="inlineStr">
        <is>
          <t>She doesn’t want me to. Wants to be a big girl :)</t>
        </is>
      </c>
      <c r="D377" t="inlineStr"/>
    </row>
    <row r="378">
      <c r="A378" t="inlineStr">
        <is>
          <t>Maybe</t>
        </is>
      </c>
      <c r="B378" t="inlineStr"/>
      <c r="C378" t="inlineStr"/>
      <c r="D378" t="inlineStr">
        <is>
          <t>Help with the expense</t>
        </is>
      </c>
    </row>
    <row r="379">
      <c r="A379" t="inlineStr">
        <is>
          <t>No</t>
        </is>
      </c>
      <c r="B379" t="inlineStr"/>
      <c r="C379" t="inlineStr">
        <is>
          <t>Cost</t>
        </is>
      </c>
      <c r="D379" t="inlineStr"/>
    </row>
    <row r="380">
      <c r="A380" t="inlineStr"/>
      <c r="B380" t="inlineStr"/>
      <c r="C380" t="inlineStr"/>
      <c r="D380" t="inlineStr"/>
    </row>
    <row r="381">
      <c r="A381" t="inlineStr">
        <is>
          <t>Yes</t>
        </is>
      </c>
      <c r="B381" t="inlineStr">
        <is>
          <t>My youth</t>
        </is>
      </c>
      <c r="C381" t="inlineStr"/>
      <c r="D381" t="inlineStr"/>
    </row>
    <row r="382">
      <c r="A382" t="inlineStr">
        <is>
          <t>No</t>
        </is>
      </c>
      <c r="B382" t="inlineStr"/>
      <c r="C382" t="inlineStr">
        <is>
          <t xml:space="preserve">My child wanted to go on her own </t>
        </is>
      </c>
      <c r="D382" t="inlineStr"/>
    </row>
    <row r="383">
      <c r="A383" t="inlineStr">
        <is>
          <t>No</t>
        </is>
      </c>
      <c r="B383" t="inlineStr"/>
      <c r="C383" t="inlineStr">
        <is>
          <t>Cost</t>
        </is>
      </c>
      <c r="D383" t="inlineStr"/>
    </row>
    <row r="384">
      <c r="A384" t="inlineStr">
        <is>
          <t>No</t>
        </is>
      </c>
      <c r="B384" t="inlineStr"/>
      <c r="C384" t="inlineStr">
        <is>
          <t>Cost</t>
        </is>
      </c>
      <c r="D384" t="inlineStr"/>
    </row>
    <row r="385">
      <c r="A385" t="inlineStr">
        <is>
          <t>No</t>
        </is>
      </c>
      <c r="B385" t="inlineStr"/>
      <c r="C385" t="inlineStr">
        <is>
          <t xml:space="preserve">Just have smaller kids at home but would have liked to </t>
        </is>
      </c>
      <c r="D385" t="inlineStr"/>
    </row>
    <row r="386">
      <c r="A386" t="inlineStr">
        <is>
          <t>No</t>
        </is>
      </c>
      <c r="B386" t="inlineStr"/>
      <c r="C386" t="inlineStr">
        <is>
          <t xml:space="preserve">I would've been happy to go on any other trip other than my own child. Even though it can be an incredibly bonding experience to do something like this with your child, this is uniquely, pivotal and giving my child necessary time away from home and family to really Grow and examine their selves independently. </t>
        </is>
      </c>
      <c r="D386" t="inlineStr"/>
    </row>
    <row r="387">
      <c r="A387" t="inlineStr">
        <is>
          <t>No</t>
        </is>
      </c>
      <c r="B387" t="inlineStr"/>
      <c r="C387" t="inlineStr">
        <is>
          <t>Builders choice</t>
        </is>
      </c>
      <c r="D387" t="inlineStr"/>
    </row>
    <row r="388">
      <c r="A388" t="inlineStr">
        <is>
          <t>No</t>
        </is>
      </c>
      <c r="B388" t="inlineStr"/>
      <c r="C388" t="inlineStr">
        <is>
          <t xml:space="preserve">Money and choosing which of my two girls to go with. </t>
        </is>
      </c>
      <c r="D388" t="inlineStr"/>
    </row>
    <row r="389">
      <c r="A389" t="inlineStr"/>
      <c r="B389" t="inlineStr"/>
      <c r="C389" t="inlineStr"/>
      <c r="D389" t="inlineStr"/>
    </row>
    <row r="390">
      <c r="A390" t="inlineStr">
        <is>
          <t>No</t>
        </is>
      </c>
      <c r="B390" t="inlineStr"/>
      <c r="C390" t="inlineStr">
        <is>
          <t>Money and choosing between my girls</t>
        </is>
      </c>
      <c r="D390" t="inlineStr"/>
    </row>
    <row r="391">
      <c r="A391" t="inlineStr">
        <is>
          <t>No</t>
        </is>
      </c>
      <c r="B391" t="inlineStr"/>
      <c r="C391" t="inlineStr">
        <is>
          <t>I went last year and loved it. I will go again next year.</t>
        </is>
      </c>
      <c r="D391" t="inlineStr"/>
    </row>
    <row r="392">
      <c r="A392" t="inlineStr"/>
      <c r="B392" t="inlineStr"/>
      <c r="C392" t="inlineStr"/>
      <c r="D392" t="inlineStr"/>
    </row>
    <row r="393">
      <c r="A393" t="inlineStr">
        <is>
          <t>Yes</t>
        </is>
      </c>
      <c r="B393" t="inlineStr">
        <is>
          <t>Husband went with older 2 kids. Now it’s my turn!</t>
        </is>
      </c>
      <c r="C393" t="inlineStr"/>
      <c r="D393" t="inlineStr"/>
    </row>
    <row r="394">
      <c r="A394" t="inlineStr">
        <is>
          <t>No</t>
        </is>
      </c>
      <c r="B394" t="inlineStr"/>
      <c r="C394" t="inlineStr"/>
      <c r="D394" t="inlineStr"/>
    </row>
    <row r="395">
      <c r="A395" t="inlineStr">
        <is>
          <t>No</t>
        </is>
      </c>
      <c r="B395" t="inlineStr"/>
      <c r="C395" t="inlineStr">
        <is>
          <t>Time away from family, work, and calling</t>
        </is>
      </c>
      <c r="D395" t="inlineStr"/>
    </row>
    <row r="396">
      <c r="A396" t="inlineStr">
        <is>
          <t>No</t>
        </is>
      </c>
      <c r="B396" t="inlineStr"/>
      <c r="C396" t="inlineStr">
        <is>
          <t>older sibling went and had a great experience.</t>
        </is>
      </c>
      <c r="D396" t="inlineStr"/>
    </row>
    <row r="397">
      <c r="A397" t="inlineStr">
        <is>
          <t>No</t>
        </is>
      </c>
      <c r="B397" t="inlineStr"/>
      <c r="C397" t="inlineStr">
        <is>
          <t>My son wanted an experience without me</t>
        </is>
      </c>
      <c r="D397" t="inlineStr"/>
    </row>
    <row r="398">
      <c r="A398" t="inlineStr">
        <is>
          <t>No</t>
        </is>
      </c>
      <c r="B398" t="inlineStr"/>
      <c r="C398" t="inlineStr">
        <is>
          <t>Want my child to have an experience without her parents</t>
        </is>
      </c>
      <c r="D398" t="inlineStr"/>
    </row>
    <row r="399">
      <c r="A399" t="inlineStr"/>
      <c r="B399" t="inlineStr"/>
      <c r="C399" t="inlineStr"/>
      <c r="D399" t="inlineStr"/>
    </row>
    <row r="400">
      <c r="A400" t="inlineStr">
        <is>
          <t>No</t>
        </is>
      </c>
      <c r="B400" t="inlineStr"/>
      <c r="C400" t="inlineStr">
        <is>
          <t>I tried, but there wasn't a spot available for me to go.</t>
        </is>
      </c>
      <c r="D400" t="inlineStr"/>
    </row>
    <row r="401">
      <c r="A401" t="inlineStr">
        <is>
          <t>No</t>
        </is>
      </c>
      <c r="B401" t="inlineStr"/>
      <c r="C401" t="inlineStr">
        <is>
          <t>Price.  Just can’t afford to send two of us</t>
        </is>
      </c>
      <c r="D401" t="inlineStr"/>
    </row>
    <row r="402">
      <c r="A402" t="inlineStr">
        <is>
          <t>Yes</t>
        </is>
      </c>
      <c r="B402" t="inlineStr">
        <is>
          <t xml:space="preserve">Spending time with my son and being able to give to others. </t>
        </is>
      </c>
      <c r="C402" t="inlineStr"/>
      <c r="D402" t="inlineStr"/>
    </row>
    <row r="403">
      <c r="A403" t="inlineStr">
        <is>
          <t>Yes</t>
        </is>
      </c>
      <c r="B403" t="inlineStr">
        <is>
          <t>Wanted to open a spot for my son</t>
        </is>
      </c>
      <c r="C403" t="inlineStr"/>
      <c r="D403" t="inlineStr"/>
    </row>
    <row r="404">
      <c r="A404" t="inlineStr">
        <is>
          <t>No</t>
        </is>
      </c>
      <c r="B404" t="inlineStr"/>
      <c r="C404" t="inlineStr">
        <is>
          <t xml:space="preserve">Wanted our daughter to have her own experience. </t>
        </is>
      </c>
      <c r="D404" t="inlineStr"/>
    </row>
    <row r="405">
      <c r="A405" t="inlineStr">
        <is>
          <t>No</t>
        </is>
      </c>
      <c r="B405" t="inlineStr"/>
      <c r="C405" t="inlineStr">
        <is>
          <t>money and time</t>
        </is>
      </c>
      <c r="D405" t="inlineStr"/>
    </row>
    <row r="406">
      <c r="A406" t="inlineStr">
        <is>
          <t>No</t>
        </is>
      </c>
      <c r="B406" t="inlineStr"/>
      <c r="C406" t="inlineStr">
        <is>
          <t>My child prefers I didn’t go</t>
        </is>
      </c>
      <c r="D406" t="inlineStr"/>
    </row>
    <row r="407">
      <c r="A407" t="inlineStr">
        <is>
          <t>No</t>
        </is>
      </c>
      <c r="B407" t="inlineStr"/>
      <c r="C407" t="inlineStr">
        <is>
          <t>time</t>
        </is>
      </c>
      <c r="D407" t="inlineStr"/>
    </row>
    <row r="408">
      <c r="A408" t="inlineStr"/>
      <c r="B408" t="inlineStr"/>
      <c r="C408" t="inlineStr"/>
      <c r="D408" t="inlineStr"/>
    </row>
    <row r="409">
      <c r="A409" t="inlineStr">
        <is>
          <t>No</t>
        </is>
      </c>
      <c r="B409" t="inlineStr"/>
      <c r="C409" t="inlineStr">
        <is>
          <t xml:space="preserve">It’s too expensive to send a kid and a parent builder!  Especially since the trips are more this year. </t>
        </is>
      </c>
      <c r="D409" t="inlineStr"/>
    </row>
    <row r="410">
      <c r="A410" t="inlineStr">
        <is>
          <t>No</t>
        </is>
      </c>
      <c r="B410" t="inlineStr"/>
      <c r="C410" t="inlineStr">
        <is>
          <t>I think he needs this experience on his own without Mom and Dad there.</t>
        </is>
      </c>
      <c r="D410" t="inlineStr"/>
    </row>
    <row r="411">
      <c r="A411" t="inlineStr">
        <is>
          <t>Yes</t>
        </is>
      </c>
      <c r="B411" t="inlineStr">
        <is>
          <t>We sent an older daughter a few years ago.  Ever since then I have felt very strongly that I am supposed to go with the daughter I'm going with this year.  I guess my answer is The Spirit.  Everything in my life right now except for The Spirit says this is a bad idea.  I have no doubt it's the right idea.</t>
        </is>
      </c>
      <c r="C411" t="inlineStr"/>
      <c r="D411" t="inlineStr"/>
    </row>
    <row r="412">
      <c r="A412" t="inlineStr">
        <is>
          <t>No</t>
        </is>
      </c>
      <c r="B412" t="inlineStr"/>
      <c r="C412" t="inlineStr">
        <is>
          <t xml:space="preserve">busy work schedule and no one asked. </t>
        </is>
      </c>
      <c r="D412" t="inlineStr"/>
    </row>
    <row r="413">
      <c r="A413" t="inlineStr">
        <is>
          <t>No</t>
        </is>
      </c>
      <c r="B413" t="inlineStr"/>
      <c r="C413" t="inlineStr">
        <is>
          <t xml:space="preserve">My son needed independence </t>
        </is>
      </c>
      <c r="D413" t="inlineStr"/>
    </row>
    <row r="414">
      <c r="A414" t="inlineStr">
        <is>
          <t>No</t>
        </is>
      </c>
      <c r="B414" t="inlineStr"/>
      <c r="C414" t="inlineStr">
        <is>
          <t>Time off</t>
        </is>
      </c>
      <c r="D414" t="inlineStr"/>
    </row>
    <row r="415">
      <c r="A415" t="inlineStr">
        <is>
          <t>No</t>
        </is>
      </c>
      <c r="B415" t="inlineStr"/>
      <c r="C415" t="inlineStr">
        <is>
          <t>Work demands</t>
        </is>
      </c>
      <c r="D415" t="inlineStr"/>
    </row>
    <row r="416">
      <c r="A416" t="inlineStr">
        <is>
          <t>No</t>
        </is>
      </c>
      <c r="B416" t="inlineStr"/>
      <c r="C416" t="inlineStr">
        <is>
          <t>Cost</t>
        </is>
      </c>
      <c r="D416" t="inlineStr"/>
    </row>
    <row r="417">
      <c r="A417" t="inlineStr">
        <is>
          <t>Yes</t>
        </is>
      </c>
      <c r="B417" t="inlineStr">
        <is>
          <t>Time with my son, experience the adventure and opportunity myself, and the ability to learn and grow from such awesome youth</t>
        </is>
      </c>
      <c r="C417" t="inlineStr"/>
      <c r="D417" t="inlineStr"/>
    </row>
    <row r="418">
      <c r="A418" t="inlineStr">
        <is>
          <t>No</t>
        </is>
      </c>
      <c r="B418" t="inlineStr"/>
      <c r="C418" t="inlineStr"/>
      <c r="D418" t="inlineStr"/>
    </row>
    <row r="419">
      <c r="A419" t="inlineStr">
        <is>
          <t>No</t>
        </is>
      </c>
      <c r="B419" t="inlineStr"/>
      <c r="C419" t="inlineStr">
        <is>
          <t>My child needed to go do something without his parent</t>
        </is>
      </c>
      <c r="D419" t="inlineStr"/>
    </row>
    <row r="420">
      <c r="A420" t="inlineStr">
        <is>
          <t>No</t>
        </is>
      </c>
      <c r="B420" t="inlineStr"/>
      <c r="C420" t="inlineStr">
        <is>
          <t>Too many young kids at home</t>
        </is>
      </c>
      <c r="D420" t="inlineStr"/>
    </row>
    <row r="421">
      <c r="A421" t="inlineStr">
        <is>
          <t>No</t>
        </is>
      </c>
      <c r="B421" t="inlineStr"/>
      <c r="C421" t="inlineStr">
        <is>
          <t>Previous builder t</t>
        </is>
      </c>
      <c r="D421" t="inlineStr"/>
    </row>
    <row r="422">
      <c r="A422" t="inlineStr">
        <is>
          <t>No</t>
        </is>
      </c>
      <c r="B422" t="inlineStr"/>
      <c r="C422" t="inlineStr">
        <is>
          <t>Not enough money to send me and my daughter</t>
        </is>
      </c>
      <c r="D422" t="inlineStr"/>
    </row>
    <row r="423">
      <c r="A423" t="inlineStr"/>
      <c r="B423" t="inlineStr"/>
      <c r="C423" t="inlineStr"/>
      <c r="D423" t="inlineStr"/>
    </row>
    <row r="424">
      <c r="A424" t="inlineStr">
        <is>
          <t>No</t>
        </is>
      </c>
      <c r="B424" t="inlineStr"/>
      <c r="C424" t="inlineStr">
        <is>
          <t>friends and family have been before</t>
        </is>
      </c>
      <c r="D424" t="inlineStr"/>
    </row>
    <row r="425">
      <c r="A425" t="inlineStr">
        <is>
          <t>No</t>
        </is>
      </c>
      <c r="B425" t="inlineStr"/>
      <c r="C425" t="inlineStr">
        <is>
          <t xml:space="preserve">My son didn’t want us to go with him. </t>
        </is>
      </c>
      <c r="D425" t="inlineStr"/>
    </row>
    <row r="426">
      <c r="A426" t="inlineStr">
        <is>
          <t>No</t>
        </is>
      </c>
      <c r="B426" t="inlineStr"/>
      <c r="C426" t="inlineStr"/>
      <c r="D426" t="inlineStr"/>
    </row>
    <row r="427">
      <c r="A427" t="inlineStr">
        <is>
          <t>No</t>
        </is>
      </c>
      <c r="B427" t="inlineStr"/>
      <c r="C427" t="inlineStr">
        <is>
          <t xml:space="preserve">Couldn’t get time off, expense </t>
        </is>
      </c>
      <c r="D427" t="inlineStr"/>
    </row>
    <row r="428">
      <c r="A428" t="inlineStr">
        <is>
          <t>No</t>
        </is>
      </c>
      <c r="B428" t="inlineStr"/>
      <c r="C428" t="inlineStr"/>
      <c r="D428" t="inlineStr"/>
    </row>
    <row r="429">
      <c r="A429" t="inlineStr">
        <is>
          <t>No</t>
        </is>
      </c>
      <c r="B429" t="inlineStr"/>
      <c r="C429" t="inlineStr">
        <is>
          <t>My son wants to go alone</t>
        </is>
      </c>
      <c r="D429" t="inlineStr"/>
    </row>
    <row r="430">
      <c r="A430" t="inlineStr">
        <is>
          <t>No</t>
        </is>
      </c>
      <c r="B430" t="inlineStr"/>
      <c r="C430" t="inlineStr">
        <is>
          <t>time</t>
        </is>
      </c>
      <c r="D430" t="inlineStr"/>
    </row>
    <row r="431">
      <c r="A431" t="inlineStr">
        <is>
          <t>No</t>
        </is>
      </c>
      <c r="B431" t="inlineStr"/>
      <c r="C431" t="inlineStr">
        <is>
          <t xml:space="preserve">Time and money </t>
        </is>
      </c>
      <c r="D431" t="inlineStr"/>
    </row>
    <row r="432">
      <c r="A432" t="inlineStr">
        <is>
          <t>Maybe</t>
        </is>
      </c>
      <c r="B432" t="inlineStr"/>
      <c r="C432" t="inlineStr"/>
      <c r="D432" t="inlineStr">
        <is>
          <t xml:space="preserve">Finding childcare for my younger kids not on the trip </t>
        </is>
      </c>
    </row>
    <row r="433">
      <c r="A433" t="inlineStr">
        <is>
          <t>No</t>
        </is>
      </c>
      <c r="B433" t="inlineStr"/>
      <c r="C433" t="inlineStr">
        <is>
          <t>I went last year and so did my husband, so my daughter wanted to experience it all on her own this year. I would love to next year!</t>
        </is>
      </c>
      <c r="D433" t="inlineStr"/>
    </row>
    <row r="434">
      <c r="A434" t="inlineStr">
        <is>
          <t>No</t>
        </is>
      </c>
      <c r="B434" t="inlineStr"/>
      <c r="C434" t="inlineStr">
        <is>
          <t>kids at home</t>
        </is>
      </c>
      <c r="D434" t="inlineStr"/>
    </row>
    <row r="435">
      <c r="A435" t="inlineStr">
        <is>
          <t>No</t>
        </is>
      </c>
      <c r="B435" t="inlineStr"/>
      <c r="C435" t="inlineStr"/>
      <c r="D435" t="inlineStr"/>
    </row>
    <row r="436">
      <c r="A436" t="inlineStr">
        <is>
          <t>No</t>
        </is>
      </c>
      <c r="B436" t="inlineStr"/>
      <c r="C436" t="inlineStr">
        <is>
          <t xml:space="preserve">Other kids at home and planned activities </t>
        </is>
      </c>
      <c r="D436" t="inlineStr"/>
    </row>
    <row r="437">
      <c r="A437" t="inlineStr"/>
      <c r="B437" t="inlineStr"/>
      <c r="C437" t="inlineStr"/>
      <c r="D437" t="inlineStr"/>
    </row>
    <row r="438">
      <c r="A438" t="inlineStr">
        <is>
          <t>Yes</t>
        </is>
      </c>
      <c r="B438" t="inlineStr">
        <is>
          <t xml:space="preserve">My daughter </t>
        </is>
      </c>
      <c r="C438" t="inlineStr"/>
      <c r="D438" t="inlineStr"/>
    </row>
    <row r="439">
      <c r="A439" t="inlineStr">
        <is>
          <t>No</t>
        </is>
      </c>
      <c r="B439" t="inlineStr"/>
      <c r="C439" t="inlineStr"/>
      <c r="D439" t="inlineStr"/>
    </row>
    <row r="440">
      <c r="A440" t="inlineStr">
        <is>
          <t>Yes</t>
        </is>
      </c>
      <c r="B440" t="inlineStr">
        <is>
          <t>Prayer</t>
        </is>
      </c>
      <c r="C440" t="inlineStr"/>
      <c r="D440" t="inlineStr"/>
    </row>
    <row r="441">
      <c r="A441" t="inlineStr">
        <is>
          <t>No</t>
        </is>
      </c>
      <c r="B441" t="inlineStr"/>
      <c r="C441" t="inlineStr">
        <is>
          <t>My job</t>
        </is>
      </c>
      <c r="D441" t="inlineStr"/>
    </row>
    <row r="442">
      <c r="A442" t="inlineStr">
        <is>
          <t>No</t>
        </is>
      </c>
      <c r="B442" t="inlineStr"/>
      <c r="C442" t="inlineStr"/>
      <c r="D442" t="inlineStr"/>
    </row>
    <row r="443">
      <c r="A443" t="inlineStr">
        <is>
          <t>Yes</t>
        </is>
      </c>
      <c r="B443" t="inlineStr"/>
      <c r="C443" t="inlineStr"/>
      <c r="D443" t="inlineStr"/>
    </row>
    <row r="444">
      <c r="A444" t="inlineStr">
        <is>
          <t>No</t>
        </is>
      </c>
      <c r="B444" t="inlineStr"/>
      <c r="C444" t="inlineStr">
        <is>
          <t xml:space="preserve">Money.   :(  I would love to in the future if I can ever afford it!!!!!  I want to so bad!    :)  I went to Tonga as a parent several years ago for my youngest sister and it was such an amazing experience!  I have eagerly awaited for my kids to have this experience!!!   </t>
        </is>
      </c>
      <c r="D444" t="inlineStr"/>
    </row>
    <row r="445">
      <c r="A445" t="inlineStr">
        <is>
          <t>No</t>
        </is>
      </c>
      <c r="B445" t="inlineStr"/>
      <c r="C445" t="inlineStr">
        <is>
          <t>Smaller kids at home</t>
        </is>
      </c>
      <c r="D445" t="inlineStr"/>
    </row>
    <row r="446">
      <c r="A446" t="inlineStr">
        <is>
          <t>No</t>
        </is>
      </c>
      <c r="B446" t="inlineStr"/>
      <c r="C446" t="inlineStr">
        <is>
          <t>Cost/time</t>
        </is>
      </c>
      <c r="D446" t="inlineStr"/>
    </row>
    <row r="447">
      <c r="A447" t="inlineStr">
        <is>
          <t>No</t>
        </is>
      </c>
      <c r="B447" t="inlineStr"/>
      <c r="C447" t="inlineStr"/>
      <c r="D447" t="inlineStr"/>
    </row>
    <row r="448">
      <c r="A448" t="inlineStr">
        <is>
          <t>No</t>
        </is>
      </c>
      <c r="B448" t="inlineStr"/>
      <c r="C448" t="inlineStr">
        <is>
          <t>Younger kids at home, and also wanting my son to have this experience independently</t>
        </is>
      </c>
      <c r="D448" t="inlineStr"/>
    </row>
    <row r="449">
      <c r="A449" t="inlineStr">
        <is>
          <t>No</t>
        </is>
      </c>
      <c r="B449" t="inlineStr"/>
      <c r="C449" t="inlineStr">
        <is>
          <t>too hard to leave the other children at home for that length of time</t>
        </is>
      </c>
      <c r="D449" t="inlineStr"/>
    </row>
    <row r="450">
      <c r="A450" t="inlineStr">
        <is>
          <t>No</t>
        </is>
      </c>
      <c r="B450" t="inlineStr"/>
      <c r="C450" t="inlineStr"/>
      <c r="D450" t="inlineStr"/>
    </row>
    <row r="451">
      <c r="A451" t="inlineStr">
        <is>
          <t>No</t>
        </is>
      </c>
      <c r="B451" t="inlineStr"/>
      <c r="C451" t="inlineStr">
        <is>
          <t>My child said they wanted this to be an independent experience :(</t>
        </is>
      </c>
      <c r="D451" t="inlineStr"/>
    </row>
    <row r="452">
      <c r="A452" t="inlineStr">
        <is>
          <t>No</t>
        </is>
      </c>
      <c r="B452" t="inlineStr"/>
      <c r="C452" t="inlineStr">
        <is>
          <t>Price</t>
        </is>
      </c>
      <c r="D452" t="inlineStr"/>
    </row>
    <row r="453">
      <c r="A453" t="inlineStr">
        <is>
          <t>No</t>
        </is>
      </c>
      <c r="B453" t="inlineStr"/>
      <c r="C453" t="inlineStr">
        <is>
          <t>My criterion is to help my daughter increase autonomy.</t>
        </is>
      </c>
      <c r="D453" t="inlineStr"/>
    </row>
    <row r="454">
      <c r="A454" t="inlineStr">
        <is>
          <t>No</t>
        </is>
      </c>
      <c r="B454" t="inlineStr"/>
      <c r="C454" t="inlineStr">
        <is>
          <t>Cost and I think my daughter would do better without me there.</t>
        </is>
      </c>
      <c r="D454" t="inlineStr"/>
    </row>
    <row r="455">
      <c r="A455" t="inlineStr">
        <is>
          <t>No</t>
        </is>
      </c>
      <c r="B455" t="inlineStr"/>
      <c r="C455" t="inlineStr">
        <is>
          <t xml:space="preserve">just not a traveler </t>
        </is>
      </c>
      <c r="D455" t="inlineStr"/>
    </row>
    <row r="456">
      <c r="A456" t="inlineStr">
        <is>
          <t>No</t>
        </is>
      </c>
      <c r="B456" t="inlineStr"/>
      <c r="C456" t="inlineStr">
        <is>
          <t>Time commitment</t>
        </is>
      </c>
      <c r="D456" t="inlineStr"/>
    </row>
    <row r="457">
      <c r="A457" t="inlineStr">
        <is>
          <t>No</t>
        </is>
      </c>
      <c r="B457" t="inlineStr"/>
      <c r="C457" t="inlineStr">
        <is>
          <t>Money and work</t>
        </is>
      </c>
      <c r="D457" t="inlineStr"/>
    </row>
    <row r="458">
      <c r="A458" t="inlineStr">
        <is>
          <t>No</t>
        </is>
      </c>
      <c r="B458" t="inlineStr"/>
      <c r="C458" t="inlineStr">
        <is>
          <t>We couldn’t get time off work and other family responsibilities.</t>
        </is>
      </c>
      <c r="D458" t="inlineStr"/>
    </row>
    <row r="459">
      <c r="A459" t="inlineStr">
        <is>
          <t>No</t>
        </is>
      </c>
      <c r="B459" t="inlineStr"/>
      <c r="C459" t="inlineStr">
        <is>
          <t xml:space="preserve">Our son didn't want us too, otherwise we would have gone </t>
        </is>
      </c>
      <c r="D459" t="inlineStr"/>
    </row>
    <row r="460">
      <c r="A460" t="inlineStr">
        <is>
          <t>No</t>
        </is>
      </c>
      <c r="B460" t="inlineStr"/>
      <c r="C460" t="inlineStr"/>
      <c r="D460" t="inlineStr"/>
    </row>
    <row r="461">
      <c r="A461" t="inlineStr">
        <is>
          <t>No</t>
        </is>
      </c>
      <c r="B461" t="inlineStr"/>
      <c r="C461" t="inlineStr"/>
      <c r="D461" t="inlineStr"/>
    </row>
    <row r="462">
      <c r="A462" t="inlineStr">
        <is>
          <t>Yes</t>
        </is>
      </c>
      <c r="B462" t="inlineStr">
        <is>
          <t>Not willing to let my child leave the country without me :)</t>
        </is>
      </c>
      <c r="C462" t="inlineStr"/>
      <c r="D462" t="inlineStr"/>
    </row>
    <row r="463">
      <c r="A463" t="inlineStr">
        <is>
          <t>No</t>
        </is>
      </c>
      <c r="B463" t="inlineStr"/>
      <c r="C463" t="inlineStr">
        <is>
          <t>my child wanted an experience independent of me</t>
        </is>
      </c>
      <c r="D463" t="inlineStr"/>
    </row>
    <row r="464">
      <c r="A464" t="inlineStr">
        <is>
          <t>No</t>
        </is>
      </c>
      <c r="B464" t="inlineStr"/>
      <c r="C464" t="inlineStr">
        <is>
          <t>other kids at home. I travel a lot myself, but don't think my kids would want me to be there. I'd like them to have their own experience</t>
        </is>
      </c>
      <c r="D464" t="inlineStr"/>
    </row>
    <row r="465">
      <c r="A465" t="inlineStr">
        <is>
          <t>No</t>
        </is>
      </c>
      <c r="B465" t="inlineStr"/>
      <c r="C465" t="inlineStr">
        <is>
          <t>Cost; Work commitments</t>
        </is>
      </c>
      <c r="D465" t="inlineStr"/>
    </row>
    <row r="466">
      <c r="A466" t="inlineStr">
        <is>
          <t>No</t>
        </is>
      </c>
      <c r="B466" t="inlineStr"/>
      <c r="C466" t="inlineStr">
        <is>
          <t>No time off work.</t>
        </is>
      </c>
      <c r="D466" t="inlineStr"/>
    </row>
    <row r="467">
      <c r="A467" t="inlineStr">
        <is>
          <t>Yes</t>
        </is>
      </c>
      <c r="B467" t="inlineStr">
        <is>
          <t>My husband went last year with our daughter and had a great experience.</t>
        </is>
      </c>
      <c r="C467" t="inlineStr"/>
      <c r="D467" t="inlineStr"/>
    </row>
    <row r="468">
      <c r="A468" t="inlineStr"/>
      <c r="B468" t="inlineStr"/>
      <c r="C468" t="inlineStr"/>
      <c r="D468" t="inlineStr"/>
    </row>
    <row r="469">
      <c r="A469" t="inlineStr">
        <is>
          <t>No</t>
        </is>
      </c>
      <c r="B469" t="inlineStr"/>
      <c r="C469" t="inlineStr">
        <is>
          <t>Work schedule, price, health.</t>
        </is>
      </c>
      <c r="D469" t="inlineStr"/>
    </row>
    <row r="470">
      <c r="A470" t="inlineStr">
        <is>
          <t>No</t>
        </is>
      </c>
      <c r="B470" t="inlineStr"/>
      <c r="C470" t="inlineStr">
        <is>
          <t>Work, price, health</t>
        </is>
      </c>
      <c r="D470" t="inlineStr"/>
    </row>
    <row r="471">
      <c r="A471" t="inlineStr">
        <is>
          <t>No</t>
        </is>
      </c>
      <c r="B471" t="inlineStr"/>
      <c r="C471" t="inlineStr">
        <is>
          <t>Kids at home</t>
        </is>
      </c>
      <c r="D471" t="inlineStr"/>
    </row>
    <row r="472">
      <c r="A472" t="inlineStr">
        <is>
          <t>No</t>
        </is>
      </c>
      <c r="B472" t="inlineStr"/>
      <c r="C472" t="inlineStr">
        <is>
          <t xml:space="preserve">Didn’t know it was an option, but I want our child to go solo anyway. </t>
        </is>
      </c>
      <c r="D472" t="inlineStr"/>
    </row>
    <row r="473">
      <c r="A473" t="inlineStr">
        <is>
          <t>Maybe</t>
        </is>
      </c>
      <c r="B473" t="inlineStr"/>
      <c r="C473" t="inlineStr"/>
      <c r="D473" t="inlineStr">
        <is>
          <t xml:space="preserve">Maybe with one of my next kids as the younger ones get older. </t>
        </is>
      </c>
    </row>
    <row r="474">
      <c r="A474" t="inlineStr">
        <is>
          <t>No</t>
        </is>
      </c>
      <c r="B474" t="inlineStr"/>
      <c r="C474" t="inlineStr">
        <is>
          <t>Money and my other 4 kids at home, also I did want my daughter to experience not having me around</t>
        </is>
      </c>
      <c r="D474" t="inlineStr"/>
    </row>
    <row r="475">
      <c r="A475" t="inlineStr">
        <is>
          <t>Yes</t>
        </is>
      </c>
      <c r="B475" t="inlineStr">
        <is>
          <t xml:space="preserve">My daughter </t>
        </is>
      </c>
      <c r="C475" t="inlineStr"/>
      <c r="D475" t="inlineStr"/>
    </row>
    <row r="476">
      <c r="A476" t="inlineStr">
        <is>
          <t>No</t>
        </is>
      </c>
      <c r="B476" t="inlineStr"/>
      <c r="C476" t="inlineStr">
        <is>
          <t>Other obligations</t>
        </is>
      </c>
      <c r="D476" t="inlineStr"/>
    </row>
    <row r="477">
      <c r="A477" t="inlineStr">
        <is>
          <t>No</t>
        </is>
      </c>
      <c r="B477" t="inlineStr"/>
      <c r="C477" t="inlineStr">
        <is>
          <t>cost and work obligations</t>
        </is>
      </c>
      <c r="D477" t="inlineStr"/>
    </row>
    <row r="478">
      <c r="A478" t="inlineStr">
        <is>
          <t>Maybe</t>
        </is>
      </c>
      <c r="B478" t="inlineStr"/>
      <c r="C478" t="inlineStr"/>
      <c r="D478" t="inlineStr">
        <is>
          <t xml:space="preserve">Not sure </t>
        </is>
      </c>
    </row>
    <row r="479">
      <c r="A479" t="inlineStr">
        <is>
          <t>No</t>
        </is>
      </c>
      <c r="B479" t="inlineStr"/>
      <c r="C479" t="inlineStr"/>
      <c r="D479" t="inlineStr"/>
    </row>
    <row r="480">
      <c r="A480" t="inlineStr">
        <is>
          <t>No</t>
        </is>
      </c>
      <c r="B480" t="inlineStr"/>
      <c r="C480" t="inlineStr">
        <is>
          <t>My daughter didn’t want me to! 🤣</t>
        </is>
      </c>
      <c r="D480" t="inlineStr"/>
    </row>
    <row r="481">
      <c r="A481" t="inlineStr">
        <is>
          <t>No</t>
        </is>
      </c>
      <c r="B481" t="inlineStr"/>
      <c r="C481" t="inlineStr"/>
      <c r="D481" t="inlineStr"/>
    </row>
    <row r="482">
      <c r="A482" t="inlineStr">
        <is>
          <t>No</t>
        </is>
      </c>
      <c r="B482" t="inlineStr"/>
      <c r="C482" t="inlineStr">
        <is>
          <t xml:space="preserve">I couldn't afford it. </t>
        </is>
      </c>
      <c r="D482" t="inlineStr"/>
    </row>
    <row r="483">
      <c r="A483" t="inlineStr">
        <is>
          <t>Yes</t>
        </is>
      </c>
      <c r="B483" t="inlineStr">
        <is>
          <t>Previous children and wife went to HXP and I love the whole mission and vision of HCP</t>
        </is>
      </c>
      <c r="C483" t="inlineStr"/>
      <c r="D483" t="inlineStr"/>
    </row>
    <row r="484">
      <c r="A484" t="inlineStr">
        <is>
          <t>No</t>
        </is>
      </c>
      <c r="B484" t="inlineStr"/>
      <c r="C484" t="inlineStr">
        <is>
          <t xml:space="preserve">We will be out of town </t>
        </is>
      </c>
      <c r="D484" t="inlineStr"/>
    </row>
    <row r="485">
      <c r="A485" t="inlineStr">
        <is>
          <t>Yes</t>
        </is>
      </c>
      <c r="B485" t="inlineStr">
        <is>
          <t>The great experience that you guys provide the leadership that you have and the opportunity to help the youth experience another culture</t>
        </is>
      </c>
      <c r="C485" t="inlineStr"/>
      <c r="D485" t="inlineStr"/>
    </row>
    <row r="486">
      <c r="A486" t="inlineStr">
        <is>
          <t>Maybe</t>
        </is>
      </c>
      <c r="B486" t="inlineStr"/>
      <c r="C486" t="inlineStr"/>
      <c r="D486" t="inlineStr">
        <is>
          <t>I don’t know much about it. I would need more info</t>
        </is>
      </c>
    </row>
    <row r="487">
      <c r="A487" t="inlineStr">
        <is>
          <t>No</t>
        </is>
      </c>
      <c r="B487" t="inlineStr"/>
      <c r="C487" t="inlineStr">
        <is>
          <t>Price</t>
        </is>
      </c>
      <c r="D487" t="inlineStr"/>
    </row>
    <row r="488">
      <c r="A488" t="inlineStr">
        <is>
          <t>No</t>
        </is>
      </c>
      <c r="B488" t="inlineStr"/>
      <c r="C488" t="inlineStr">
        <is>
          <t>Cost</t>
        </is>
      </c>
      <c r="D488" t="inlineStr"/>
    </row>
    <row r="489">
      <c r="A489" t="inlineStr">
        <is>
          <t>No</t>
        </is>
      </c>
      <c r="B489" t="inlineStr"/>
      <c r="C489" t="inlineStr">
        <is>
          <t xml:space="preserve">She was so excited to do a trip by herself </t>
        </is>
      </c>
      <c r="D489" t="inlineStr"/>
    </row>
    <row r="490">
      <c r="A490" t="inlineStr">
        <is>
          <t>No</t>
        </is>
      </c>
      <c r="B490" t="inlineStr"/>
      <c r="C490" t="inlineStr">
        <is>
          <t>My son :)</t>
        </is>
      </c>
      <c r="D490" t="inlineStr"/>
    </row>
    <row r="491">
      <c r="A491" t="inlineStr">
        <is>
          <t>No</t>
        </is>
      </c>
      <c r="B491" t="inlineStr"/>
      <c r="C491" t="inlineStr"/>
      <c r="D491" t="inlineStr"/>
    </row>
    <row r="492">
      <c r="A492" t="inlineStr">
        <is>
          <t>No</t>
        </is>
      </c>
      <c r="B492" t="inlineStr"/>
      <c r="C492" t="inlineStr">
        <is>
          <t>work</t>
        </is>
      </c>
      <c r="D492" t="inlineStr"/>
    </row>
    <row r="493">
      <c r="A493" t="inlineStr">
        <is>
          <t>Yes</t>
        </is>
      </c>
      <c r="B493" t="inlineStr">
        <is>
          <t>Husband went last year with our daughter.</t>
        </is>
      </c>
      <c r="C493" t="inlineStr"/>
      <c r="D493" t="inlineStr"/>
    </row>
    <row r="494">
      <c r="A494" t="inlineStr">
        <is>
          <t>No</t>
        </is>
      </c>
      <c r="B494" t="inlineStr"/>
      <c r="C494" t="inlineStr">
        <is>
          <t xml:space="preserve">I wanted my builder to have a more personal experience </t>
        </is>
      </c>
      <c r="D494" t="inlineStr"/>
    </row>
    <row r="495">
      <c r="A495" t="inlineStr">
        <is>
          <t>No</t>
        </is>
      </c>
      <c r="B495" t="inlineStr"/>
      <c r="C495" t="inlineStr">
        <is>
          <t>child wanted the independence</t>
        </is>
      </c>
      <c r="D495" t="inlineStr"/>
    </row>
    <row r="496">
      <c r="A496" t="inlineStr">
        <is>
          <t>No</t>
        </is>
      </c>
      <c r="B496" t="inlineStr"/>
      <c r="C496" t="inlineStr">
        <is>
          <t>Home schedule too busy</t>
        </is>
      </c>
      <c r="D496" t="inlineStr"/>
    </row>
    <row r="497">
      <c r="A497" t="inlineStr">
        <is>
          <t>No</t>
        </is>
      </c>
      <c r="B497" t="inlineStr"/>
      <c r="C497" t="inlineStr">
        <is>
          <t>She wanted to go on her own and experience some independance</t>
        </is>
      </c>
      <c r="D497" t="inlineStr"/>
    </row>
    <row r="498">
      <c r="A498" t="inlineStr">
        <is>
          <t>No</t>
        </is>
      </c>
      <c r="B498" t="inlineStr"/>
      <c r="C498" t="inlineStr">
        <is>
          <t>Our daughter needed to experience this growth on her own, but we will miss her like crazy</t>
        </is>
      </c>
      <c r="D498" t="inlineStr"/>
    </row>
    <row r="499">
      <c r="A499" t="inlineStr">
        <is>
          <t>No</t>
        </is>
      </c>
      <c r="B499" t="inlineStr"/>
      <c r="C499" t="inlineStr">
        <is>
          <t xml:space="preserve">My kids what to have their own experience </t>
        </is>
      </c>
      <c r="D499" t="inlineStr"/>
    </row>
    <row r="500">
      <c r="A500" t="inlineStr">
        <is>
          <t>Yes</t>
        </is>
      </c>
      <c r="B500" t="inlineStr">
        <is>
          <t>Always wanted to do a humanitarian trip</t>
        </is>
      </c>
      <c r="C500" t="inlineStr"/>
      <c r="D500" t="inlineStr"/>
    </row>
    <row r="501">
      <c r="A501" t="inlineStr">
        <is>
          <t>No</t>
        </is>
      </c>
      <c r="B501" t="inlineStr"/>
      <c r="C501" t="inlineStr">
        <is>
          <t xml:space="preserve">Cost </t>
        </is>
      </c>
      <c r="D501" t="inlineStr"/>
    </row>
    <row r="502">
      <c r="A502" t="inlineStr"/>
      <c r="B502" t="inlineStr"/>
      <c r="C502" t="inlineStr"/>
      <c r="D502" t="inlineStr"/>
    </row>
    <row r="503">
      <c r="A503" t="inlineStr">
        <is>
          <t>No</t>
        </is>
      </c>
      <c r="B503" t="inlineStr"/>
      <c r="C503" t="inlineStr">
        <is>
          <t>I can't take that much time off of work.</t>
        </is>
      </c>
      <c r="D503" t="inlineStr"/>
    </row>
    <row r="504">
      <c r="A504" t="inlineStr">
        <is>
          <t>No</t>
        </is>
      </c>
      <c r="B504" t="inlineStr"/>
      <c r="C504" t="inlineStr">
        <is>
          <t>My son’s preference &amp; husbands work schedule</t>
        </is>
      </c>
      <c r="D504" t="inlineStr"/>
    </row>
    <row r="505">
      <c r="A505" t="inlineStr">
        <is>
          <t>No</t>
        </is>
      </c>
      <c r="B505" t="inlineStr"/>
      <c r="C505" t="inlineStr">
        <is>
          <t xml:space="preserve">I already went with another child.  I would love to go again.  It’s just a lot of money to send two people.  </t>
        </is>
      </c>
      <c r="D505" t="inlineStr"/>
    </row>
    <row r="506">
      <c r="A506" t="inlineStr">
        <is>
          <t>No</t>
        </is>
      </c>
      <c r="B506" t="inlineStr"/>
      <c r="C506" t="inlineStr">
        <is>
          <t xml:space="preserve">The price and too many kids at home </t>
        </is>
      </c>
      <c r="D506" t="inlineStr"/>
    </row>
    <row r="507">
      <c r="A507" t="inlineStr">
        <is>
          <t>No</t>
        </is>
      </c>
      <c r="B507" t="inlineStr"/>
      <c r="C507" t="inlineStr"/>
      <c r="D507" t="inlineStr"/>
    </row>
    <row r="508">
      <c r="A508" t="inlineStr">
        <is>
          <t>No</t>
        </is>
      </c>
      <c r="B508" t="inlineStr"/>
      <c r="C508" t="inlineStr">
        <is>
          <t>My child needs this experience independent of me.</t>
        </is>
      </c>
      <c r="D508" t="inlineStr"/>
    </row>
    <row r="509">
      <c r="A509" t="inlineStr">
        <is>
          <t>No</t>
        </is>
      </c>
      <c r="B509" t="inlineStr"/>
      <c r="C509" t="inlineStr">
        <is>
          <t>My son didn’t want me to! :)</t>
        </is>
      </c>
      <c r="D509" t="inlineStr"/>
    </row>
    <row r="510">
      <c r="A510" t="inlineStr">
        <is>
          <t>No</t>
        </is>
      </c>
      <c r="B510" t="inlineStr"/>
      <c r="C510" t="inlineStr">
        <is>
          <t>My daughter wanted to go alone</t>
        </is>
      </c>
      <c r="D510" t="inlineStr"/>
    </row>
    <row r="511">
      <c r="A511" t="inlineStr">
        <is>
          <t>No</t>
        </is>
      </c>
      <c r="B511" t="inlineStr"/>
      <c r="C511" t="inlineStr">
        <is>
          <t>price</t>
        </is>
      </c>
      <c r="D511" t="inlineStr"/>
    </row>
    <row r="512">
      <c r="A512" t="inlineStr">
        <is>
          <t>No</t>
        </is>
      </c>
      <c r="B512" t="inlineStr"/>
      <c r="C512" t="inlineStr">
        <is>
          <t>too much going on at home</t>
        </is>
      </c>
      <c r="D512" t="inlineStr"/>
    </row>
    <row r="513">
      <c r="A513" t="inlineStr">
        <is>
          <t>No</t>
        </is>
      </c>
      <c r="B513" t="inlineStr"/>
      <c r="C513" t="inlineStr"/>
      <c r="D513" t="inlineStr"/>
    </row>
    <row r="514">
      <c r="A514" t="inlineStr">
        <is>
          <t>No</t>
        </is>
      </c>
      <c r="B514" t="inlineStr"/>
      <c r="C514" t="inlineStr">
        <is>
          <t>Can’t take off work for that long/leave the younger kuds</t>
        </is>
      </c>
      <c r="D514" t="inlineStr"/>
    </row>
    <row r="515">
      <c r="A515" t="inlineStr">
        <is>
          <t>No</t>
        </is>
      </c>
      <c r="B515" t="inlineStr"/>
      <c r="C515" t="inlineStr">
        <is>
          <t>Cost</t>
        </is>
      </c>
      <c r="D515" t="inlineStr"/>
    </row>
    <row r="516">
      <c r="A516" t="inlineStr">
        <is>
          <t>No</t>
        </is>
      </c>
      <c r="B516" t="inlineStr"/>
      <c r="C516" t="inlineStr">
        <is>
          <t>Money and time</t>
        </is>
      </c>
      <c r="D516" t="inlineStr"/>
    </row>
    <row r="517">
      <c r="A517" t="inlineStr">
        <is>
          <t>No</t>
        </is>
      </c>
      <c r="B517" t="inlineStr"/>
      <c r="C517" t="inlineStr">
        <is>
          <t>I am in school and don’t have the time</t>
        </is>
      </c>
      <c r="D517" t="inlineStr"/>
    </row>
    <row r="518">
      <c r="A518" t="inlineStr">
        <is>
          <t>No</t>
        </is>
      </c>
      <c r="B518" t="inlineStr"/>
      <c r="C518" t="inlineStr">
        <is>
          <t xml:space="preserve">Other children at home to take care of </t>
        </is>
      </c>
      <c r="D518" t="inlineStr"/>
    </row>
    <row r="519">
      <c r="A519" t="inlineStr">
        <is>
          <t>Yes</t>
        </is>
      </c>
      <c r="B519" t="inlineStr">
        <is>
          <t>Gone in the past. going this year but to WV with another son (not Kenya)</t>
        </is>
      </c>
      <c r="C519" t="inlineStr"/>
      <c r="D519" t="inlineStr"/>
    </row>
    <row r="520">
      <c r="A520" t="inlineStr">
        <is>
          <t>No</t>
        </is>
      </c>
      <c r="B520" t="inlineStr"/>
      <c r="C520" t="inlineStr">
        <is>
          <t xml:space="preserve">Unable to commit for that long due to other obligations </t>
        </is>
      </c>
      <c r="D520" t="inlineStr"/>
    </row>
    <row r="521">
      <c r="A521" t="inlineStr">
        <is>
          <t>No</t>
        </is>
      </c>
      <c r="B521" t="inlineStr"/>
      <c r="C521" t="inlineStr">
        <is>
          <t>I’d like my child to branch out without me there. I think she’d stuck by my side and not have a full experience that she would without me.</t>
        </is>
      </c>
      <c r="D521" t="inlineStr"/>
    </row>
    <row r="522">
      <c r="A522" t="inlineStr">
        <is>
          <t>No</t>
        </is>
      </c>
      <c r="B522" t="inlineStr"/>
      <c r="C522" t="inlineStr">
        <is>
          <t>We are very involved with our child's activities at home &amp; school and we want him to have the opportunity to have independent travel, cultural and spiritual experiences ...I know my husband and I would love being Parent Builders :(</t>
        </is>
      </c>
      <c r="D522" t="inlineStr"/>
    </row>
    <row r="523">
      <c r="A523" t="inlineStr">
        <is>
          <t>No</t>
        </is>
      </c>
      <c r="B523" t="inlineStr"/>
      <c r="C523" t="inlineStr">
        <is>
          <t>Wanted my son to have experience with new friends and not a patent</t>
        </is>
      </c>
      <c r="D523" t="inlineStr"/>
    </row>
    <row r="524">
      <c r="A524" t="inlineStr">
        <is>
          <t>No</t>
        </is>
      </c>
      <c r="B524" t="inlineStr"/>
      <c r="C524" t="inlineStr">
        <is>
          <t>My husband is going with my son!</t>
        </is>
      </c>
      <c r="D524" t="inlineStr"/>
    </row>
    <row r="525">
      <c r="A525" t="inlineStr">
        <is>
          <t>Yes</t>
        </is>
      </c>
      <c r="B525" t="inlineStr">
        <is>
          <t>My child invited me</t>
        </is>
      </c>
      <c r="C525" t="inlineStr"/>
      <c r="D525" t="inlineStr"/>
    </row>
    <row r="526">
      <c r="A526" t="inlineStr">
        <is>
          <t>No</t>
        </is>
      </c>
      <c r="B526" t="inlineStr"/>
      <c r="C526" t="inlineStr"/>
      <c r="D526" t="inlineStr"/>
    </row>
    <row r="527">
      <c r="A527" t="inlineStr">
        <is>
          <t>No</t>
        </is>
      </c>
      <c r="B527" t="inlineStr"/>
      <c r="C527" t="inlineStr">
        <is>
          <t xml:space="preserve">Daughter didn’t want me to go </t>
        </is>
      </c>
      <c r="D527" t="inlineStr"/>
    </row>
    <row r="528">
      <c r="A528" t="inlineStr">
        <is>
          <t>No</t>
        </is>
      </c>
      <c r="B528" t="inlineStr"/>
      <c r="C528" t="inlineStr">
        <is>
          <t>My own health and for my husband, the inability to take off that amount of time from work</t>
        </is>
      </c>
      <c r="D528" t="inlineStr"/>
    </row>
    <row r="529">
      <c r="A529" t="inlineStr">
        <is>
          <t>No</t>
        </is>
      </c>
      <c r="B529" t="inlineStr"/>
      <c r="C529" t="inlineStr">
        <is>
          <t xml:space="preserve">I have no extra time </t>
        </is>
      </c>
      <c r="D529" t="inlineStr"/>
    </row>
    <row r="530">
      <c r="A530" t="inlineStr">
        <is>
          <t>No</t>
        </is>
      </c>
      <c r="B530" t="inlineStr"/>
      <c r="C530" t="inlineStr">
        <is>
          <t>Other children</t>
        </is>
      </c>
      <c r="D530" t="inlineStr"/>
    </row>
    <row r="531">
      <c r="A531" t="inlineStr">
        <is>
          <t>No</t>
        </is>
      </c>
      <c r="B531" t="inlineStr"/>
      <c r="C531" t="inlineStr">
        <is>
          <t>So my daughter could have her own unique experience</t>
        </is>
      </c>
      <c r="D531" t="inlineStr"/>
    </row>
    <row r="532">
      <c r="A532" t="inlineStr">
        <is>
          <t>Yes</t>
        </is>
      </c>
      <c r="B532" t="inlineStr">
        <is>
          <t>Help my 14 year old, bonding experience</t>
        </is>
      </c>
      <c r="C532" t="inlineStr"/>
      <c r="D532" t="inlineStr"/>
    </row>
    <row r="533">
      <c r="A533" t="inlineStr">
        <is>
          <t>No</t>
        </is>
      </c>
      <c r="B533" t="inlineStr"/>
      <c r="C533" t="inlineStr">
        <is>
          <t>Money</t>
        </is>
      </c>
      <c r="D533" t="inlineStr"/>
    </row>
    <row r="534">
      <c r="A534" t="inlineStr">
        <is>
          <t>No</t>
        </is>
      </c>
      <c r="B534" t="inlineStr"/>
      <c r="C534" t="inlineStr">
        <is>
          <t>Money</t>
        </is>
      </c>
      <c r="D534" t="inlineStr"/>
    </row>
    <row r="535">
      <c r="A535" t="inlineStr">
        <is>
          <t>No</t>
        </is>
      </c>
      <c r="B535" t="inlineStr"/>
      <c r="C535" t="inlineStr">
        <is>
          <t xml:space="preserve">Give my son space to have his own experience </t>
        </is>
      </c>
      <c r="D535" t="inlineStr"/>
    </row>
    <row r="536">
      <c r="A536" t="inlineStr">
        <is>
          <t>No</t>
        </is>
      </c>
      <c r="B536" t="inlineStr"/>
      <c r="C536" t="inlineStr">
        <is>
          <t>Time and cost</t>
        </is>
      </c>
      <c r="D536" t="inlineStr"/>
    </row>
    <row r="537">
      <c r="A537" t="inlineStr">
        <is>
          <t>No</t>
        </is>
      </c>
      <c r="B537" t="inlineStr"/>
      <c r="C537" t="inlineStr">
        <is>
          <t xml:space="preserve">Other children at home </t>
        </is>
      </c>
      <c r="D537" t="inlineStr"/>
    </row>
    <row r="538">
      <c r="A538" t="inlineStr">
        <is>
          <t>Yes</t>
        </is>
      </c>
      <c r="B538" t="inlineStr">
        <is>
          <t xml:space="preserve">My daughter </t>
        </is>
      </c>
      <c r="C538" t="inlineStr"/>
      <c r="D538" t="inlineStr"/>
    </row>
    <row r="539">
      <c r="A539" t="inlineStr">
        <is>
          <t>No</t>
        </is>
      </c>
      <c r="B539" t="inlineStr"/>
      <c r="C539" t="inlineStr">
        <is>
          <t>I have 5 kids and two of them are younger than Kindergarten</t>
        </is>
      </c>
      <c r="D539" t="inlineStr"/>
    </row>
    <row r="540">
      <c r="A540" t="inlineStr">
        <is>
          <t>No</t>
        </is>
      </c>
      <c r="B540" t="inlineStr"/>
      <c r="C540" t="inlineStr"/>
      <c r="D540" t="inlineStr"/>
    </row>
    <row r="541">
      <c r="A541" t="inlineStr">
        <is>
          <t>No</t>
        </is>
      </c>
      <c r="B541" t="inlineStr"/>
      <c r="C541" t="inlineStr">
        <is>
          <t xml:space="preserve">Timing- otherwise I’d love to go - wanted my child to have their own experience independent from me </t>
        </is>
      </c>
      <c r="D541" t="inlineStr"/>
    </row>
    <row r="542">
      <c r="A542" t="inlineStr">
        <is>
          <t>No</t>
        </is>
      </c>
      <c r="B542" t="inlineStr"/>
      <c r="C542" t="inlineStr">
        <is>
          <t>I couldn’t be away from work for that long and my child didn’t care if I was there or not.</t>
        </is>
      </c>
      <c r="D542" t="inlineStr"/>
    </row>
    <row r="543">
      <c r="A543" t="inlineStr">
        <is>
          <t>No</t>
        </is>
      </c>
      <c r="B543" t="inlineStr"/>
      <c r="C543" t="inlineStr">
        <is>
          <t xml:space="preserve">We think our son will have a better experience with out us there </t>
        </is>
      </c>
      <c r="D543" t="inlineStr"/>
    </row>
    <row r="544">
      <c r="A544" t="inlineStr">
        <is>
          <t>No</t>
        </is>
      </c>
      <c r="B544" t="inlineStr"/>
      <c r="C544" t="inlineStr"/>
      <c r="D544" t="inlineStr"/>
    </row>
    <row r="545">
      <c r="A545" t="inlineStr">
        <is>
          <t>No</t>
        </is>
      </c>
      <c r="B545" t="inlineStr"/>
      <c r="C545" t="inlineStr"/>
      <c r="D545" t="inlineStr"/>
    </row>
    <row r="546">
      <c r="A546" t="inlineStr">
        <is>
          <t>No</t>
        </is>
      </c>
      <c r="B546" t="inlineStr"/>
      <c r="C546" t="inlineStr">
        <is>
          <t>My daughter didn't care if I went; hard to take off work for 3 weeks.</t>
        </is>
      </c>
      <c r="D546" t="inlineStr"/>
    </row>
    <row r="547">
      <c r="A547" t="inlineStr">
        <is>
          <t>No</t>
        </is>
      </c>
      <c r="B547" t="inlineStr"/>
      <c r="C547" t="inlineStr">
        <is>
          <t>Because of other travel plans, I would’ve been out of town for longer than a month, which I’m not able to do.</t>
        </is>
      </c>
      <c r="D547" t="inlineStr"/>
    </row>
    <row r="548">
      <c r="A548" t="inlineStr">
        <is>
          <t>No</t>
        </is>
      </c>
      <c r="B548" t="inlineStr"/>
      <c r="C548" t="inlineStr">
        <is>
          <t xml:space="preserve">Kids at home </t>
        </is>
      </c>
      <c r="D548" t="inlineStr"/>
    </row>
    <row r="549">
      <c r="A549" t="inlineStr">
        <is>
          <t>No</t>
        </is>
      </c>
      <c r="B549" t="inlineStr"/>
      <c r="C549" t="inlineStr">
        <is>
          <t>My child didn’t want me along</t>
        </is>
      </c>
      <c r="D549" t="inlineStr"/>
    </row>
    <row r="550">
      <c r="A550" t="inlineStr">
        <is>
          <t>No</t>
        </is>
      </c>
      <c r="B550" t="inlineStr"/>
      <c r="C550" t="inlineStr">
        <is>
          <t>Past Experiences</t>
        </is>
      </c>
      <c r="D550" t="inlineStr"/>
    </row>
    <row r="551">
      <c r="A551" t="inlineStr">
        <is>
          <t>No</t>
        </is>
      </c>
      <c r="B551" t="inlineStr"/>
      <c r="C551" t="inlineStr">
        <is>
          <t xml:space="preserve">This summer, I'm unable to with my younger son at home. I would love to go along with him in the future when he goes, though! </t>
        </is>
      </c>
      <c r="D551" t="inlineStr"/>
    </row>
    <row r="552">
      <c r="A552" t="inlineStr">
        <is>
          <t>No</t>
        </is>
      </c>
      <c r="B552" t="inlineStr"/>
      <c r="C552" t="inlineStr">
        <is>
          <t xml:space="preserve">Time and wanting my bullder to have their own experience </t>
        </is>
      </c>
      <c r="D552" t="inlineStr"/>
    </row>
    <row r="553">
      <c r="A553" t="inlineStr">
        <is>
          <t>No</t>
        </is>
      </c>
      <c r="B553" t="inlineStr"/>
      <c r="C553" t="inlineStr">
        <is>
          <t>Wanted daughter to have a solo experience</t>
        </is>
      </c>
      <c r="D553" t="inlineStr"/>
    </row>
    <row r="554">
      <c r="A554" t="inlineStr">
        <is>
          <t>No</t>
        </is>
      </c>
      <c r="B554" t="inlineStr"/>
      <c r="C554" t="inlineStr">
        <is>
          <t>Wanted him to grow</t>
        </is>
      </c>
      <c r="D554" t="inlineStr"/>
    </row>
    <row r="555">
      <c r="A555" t="inlineStr">
        <is>
          <t>No</t>
        </is>
      </c>
      <c r="B555" t="inlineStr"/>
      <c r="C555" t="inlineStr">
        <is>
          <t>It was full.</t>
        </is>
      </c>
      <c r="D555" t="inlineStr"/>
    </row>
    <row r="556">
      <c r="A556" t="inlineStr">
        <is>
          <t>No</t>
        </is>
      </c>
      <c r="B556" t="inlineStr"/>
      <c r="C556" t="inlineStr">
        <is>
          <t xml:space="preserve">My husband served his mission in Ecuador, and speaks Spanish fluently so it would make sense for him to be the one to go. But our son would have hung out with him most of the time rather than having to put himself out there and get to know people. It would have changed his dynamic and we wanted him to have the experience on his own. It's also a long time to be gone from work and other kids. </t>
        </is>
      </c>
      <c r="D556" t="inlineStr"/>
    </row>
    <row r="557">
      <c r="A557" t="inlineStr">
        <is>
          <t>Yes</t>
        </is>
      </c>
      <c r="B557" t="inlineStr">
        <is>
          <t>Having gone on a previous trip</t>
        </is>
      </c>
      <c r="C557" t="inlineStr"/>
      <c r="D557" t="inlineStr"/>
    </row>
    <row r="558">
      <c r="A558" t="inlineStr"/>
      <c r="B558" t="inlineStr"/>
      <c r="C558" t="inlineStr"/>
      <c r="D558" t="inlineStr"/>
    </row>
    <row r="559">
      <c r="A559" t="inlineStr">
        <is>
          <t>No</t>
        </is>
      </c>
      <c r="B559" t="inlineStr"/>
      <c r="C559" t="inlineStr">
        <is>
          <t>Wanted to give my son space to have his own experience</t>
        </is>
      </c>
      <c r="D559" t="inlineStr"/>
    </row>
    <row r="560">
      <c r="A560" t="inlineStr">
        <is>
          <t>No</t>
        </is>
      </c>
      <c r="B560" t="inlineStr"/>
      <c r="C560" t="inlineStr"/>
      <c r="D560" t="inlineStr"/>
    </row>
    <row r="561">
      <c r="A561" t="inlineStr">
        <is>
          <t>No</t>
        </is>
      </c>
      <c r="B561" t="inlineStr"/>
      <c r="C561" t="inlineStr">
        <is>
          <t>practicality of leaving my family for 3 weeks</t>
        </is>
      </c>
      <c r="D561" t="inlineStr"/>
    </row>
    <row r="562">
      <c r="A562" t="inlineStr">
        <is>
          <t>No</t>
        </is>
      </c>
      <c r="B562" t="inlineStr"/>
      <c r="C562" t="inlineStr">
        <is>
          <t xml:space="preserve">Let our child have his own experience </t>
        </is>
      </c>
      <c r="D562" t="inlineStr"/>
    </row>
    <row r="563">
      <c r="A563" t="inlineStr">
        <is>
          <t>No</t>
        </is>
      </c>
      <c r="B563" t="inlineStr"/>
      <c r="C563" t="inlineStr">
        <is>
          <t>Other Extended Family went last year</t>
        </is>
      </c>
      <c r="D563" t="inlineStr"/>
    </row>
    <row r="564">
      <c r="A564" t="inlineStr">
        <is>
          <t>No</t>
        </is>
      </c>
      <c r="B564" t="inlineStr"/>
      <c r="C564" t="inlineStr">
        <is>
          <t xml:space="preserve">Just time commitments.  </t>
        </is>
      </c>
      <c r="D564" t="inlineStr"/>
    </row>
    <row r="565">
      <c r="A565" t="inlineStr">
        <is>
          <t>No</t>
        </is>
      </c>
      <c r="B565" t="inlineStr"/>
      <c r="C565" t="inlineStr">
        <is>
          <t xml:space="preserve">I am a trip leader for a different experience with my daughter this summer </t>
        </is>
      </c>
      <c r="D565" t="inlineStr"/>
    </row>
    <row r="566">
      <c r="A566" t="inlineStr">
        <is>
          <t>No</t>
        </is>
      </c>
      <c r="B566" t="inlineStr"/>
      <c r="C566" t="inlineStr">
        <is>
          <t>Cost</t>
        </is>
      </c>
      <c r="D566" t="inlineStr"/>
    </row>
    <row r="567">
      <c r="A567" t="inlineStr">
        <is>
          <t>No</t>
        </is>
      </c>
      <c r="B567" t="inlineStr"/>
      <c r="C567" t="inlineStr">
        <is>
          <t>other younger children</t>
        </is>
      </c>
      <c r="D567" t="inlineStr"/>
    </row>
    <row r="568">
      <c r="A568" t="inlineStr">
        <is>
          <t>No</t>
        </is>
      </c>
      <c r="B568" t="inlineStr"/>
      <c r="C568" t="inlineStr"/>
      <c r="D568" t="inlineStr"/>
    </row>
    <row r="569">
      <c r="A569" t="inlineStr"/>
      <c r="B569" t="inlineStr"/>
      <c r="C569" t="inlineStr"/>
      <c r="D569" t="inlineStr"/>
    </row>
    <row r="570">
      <c r="A570" t="inlineStr">
        <is>
          <t>No</t>
        </is>
      </c>
      <c r="B570" t="inlineStr"/>
      <c r="C570" t="inlineStr">
        <is>
          <t xml:space="preserve">My daughter wanted to go alone.  </t>
        </is>
      </c>
      <c r="D570" t="inlineStr"/>
    </row>
    <row r="571">
      <c r="A571" t="inlineStr">
        <is>
          <t>No</t>
        </is>
      </c>
      <c r="B571" t="inlineStr"/>
      <c r="C571" t="inlineStr">
        <is>
          <t xml:space="preserve">I have younger children </t>
        </is>
      </c>
      <c r="D571" t="inlineStr"/>
    </row>
    <row r="572">
      <c r="A572" t="inlineStr">
        <is>
          <t>Yes</t>
        </is>
      </c>
      <c r="B572" t="inlineStr">
        <is>
          <t>time with my daughter, doing something for others</t>
        </is>
      </c>
      <c r="C572" t="inlineStr"/>
      <c r="D572" t="inlineStr"/>
    </row>
    <row r="573">
      <c r="A573" t="inlineStr">
        <is>
          <t>No</t>
        </is>
      </c>
      <c r="B573" t="inlineStr"/>
      <c r="C573" t="inlineStr">
        <is>
          <t xml:space="preserve">My son wants to have an experience on his own. </t>
        </is>
      </c>
      <c r="D573" t="inlineStr"/>
    </row>
    <row r="574">
      <c r="A574" t="inlineStr">
        <is>
          <t>No</t>
        </is>
      </c>
      <c r="B574" t="inlineStr"/>
      <c r="C574" t="inlineStr">
        <is>
          <t>my daughter wanted to do this independently</t>
        </is>
      </c>
      <c r="D574" t="inlineStr"/>
    </row>
    <row r="575">
      <c r="A575" t="inlineStr">
        <is>
          <t>Maybe</t>
        </is>
      </c>
      <c r="B575" t="inlineStr"/>
      <c r="C575" t="inlineStr"/>
      <c r="D575" t="inlineStr">
        <is>
          <t>Free time</t>
        </is>
      </c>
    </row>
    <row r="576">
      <c r="A576" t="inlineStr">
        <is>
          <t>Yes</t>
        </is>
      </c>
      <c r="B576" t="inlineStr">
        <is>
          <t>spend time with my son, build memories together and watch him grow.</t>
        </is>
      </c>
      <c r="C576" t="inlineStr"/>
      <c r="D576" t="inlineStr"/>
    </row>
    <row r="577">
      <c r="A577" t="inlineStr">
        <is>
          <t>No</t>
        </is>
      </c>
      <c r="B577" t="inlineStr"/>
      <c r="C577" t="inlineStr">
        <is>
          <t>I wanted my daughter to experience it without me!</t>
        </is>
      </c>
      <c r="D577" t="inlineStr"/>
    </row>
    <row r="578">
      <c r="A578" t="inlineStr">
        <is>
          <t>No</t>
        </is>
      </c>
      <c r="B578" t="inlineStr"/>
      <c r="C578" t="inlineStr">
        <is>
          <t xml:space="preserve">Daughter wanted to have her own adventure </t>
        </is>
      </c>
      <c r="D578" t="inlineStr"/>
    </row>
    <row r="579">
      <c r="A579" t="inlineStr">
        <is>
          <t>Maybe</t>
        </is>
      </c>
      <c r="B579" t="inlineStr"/>
      <c r="C579" t="inlineStr"/>
      <c r="D579" t="inlineStr">
        <is>
          <t>Finances and logistics with other children/husband.</t>
        </is>
      </c>
    </row>
    <row r="580">
      <c r="A580" t="inlineStr">
        <is>
          <t>No</t>
        </is>
      </c>
      <c r="B580" t="inlineStr"/>
      <c r="C580" t="inlineStr">
        <is>
          <t>Busy with other kids</t>
        </is>
      </c>
      <c r="D580" t="inlineStr"/>
    </row>
    <row r="581">
      <c r="A581" t="inlineStr">
        <is>
          <t>No</t>
        </is>
      </c>
      <c r="B581" t="inlineStr"/>
      <c r="C581" t="inlineStr">
        <is>
          <t>My child wanted to gain confidence and independence on this first trip. I'd love to go in the future.</t>
        </is>
      </c>
      <c r="D581" t="inlineStr"/>
    </row>
    <row r="582">
      <c r="A582" t="inlineStr"/>
      <c r="B582" t="inlineStr"/>
      <c r="C582" t="inlineStr"/>
      <c r="D582" t="inlineStr"/>
    </row>
    <row r="583">
      <c r="A583" t="inlineStr">
        <is>
          <t>No</t>
        </is>
      </c>
      <c r="B583" t="inlineStr"/>
      <c r="C583" t="inlineStr">
        <is>
          <t xml:space="preserve">I didn’t want a competition in relationship building. </t>
        </is>
      </c>
      <c r="D583" t="inlineStr"/>
    </row>
    <row r="584">
      <c r="A584" t="inlineStr">
        <is>
          <t>No</t>
        </is>
      </c>
      <c r="B584" t="inlineStr"/>
      <c r="C584" t="inlineStr">
        <is>
          <t xml:space="preserve">Don't know anyone who has done it personally so wasn't able to hear what to expect. </t>
        </is>
      </c>
      <c r="D584" t="inlineStr"/>
    </row>
    <row r="585">
      <c r="A585" t="inlineStr">
        <is>
          <t>No</t>
        </is>
      </c>
      <c r="B585" t="inlineStr"/>
      <c r="C585" t="inlineStr">
        <is>
          <t>Time</t>
        </is>
      </c>
      <c r="D585" t="inlineStr"/>
    </row>
    <row r="586">
      <c r="A586" t="inlineStr">
        <is>
          <t>No</t>
        </is>
      </c>
      <c r="B586" t="inlineStr"/>
      <c r="C586" t="inlineStr">
        <is>
          <t>Too busy with other kids at home.</t>
        </is>
      </c>
      <c r="D586" t="inlineStr"/>
    </row>
    <row r="587">
      <c r="A587" t="inlineStr">
        <is>
          <t>No</t>
        </is>
      </c>
      <c r="B587" t="inlineStr"/>
      <c r="C587" t="inlineStr">
        <is>
          <t>I have younger kids at home</t>
        </is>
      </c>
      <c r="D587" t="inlineStr"/>
    </row>
    <row r="588">
      <c r="A588" t="inlineStr">
        <is>
          <t>No</t>
        </is>
      </c>
      <c r="B588" t="inlineStr"/>
      <c r="C588" t="inlineStr">
        <is>
          <t>Cost &amp; scheduling conflict</t>
        </is>
      </c>
      <c r="D588" t="inlineStr"/>
    </row>
    <row r="589">
      <c r="A589" t="inlineStr"/>
      <c r="B589" t="inlineStr"/>
      <c r="C589" t="inlineStr"/>
      <c r="D589" t="inlineStr"/>
    </row>
    <row r="590">
      <c r="A590" t="inlineStr">
        <is>
          <t>No</t>
        </is>
      </c>
      <c r="B590" t="inlineStr"/>
      <c r="C590" t="inlineStr">
        <is>
          <t>We want our son to have an experience without us. We are viewing this as mission prep - doing things on his own, finding solutions to problems, showing grit and flexibility, etc.</t>
        </is>
      </c>
      <c r="D590" t="inlineStr"/>
    </row>
    <row r="591">
      <c r="A591" t="inlineStr">
        <is>
          <t>No</t>
        </is>
      </c>
      <c r="B591" t="inlineStr"/>
      <c r="C591" t="inlineStr">
        <is>
          <t>Money and obligations at home</t>
        </is>
      </c>
      <c r="D591" t="inlineStr"/>
    </row>
    <row r="592">
      <c r="A592" t="inlineStr">
        <is>
          <t>No</t>
        </is>
      </c>
      <c r="B592" t="inlineStr"/>
      <c r="C592" t="inlineStr">
        <is>
          <t xml:space="preserve">Time off work </t>
        </is>
      </c>
      <c r="D592" t="inlineStr"/>
    </row>
    <row r="593">
      <c r="A593" t="inlineStr">
        <is>
          <t>No</t>
        </is>
      </c>
      <c r="B593" t="inlineStr"/>
      <c r="C593" t="inlineStr">
        <is>
          <t>Norhing</t>
        </is>
      </c>
      <c r="D593" t="inlineStr"/>
    </row>
    <row r="594">
      <c r="A594" t="inlineStr">
        <is>
          <t>No</t>
        </is>
      </c>
      <c r="B594" t="inlineStr"/>
      <c r="C594" t="inlineStr">
        <is>
          <t>The cost</t>
        </is>
      </c>
      <c r="D594" t="inlineStr"/>
    </row>
    <row r="595">
      <c r="A595" t="inlineStr">
        <is>
          <t>No</t>
        </is>
      </c>
      <c r="B595" t="inlineStr"/>
      <c r="C595" t="inlineStr">
        <is>
          <t xml:space="preserve">My child wants to meet new people on his own. </t>
        </is>
      </c>
      <c r="D595" t="inlineStr"/>
    </row>
    <row r="596">
      <c r="A596" t="inlineStr">
        <is>
          <t>No</t>
        </is>
      </c>
      <c r="B596" t="inlineStr"/>
      <c r="C596" t="inlineStr">
        <is>
          <t>My daughter wanted to go alone.  Her dad went the last time with another daughter.</t>
        </is>
      </c>
      <c r="D596" t="inlineStr"/>
    </row>
    <row r="597">
      <c r="A597" t="inlineStr">
        <is>
          <t>No</t>
        </is>
      </c>
      <c r="B597" t="inlineStr"/>
      <c r="C597" t="inlineStr">
        <is>
          <t>Work conflict, wanted my builder to go on their own</t>
        </is>
      </c>
      <c r="D597" t="inlineStr"/>
    </row>
    <row r="598">
      <c r="A598" t="inlineStr">
        <is>
          <t>No</t>
        </is>
      </c>
      <c r="B598" t="inlineStr"/>
      <c r="C598" t="inlineStr"/>
      <c r="D598" t="inlineStr"/>
    </row>
    <row r="599">
      <c r="A599" t="inlineStr">
        <is>
          <t>No</t>
        </is>
      </c>
      <c r="B599" t="inlineStr"/>
      <c r="C599" t="inlineStr">
        <is>
          <t>It is difficult with my schedule for me to go. Additoinally, my kids wanted to have this opporunity to "spread their wings" and be more independent without my wife or me there.</t>
        </is>
      </c>
      <c r="D599" t="inlineStr"/>
    </row>
    <row r="600">
      <c r="A600" t="inlineStr">
        <is>
          <t>No</t>
        </is>
      </c>
      <c r="B600" t="inlineStr"/>
      <c r="C600" t="inlineStr">
        <is>
          <t xml:space="preserve">This an experience my kid wanted to have on his own. </t>
        </is>
      </c>
      <c r="D600" t="inlineStr"/>
    </row>
    <row r="601">
      <c r="A601" t="inlineStr">
        <is>
          <t>No</t>
        </is>
      </c>
      <c r="B601" t="inlineStr"/>
      <c r="C601" t="inlineStr">
        <is>
          <t>I felt this was a great growing experiance for my daughter that to do on her own before college.</t>
        </is>
      </c>
      <c r="D601" t="inlineStr"/>
    </row>
    <row r="602">
      <c r="A602" t="inlineStr">
        <is>
          <t>No</t>
        </is>
      </c>
      <c r="B602" t="inlineStr"/>
      <c r="C602" t="inlineStr">
        <is>
          <t>Money</t>
        </is>
      </c>
      <c r="D602" t="inlineStr"/>
    </row>
    <row r="603">
      <c r="A603" t="inlineStr">
        <is>
          <t>Yes</t>
        </is>
      </c>
      <c r="B603" t="inlineStr">
        <is>
          <t xml:space="preserve">My husband and I decided to take turns going with our boys on these trips when we first heard about HEFY years ago and have been saving to do so since then. </t>
        </is>
      </c>
      <c r="C603" t="inlineStr"/>
      <c r="D603" t="inlineStr"/>
    </row>
    <row r="604">
      <c r="A604" t="inlineStr">
        <is>
          <t>No</t>
        </is>
      </c>
      <c r="B604" t="inlineStr"/>
      <c r="C604" t="inlineStr">
        <is>
          <t>Too many other vacations on the calendar already. Daughter wanted it to be an "independent" experience w/o parents</t>
        </is>
      </c>
      <c r="D604" t="inlineStr"/>
    </row>
    <row r="605">
      <c r="A605" t="inlineStr">
        <is>
          <t>No</t>
        </is>
      </c>
      <c r="B605" t="inlineStr"/>
      <c r="C605" t="inlineStr">
        <is>
          <t xml:space="preserve">Not able for many reasons </t>
        </is>
      </c>
      <c r="D605" t="inlineStr"/>
    </row>
    <row r="606">
      <c r="A606" t="inlineStr"/>
      <c r="B606" t="inlineStr"/>
      <c r="C606" t="inlineStr"/>
      <c r="D606" t="inlineStr"/>
    </row>
    <row r="607">
      <c r="A607" t="inlineStr">
        <is>
          <t>No</t>
        </is>
      </c>
      <c r="B607" t="inlineStr"/>
      <c r="C607" t="inlineStr">
        <is>
          <t>Can’t get time off work</t>
        </is>
      </c>
      <c r="D607" t="inlineStr"/>
    </row>
    <row r="608">
      <c r="A608" t="inlineStr">
        <is>
          <t>No</t>
        </is>
      </c>
      <c r="B608" t="inlineStr"/>
      <c r="C608" t="inlineStr">
        <is>
          <t>Money and time. Also, our daughter needs an experience on her own without family.</t>
        </is>
      </c>
      <c r="D608" t="inlineStr"/>
    </row>
    <row r="609">
      <c r="A609" t="inlineStr">
        <is>
          <t>No</t>
        </is>
      </c>
      <c r="B609" t="inlineStr"/>
      <c r="C609" t="inlineStr">
        <is>
          <t>The added expense. Sending a child was expense enough, we could not double the expense. One parent is needed to stay home. The other does not have paid vacation, making the trip even more expensive with the lost income.</t>
        </is>
      </c>
      <c r="D609" t="inlineStr"/>
    </row>
    <row r="610">
      <c r="A610" t="inlineStr">
        <is>
          <t>No</t>
        </is>
      </c>
      <c r="B610" t="inlineStr"/>
      <c r="C610" t="inlineStr">
        <is>
          <t>We want our son to experience HXP on his own.  We think it will be good for him.</t>
        </is>
      </c>
      <c r="D610" t="inlineStr"/>
    </row>
    <row r="611">
      <c r="A611" t="inlineStr">
        <is>
          <t>No</t>
        </is>
      </c>
      <c r="B611" t="inlineStr"/>
      <c r="C611" t="inlineStr">
        <is>
          <t xml:space="preserve">We would have loved to go but we were moving 1/2 way across the country the same time.  </t>
        </is>
      </c>
      <c r="D611" t="inlineStr"/>
    </row>
    <row r="612">
      <c r="A612" t="inlineStr">
        <is>
          <t>No</t>
        </is>
      </c>
      <c r="B612" t="inlineStr"/>
      <c r="C612" t="inlineStr">
        <is>
          <t>money</t>
        </is>
      </c>
      <c r="D612" t="inlineStr"/>
    </row>
    <row r="613">
      <c r="A613" t="inlineStr">
        <is>
          <t>No</t>
        </is>
      </c>
      <c r="B613" t="inlineStr"/>
      <c r="C613" t="inlineStr">
        <is>
          <t xml:space="preserve">My son went last year and he likes being on his own. He would have been fine having us go, but I think he likes the independence. </t>
        </is>
      </c>
      <c r="D613" t="inlineStr"/>
    </row>
    <row r="614">
      <c r="A614" t="inlineStr">
        <is>
          <t>No</t>
        </is>
      </c>
      <c r="B614" t="inlineStr"/>
      <c r="C614" t="inlineStr">
        <is>
          <t xml:space="preserve">My builder didn’t want me on the trip </t>
        </is>
      </c>
      <c r="D614" t="inlineStr"/>
    </row>
    <row r="615">
      <c r="A615" t="inlineStr">
        <is>
          <t>No</t>
        </is>
      </c>
      <c r="B615" t="inlineStr"/>
      <c r="C615" t="inlineStr">
        <is>
          <t>$$$</t>
        </is>
      </c>
      <c r="D615" t="inlineStr"/>
    </row>
    <row r="616">
      <c r="A616" t="inlineStr">
        <is>
          <t>No</t>
        </is>
      </c>
      <c r="B616" t="inlineStr"/>
      <c r="C616" t="inlineStr">
        <is>
          <t>Too many younger kids at home still</t>
        </is>
      </c>
      <c r="D616" t="inlineStr"/>
    </row>
    <row r="617">
      <c r="A617" t="inlineStr"/>
      <c r="B617" t="inlineStr"/>
      <c r="C617" t="inlineStr"/>
      <c r="D617" t="inlineStr"/>
    </row>
    <row r="618">
      <c r="A618" t="inlineStr">
        <is>
          <t>No</t>
        </is>
      </c>
      <c r="B618" t="inlineStr"/>
      <c r="C618" t="inlineStr">
        <is>
          <t>Expense</t>
        </is>
      </c>
      <c r="D618" t="inlineStr"/>
    </row>
    <row r="619">
      <c r="A619" t="inlineStr"/>
      <c r="B619" t="inlineStr"/>
      <c r="C619" t="inlineStr"/>
      <c r="D619" t="inlineStr"/>
    </row>
    <row r="620">
      <c r="A620" t="inlineStr">
        <is>
          <t>No</t>
        </is>
      </c>
      <c r="B620" t="inlineStr"/>
      <c r="C620" t="inlineStr">
        <is>
          <t>I hope my child will have a positive experience away from home and independent from me.</t>
        </is>
      </c>
      <c r="D620" t="inlineStr"/>
    </row>
    <row r="621">
      <c r="A621" t="inlineStr">
        <is>
          <t>No</t>
        </is>
      </c>
      <c r="B621" t="inlineStr"/>
      <c r="C621" t="inlineStr">
        <is>
          <t>Money</t>
        </is>
      </c>
      <c r="D621" t="inlineStr"/>
    </row>
    <row r="622">
      <c r="A622" t="inlineStr">
        <is>
          <t>No</t>
        </is>
      </c>
      <c r="B622" t="inlineStr"/>
      <c r="C622" t="inlineStr">
        <is>
          <t xml:space="preserve">Timing </t>
        </is>
      </c>
      <c r="D622" t="inlineStr"/>
    </row>
    <row r="623">
      <c r="A623" t="inlineStr"/>
      <c r="B623" t="inlineStr"/>
      <c r="C623" t="inlineStr"/>
      <c r="D623" t="inlineStr"/>
    </row>
    <row r="624">
      <c r="A624" t="inlineStr">
        <is>
          <t>No</t>
        </is>
      </c>
      <c r="B624" t="inlineStr"/>
      <c r="C624" t="inlineStr">
        <is>
          <t xml:space="preserve"> My husband and I have both been a parent builder for this child and she wanted to go on her own this year</t>
        </is>
      </c>
      <c r="D624" t="inlineStr"/>
    </row>
    <row r="625">
      <c r="A625" t="inlineStr">
        <is>
          <t>No</t>
        </is>
      </c>
      <c r="B625" t="inlineStr"/>
      <c r="C625" t="inlineStr">
        <is>
          <t>Just no time to take off work this year I would LOVE to I. The future if I can make it woek</t>
        </is>
      </c>
      <c r="D625" t="inlineStr"/>
    </row>
    <row r="626">
      <c r="A626" t="inlineStr">
        <is>
          <t>No</t>
        </is>
      </c>
      <c r="B626" t="inlineStr"/>
      <c r="C626" t="inlineStr"/>
      <c r="D626" t="inlineStr"/>
    </row>
    <row r="627">
      <c r="A627" t="inlineStr">
        <is>
          <t>Yes</t>
        </is>
      </c>
      <c r="B627" t="inlineStr">
        <is>
          <t>Need and my daughter said it was okay</t>
        </is>
      </c>
      <c r="C627" t="inlineStr"/>
      <c r="D627" t="inlineStr"/>
    </row>
    <row r="628">
      <c r="A628" t="inlineStr">
        <is>
          <t>No</t>
        </is>
      </c>
      <c r="B628" t="inlineStr"/>
      <c r="C628" t="inlineStr">
        <is>
          <t>Work, ill probably go later</t>
        </is>
      </c>
      <c r="D628" t="inlineStr"/>
    </row>
    <row r="629">
      <c r="A629" t="inlineStr">
        <is>
          <t>No</t>
        </is>
      </c>
      <c r="B629" t="inlineStr"/>
      <c r="C629" t="inlineStr"/>
      <c r="D629" t="inlineStr"/>
    </row>
    <row r="630">
      <c r="A630" t="inlineStr">
        <is>
          <t>No</t>
        </is>
      </c>
      <c r="B630" t="inlineStr"/>
      <c r="C630" t="inlineStr">
        <is>
          <t>Cost</t>
        </is>
      </c>
      <c r="D630" t="inlineStr"/>
    </row>
    <row r="631">
      <c r="A631" t="inlineStr">
        <is>
          <t>No</t>
        </is>
      </c>
      <c r="B631" t="inlineStr"/>
      <c r="C631" t="inlineStr">
        <is>
          <t xml:space="preserve">Family responsibilities at home and builder wants an independent experience </t>
        </is>
      </c>
      <c r="D631" t="inlineStr"/>
    </row>
    <row r="632">
      <c r="A632" t="inlineStr">
        <is>
          <t>No</t>
        </is>
      </c>
      <c r="B632" t="inlineStr"/>
      <c r="C632" t="inlineStr">
        <is>
          <t xml:space="preserve">Unable to get that much time off of work. </t>
        </is>
      </c>
      <c r="D632" t="inlineStr"/>
    </row>
    <row r="633">
      <c r="A633" t="inlineStr">
        <is>
          <t>No</t>
        </is>
      </c>
      <c r="B633" t="inlineStr"/>
      <c r="C633" t="inlineStr">
        <is>
          <t xml:space="preserve">I just need my other kids to be older or I’d be there in a heartbeat! </t>
        </is>
      </c>
      <c r="D633" t="inlineStr"/>
    </row>
    <row r="634">
      <c r="A634" t="inlineStr">
        <is>
          <t>No</t>
        </is>
      </c>
      <c r="B634" t="inlineStr"/>
      <c r="C634" t="inlineStr">
        <is>
          <t xml:space="preserve">Allow my daughter time and growth Independent of parents    </t>
        </is>
      </c>
      <c r="D634" t="inlineStr"/>
    </row>
    <row r="635">
      <c r="A635" t="inlineStr">
        <is>
          <t>No</t>
        </is>
      </c>
      <c r="B635" t="inlineStr"/>
      <c r="C635" t="inlineStr"/>
      <c r="D635" t="inlineStr"/>
    </row>
    <row r="636">
      <c r="A636" t="inlineStr">
        <is>
          <t>Yes</t>
        </is>
      </c>
      <c r="B636" t="inlineStr"/>
      <c r="C636" t="inlineStr"/>
      <c r="D636" t="inlineStr"/>
    </row>
    <row r="637">
      <c r="A637" t="inlineStr">
        <is>
          <t>Yes</t>
        </is>
      </c>
      <c r="B637" t="inlineStr">
        <is>
          <t>Wanting to experience some of the things they have experienced with their previous trips. This is also my youngest and so last opportunity.</t>
        </is>
      </c>
      <c r="C637" t="inlineStr"/>
      <c r="D637" t="inlineStr"/>
    </row>
    <row r="638">
      <c r="A638" t="inlineStr">
        <is>
          <t>No</t>
        </is>
      </c>
      <c r="B638" t="inlineStr"/>
      <c r="C638" t="inlineStr">
        <is>
          <t>Brighton did not want either of us to go, he wanted to go on his own. He wanted an experience on his own before he goes on his mission in a year.</t>
        </is>
      </c>
      <c r="D638" t="inlineStr"/>
    </row>
    <row r="639">
      <c r="A639" t="inlineStr">
        <is>
          <t>No</t>
        </is>
      </c>
      <c r="B639" t="inlineStr"/>
      <c r="C639" t="inlineStr">
        <is>
          <t xml:space="preserve">Money, but would love to go in the future </t>
        </is>
      </c>
      <c r="D639" t="inlineStr"/>
    </row>
    <row r="640">
      <c r="A640" t="inlineStr">
        <is>
          <t>Yes</t>
        </is>
      </c>
      <c r="B640" t="inlineStr">
        <is>
          <t xml:space="preserve">I have always wanted to do something like this. </t>
        </is>
      </c>
      <c r="C640" t="inlineStr"/>
      <c r="D640" t="inlineStr"/>
    </row>
    <row r="641">
      <c r="A641" t="inlineStr">
        <is>
          <t>No</t>
        </is>
      </c>
      <c r="B641" t="inlineStr"/>
      <c r="C641" t="inlineStr">
        <is>
          <t xml:space="preserve">Time and money. I would love to go at some point. </t>
        </is>
      </c>
      <c r="D641" t="inlineStr"/>
    </row>
    <row r="642">
      <c r="A642" t="inlineStr">
        <is>
          <t>No</t>
        </is>
      </c>
      <c r="B642" t="inlineStr"/>
      <c r="C642" t="inlineStr"/>
      <c r="D642" t="inlineStr"/>
    </row>
    <row r="643">
      <c r="A643" t="inlineStr">
        <is>
          <t>No</t>
        </is>
      </c>
      <c r="B643" t="inlineStr"/>
      <c r="C643" t="inlineStr">
        <is>
          <t>We wanted our kids to have the opportunity to go parent free</t>
        </is>
      </c>
      <c r="D643" t="inlineStr"/>
    </row>
    <row r="644">
      <c r="A644" t="inlineStr"/>
      <c r="B644" t="inlineStr"/>
      <c r="C644" t="inlineStr"/>
      <c r="D644" t="inlineStr"/>
    </row>
    <row r="645">
      <c r="A645" t="inlineStr">
        <is>
          <t>No</t>
        </is>
      </c>
      <c r="B645" t="inlineStr"/>
      <c r="C645" t="inlineStr">
        <is>
          <t xml:space="preserve">I travelled on humanitarian trips when I was young, without my parents. This was an incredible time for me to grow. I want the same for my daughter. </t>
        </is>
      </c>
      <c r="D645" t="inlineStr"/>
    </row>
    <row r="646">
      <c r="A646" t="inlineStr">
        <is>
          <t>No</t>
        </is>
      </c>
      <c r="B646" t="inlineStr"/>
      <c r="C646" t="inlineStr"/>
      <c r="D646" t="inlineStr"/>
    </row>
    <row r="647">
      <c r="A647" t="inlineStr">
        <is>
          <t>No</t>
        </is>
      </c>
      <c r="B647" t="inlineStr"/>
      <c r="C647" t="inlineStr">
        <is>
          <t>Other children at home</t>
        </is>
      </c>
      <c r="D647" t="inlineStr"/>
    </row>
    <row r="648">
      <c r="A648" t="inlineStr">
        <is>
          <t>No</t>
        </is>
      </c>
      <c r="B648" t="inlineStr"/>
      <c r="C648" t="inlineStr">
        <is>
          <t>Other kids are too young planning on going when they’re older.</t>
        </is>
      </c>
      <c r="D648" t="inlineStr"/>
    </row>
    <row r="649">
      <c r="A649" t="inlineStr">
        <is>
          <t>No</t>
        </is>
      </c>
      <c r="B649" t="inlineStr"/>
      <c r="C649" t="inlineStr">
        <is>
          <t>Daughter wanted to go alone</t>
        </is>
      </c>
      <c r="D649" t="inlineStr"/>
    </row>
    <row r="650">
      <c r="A650" t="inlineStr">
        <is>
          <t>No</t>
        </is>
      </c>
      <c r="B650" t="inlineStr"/>
      <c r="C650" t="inlineStr">
        <is>
          <t xml:space="preserve">I’ve been a parent builder twice before and my daughter wants to go without me 😂 </t>
        </is>
      </c>
      <c r="D650" t="inlineStr"/>
    </row>
    <row r="651">
      <c r="A651" t="inlineStr">
        <is>
          <t>No</t>
        </is>
      </c>
      <c r="B651" t="inlineStr"/>
      <c r="C651" t="inlineStr">
        <is>
          <t xml:space="preserve">Having other children at home </t>
        </is>
      </c>
      <c r="D651" t="inlineStr"/>
    </row>
    <row r="652">
      <c r="A652" t="inlineStr">
        <is>
          <t>Maybe</t>
        </is>
      </c>
      <c r="B652" t="inlineStr"/>
      <c r="C652" t="inlineStr"/>
      <c r="D652" t="inlineStr">
        <is>
          <t>I would’ve loved to go on this one. My daughter wasn’t as excited when we were signing up! But now she wishes I were going! 😂</t>
        </is>
      </c>
    </row>
    <row r="653">
      <c r="A653" t="inlineStr">
        <is>
          <t>No</t>
        </is>
      </c>
      <c r="B653" t="inlineStr"/>
      <c r="C653" t="inlineStr">
        <is>
          <t>I don’t have enough vacation time from work</t>
        </is>
      </c>
      <c r="D653" t="inlineStr"/>
    </row>
    <row r="654">
      <c r="A654" t="inlineStr">
        <is>
          <t>No</t>
        </is>
      </c>
      <c r="B654" t="inlineStr"/>
      <c r="C654" t="inlineStr">
        <is>
          <t>Younger kids at home.</t>
        </is>
      </c>
      <c r="D654" t="inlineStr"/>
    </row>
    <row r="655">
      <c r="A655" t="inlineStr">
        <is>
          <t>Yes</t>
        </is>
      </c>
      <c r="B655" t="inlineStr">
        <is>
          <t xml:space="preserve">I want my children and other teens to realize that they can do hard things and that serving others is what brings us pure Joy. I loved the previous trips that I’ve gone with my other children. </t>
        </is>
      </c>
      <c r="C655" t="inlineStr"/>
      <c r="D655" t="inlineStr"/>
    </row>
    <row r="656">
      <c r="A656" t="inlineStr">
        <is>
          <t>Yes</t>
        </is>
      </c>
      <c r="B656" t="inlineStr">
        <is>
          <t>Previous experiences with family and friends going</t>
        </is>
      </c>
      <c r="C656" t="inlineStr"/>
      <c r="D656" t="inlineStr"/>
    </row>
    <row r="657">
      <c r="A657" t="inlineStr">
        <is>
          <t>No</t>
        </is>
      </c>
      <c r="B657" t="inlineStr"/>
      <c r="C657" t="inlineStr"/>
      <c r="D657" t="inlineStr"/>
    </row>
    <row r="658">
      <c r="A658" t="inlineStr">
        <is>
          <t>No</t>
        </is>
      </c>
      <c r="B658" t="inlineStr"/>
      <c r="C658" t="inlineStr">
        <is>
          <t>Other children at home and job</t>
        </is>
      </c>
      <c r="D658" t="inlineStr"/>
    </row>
    <row r="659">
      <c r="A659" t="inlineStr">
        <is>
          <t>No</t>
        </is>
      </c>
      <c r="B659" t="inlineStr"/>
      <c r="C659" t="inlineStr">
        <is>
          <t>Cost. I would do a heartbeat! It’s actually my dream.</t>
        </is>
      </c>
      <c r="D659" t="inlineStr"/>
    </row>
    <row r="660">
      <c r="A660" t="inlineStr">
        <is>
          <t>No</t>
        </is>
      </c>
      <c r="B660" t="inlineStr"/>
      <c r="C660" t="inlineStr">
        <is>
          <t>Cost</t>
        </is>
      </c>
      <c r="D660" t="inlineStr"/>
    </row>
    <row r="661">
      <c r="A661" t="inlineStr">
        <is>
          <t>Yes</t>
        </is>
      </c>
      <c r="B661" t="inlineStr">
        <is>
          <t>Just wanted to serve 🤍</t>
        </is>
      </c>
      <c r="C661" t="inlineStr"/>
      <c r="D661" t="inlineStr"/>
    </row>
    <row r="662">
      <c r="A662" t="inlineStr">
        <is>
          <t>No</t>
        </is>
      </c>
      <c r="B662" t="inlineStr"/>
      <c r="C662" t="inlineStr"/>
      <c r="D662" t="inlineStr"/>
    </row>
    <row r="663">
      <c r="A663" t="inlineStr">
        <is>
          <t>No</t>
        </is>
      </c>
      <c r="B663" t="inlineStr"/>
      <c r="C663" t="inlineStr">
        <is>
          <t xml:space="preserve">Financial </t>
        </is>
      </c>
      <c r="D663" t="inlineStr"/>
    </row>
    <row r="664">
      <c r="A664" t="inlineStr">
        <is>
          <t>No</t>
        </is>
      </c>
      <c r="B664" t="inlineStr"/>
      <c r="C664" t="inlineStr"/>
      <c r="D664" t="inlineStr"/>
    </row>
    <row r="665">
      <c r="A665" t="inlineStr">
        <is>
          <t>Maybe</t>
        </is>
      </c>
      <c r="B665" t="inlineStr"/>
      <c r="C665" t="inlineStr"/>
      <c r="D665" t="inlineStr">
        <is>
          <t>Not sure</t>
        </is>
      </c>
    </row>
    <row r="666">
      <c r="A666" t="inlineStr">
        <is>
          <t>Maybe</t>
        </is>
      </c>
      <c r="B666" t="inlineStr"/>
      <c r="C666" t="inlineStr"/>
      <c r="D666" t="inlineStr"/>
    </row>
    <row r="667">
      <c r="A667" t="inlineStr">
        <is>
          <t>No</t>
        </is>
      </c>
      <c r="B667" t="inlineStr"/>
      <c r="C667" t="inlineStr">
        <is>
          <t xml:space="preserve">I would have loved to go but my brother in law wanted to go with my daughter </t>
        </is>
      </c>
      <c r="D667" t="inlineStr"/>
    </row>
    <row r="668">
      <c r="A668" t="inlineStr">
        <is>
          <t>Yes</t>
        </is>
      </c>
      <c r="B668" t="inlineStr">
        <is>
          <t>My builder.</t>
        </is>
      </c>
      <c r="C668" t="inlineStr"/>
      <c r="D668" t="inlineStr"/>
    </row>
    <row r="669">
      <c r="A669" t="inlineStr">
        <is>
          <t>Yes</t>
        </is>
      </c>
      <c r="B669" t="inlineStr">
        <is>
          <t>Time with my child</t>
        </is>
      </c>
      <c r="C669" t="inlineStr"/>
      <c r="D669" t="inlineStr"/>
    </row>
    <row r="670">
      <c r="A670" t="inlineStr">
        <is>
          <t>Yes</t>
        </is>
      </c>
      <c r="B670" t="inlineStr">
        <is>
          <t>Wanted a meaningful experience serving with my son</t>
        </is>
      </c>
      <c r="C670" t="inlineStr"/>
      <c r="D670" t="inlineStr"/>
    </row>
    <row r="671">
      <c r="A671" t="inlineStr">
        <is>
          <t>No</t>
        </is>
      </c>
      <c r="B671" t="inlineStr"/>
      <c r="C671" t="inlineStr">
        <is>
          <t>I want my son to have an experience without me to grow.</t>
        </is>
      </c>
      <c r="D671" t="inlineStr"/>
    </row>
    <row r="672">
      <c r="A672" t="inlineStr">
        <is>
          <t>Maybe</t>
        </is>
      </c>
      <c r="B672" t="inlineStr"/>
      <c r="C672" t="inlineStr"/>
      <c r="D672" t="inlineStr">
        <is>
          <t xml:space="preserve">My kids grew out of the age range for builders </t>
        </is>
      </c>
    </row>
    <row r="673">
      <c r="A673" t="inlineStr">
        <is>
          <t>No</t>
        </is>
      </c>
      <c r="B673" t="inlineStr"/>
      <c r="C673" t="inlineStr">
        <is>
          <t>I have been twice as a parent builder. My husband called "dibs" for this trip.</t>
        </is>
      </c>
      <c r="D673" t="inlineStr"/>
    </row>
    <row r="674">
      <c r="A674" t="inlineStr">
        <is>
          <t>No</t>
        </is>
      </c>
      <c r="B674" t="inlineStr"/>
      <c r="C674" t="inlineStr">
        <is>
          <t>Kids at home</t>
        </is>
      </c>
      <c r="D674" t="inlineStr"/>
    </row>
    <row r="675">
      <c r="A675" t="inlineStr">
        <is>
          <t>No</t>
        </is>
      </c>
      <c r="B675" t="inlineStr"/>
      <c r="C675" t="inlineStr"/>
      <c r="D675" t="inlineStr"/>
    </row>
    <row r="676">
      <c r="A676" t="inlineStr">
        <is>
          <t>No</t>
        </is>
      </c>
      <c r="B676" t="inlineStr"/>
      <c r="C676" t="inlineStr">
        <is>
          <t>Small kids at home I can’t leave</t>
        </is>
      </c>
      <c r="D676" t="inlineStr"/>
    </row>
    <row r="677">
      <c r="A677" t="inlineStr">
        <is>
          <t>No</t>
        </is>
      </c>
      <c r="B677" t="inlineStr"/>
      <c r="C677" t="inlineStr">
        <is>
          <t xml:space="preserve">What her to have independence </t>
        </is>
      </c>
      <c r="D677" t="inlineStr"/>
    </row>
    <row r="678">
      <c r="A678" t="inlineStr">
        <is>
          <t>No</t>
        </is>
      </c>
      <c r="B678" t="inlineStr"/>
      <c r="C678" t="inlineStr">
        <is>
          <t>I have younger kids at home that I couldn't leave for that long.  And work.</t>
        </is>
      </c>
      <c r="D678" t="inlineStr"/>
    </row>
    <row r="679">
      <c r="A679" t="inlineStr">
        <is>
          <t>No</t>
        </is>
      </c>
      <c r="B679" t="inlineStr"/>
      <c r="C679" t="inlineStr">
        <is>
          <t>I wanted my daughter to have this experience on her own.</t>
        </is>
      </c>
      <c r="D679" t="inlineStr"/>
    </row>
    <row r="680">
      <c r="A680" t="inlineStr">
        <is>
          <t>No</t>
        </is>
      </c>
      <c r="B680" t="inlineStr"/>
      <c r="C680" t="inlineStr">
        <is>
          <t xml:space="preserve">Our daughter asked to go on this trip alone without depending on us otherwise I for sure would have gone </t>
        </is>
      </c>
      <c r="D680" t="inlineStr"/>
    </row>
    <row r="681">
      <c r="A681" t="inlineStr">
        <is>
          <t>No</t>
        </is>
      </c>
      <c r="B681" t="inlineStr"/>
      <c r="C681" t="inlineStr">
        <is>
          <t>I don’t have time plus the expenses</t>
        </is>
      </c>
      <c r="D681" t="inlineStr"/>
    </row>
    <row r="682">
      <c r="A682" t="inlineStr">
        <is>
          <t>No</t>
        </is>
      </c>
      <c r="B682" t="inlineStr"/>
      <c r="C682" t="inlineStr">
        <is>
          <t>I want my child to have this experience away from home on his own in preparation for college/mission</t>
        </is>
      </c>
      <c r="D682" t="inlineStr"/>
    </row>
    <row r="683">
      <c r="A683" t="inlineStr">
        <is>
          <t>No</t>
        </is>
      </c>
      <c r="B683" t="inlineStr"/>
      <c r="C683" t="inlineStr"/>
      <c r="D683" t="inlineStr"/>
    </row>
    <row r="684">
      <c r="A684" t="inlineStr">
        <is>
          <t>Yes</t>
        </is>
      </c>
      <c r="B684" t="inlineStr">
        <is>
          <t>Time with my kid</t>
        </is>
      </c>
      <c r="C684" t="inlineStr"/>
      <c r="D684" t="inlineStr"/>
    </row>
    <row r="685">
      <c r="A685" t="inlineStr">
        <is>
          <t>No</t>
        </is>
      </c>
      <c r="B685" t="inlineStr"/>
      <c r="C685" t="inlineStr">
        <is>
          <t>Time off.</t>
        </is>
      </c>
      <c r="D685" t="inlineStr"/>
    </row>
    <row r="686">
      <c r="A686" t="inlineStr">
        <is>
          <t>No</t>
        </is>
      </c>
      <c r="B686" t="inlineStr"/>
      <c r="C686" t="inlineStr">
        <is>
          <t xml:space="preserve">Cost, availability </t>
        </is>
      </c>
      <c r="D686" t="inlineStr"/>
    </row>
    <row r="687">
      <c r="A687" t="inlineStr">
        <is>
          <t>No</t>
        </is>
      </c>
      <c r="B687" t="inlineStr"/>
      <c r="C687" t="inlineStr"/>
      <c r="D687" t="inlineStr"/>
    </row>
    <row r="688">
      <c r="A688" t="inlineStr">
        <is>
          <t>No</t>
        </is>
      </c>
      <c r="B688" t="inlineStr"/>
      <c r="C688" t="inlineStr">
        <is>
          <t>Mostly, because she would lean on me too much if I was there. Plus I have other responsibilities at home.</t>
        </is>
      </c>
      <c r="D688" t="inlineStr"/>
    </row>
    <row r="689">
      <c r="A689" t="inlineStr">
        <is>
          <t>No</t>
        </is>
      </c>
      <c r="B689" t="inlineStr"/>
      <c r="C689" t="inlineStr">
        <is>
          <t>Cost and time away from work.</t>
        </is>
      </c>
      <c r="D689" t="inlineStr"/>
    </row>
    <row r="690">
      <c r="A690" t="inlineStr">
        <is>
          <t>No</t>
        </is>
      </c>
      <c r="B690" t="inlineStr"/>
      <c r="C690" t="inlineStr">
        <is>
          <t xml:space="preserve">Amount of time I would need to take off work and physical limitations </t>
        </is>
      </c>
      <c r="D690" t="inlineStr"/>
    </row>
    <row r="691">
      <c r="A691" t="inlineStr">
        <is>
          <t>No</t>
        </is>
      </c>
      <c r="B691" t="inlineStr"/>
      <c r="C691" t="inlineStr">
        <is>
          <t>Other commitments</t>
        </is>
      </c>
      <c r="D691" t="inlineStr"/>
    </row>
    <row r="692">
      <c r="A692" t="inlineStr">
        <is>
          <t>No</t>
        </is>
      </c>
      <c r="B692" t="inlineStr"/>
      <c r="C692" t="inlineStr">
        <is>
          <t xml:space="preserve">I want my child to have an independent experience without a parent there.   </t>
        </is>
      </c>
      <c r="D692" t="inlineStr"/>
    </row>
    <row r="693">
      <c r="A693" t="inlineStr">
        <is>
          <t>No</t>
        </is>
      </c>
      <c r="B693" t="inlineStr"/>
      <c r="C693" t="inlineStr">
        <is>
          <t>Time</t>
        </is>
      </c>
      <c r="D693" t="inlineStr"/>
    </row>
    <row r="694">
      <c r="A694" t="inlineStr">
        <is>
          <t>No</t>
        </is>
      </c>
      <c r="B694" t="inlineStr"/>
      <c r="C694" t="inlineStr">
        <is>
          <t xml:space="preserve">She tends to lean on me when I'm present. She is excited to do it alone. </t>
        </is>
      </c>
      <c r="D694" t="inlineStr"/>
    </row>
    <row r="695">
      <c r="A695" t="inlineStr">
        <is>
          <t>No</t>
        </is>
      </c>
      <c r="B695" t="inlineStr"/>
      <c r="C695" t="inlineStr">
        <is>
          <t>I was unavailable and it’s expensive to pay for 2 trips</t>
        </is>
      </c>
      <c r="D695" t="inlineStr"/>
    </row>
    <row r="696">
      <c r="A696" t="inlineStr">
        <is>
          <t>No</t>
        </is>
      </c>
      <c r="B696" t="inlineStr"/>
      <c r="C696" t="inlineStr">
        <is>
          <t>time away from work, plus added cost</t>
        </is>
      </c>
      <c r="D696" t="inlineStr"/>
    </row>
    <row r="697">
      <c r="A697" t="inlineStr">
        <is>
          <t>No</t>
        </is>
      </c>
      <c r="B697" t="inlineStr"/>
      <c r="C697" t="inlineStr">
        <is>
          <t>Work</t>
        </is>
      </c>
      <c r="D697" t="inlineStr"/>
    </row>
    <row r="698">
      <c r="A698" t="inlineStr">
        <is>
          <t>No</t>
        </is>
      </c>
      <c r="B698" t="inlineStr"/>
      <c r="C698" t="inlineStr">
        <is>
          <t>My daughter preferred to go on her own</t>
        </is>
      </c>
      <c r="D698" t="inlineStr"/>
    </row>
    <row r="699">
      <c r="A699" t="inlineStr">
        <is>
          <t>No</t>
        </is>
      </c>
      <c r="B699" t="inlineStr"/>
      <c r="C699" t="inlineStr">
        <is>
          <t>I know my daughter will do best without me there!</t>
        </is>
      </c>
      <c r="D699" t="inlineStr"/>
    </row>
    <row r="700">
      <c r="A700" t="inlineStr"/>
      <c r="B700" t="inlineStr"/>
      <c r="C700" t="inlineStr"/>
      <c r="D700" t="inlineStr"/>
    </row>
    <row r="701">
      <c r="A701" t="inlineStr">
        <is>
          <t>No</t>
        </is>
      </c>
      <c r="B701" t="inlineStr"/>
      <c r="C701" t="inlineStr">
        <is>
          <t>I've been before and I wanted my daughter to have the experience sans parent.</t>
        </is>
      </c>
      <c r="D701" t="inlineStr"/>
    </row>
    <row r="702">
      <c r="A702" t="inlineStr">
        <is>
          <t>No</t>
        </is>
      </c>
      <c r="B702" t="inlineStr"/>
      <c r="C702" t="inlineStr">
        <is>
          <t>My child specifically said she wanted to go by herself</t>
        </is>
      </c>
      <c r="D702" t="inlineStr"/>
    </row>
    <row r="703">
      <c r="A703" t="inlineStr">
        <is>
          <t>No</t>
        </is>
      </c>
      <c r="B703" t="inlineStr"/>
      <c r="C703" t="inlineStr">
        <is>
          <t>too much time off of work, wanted to give my son his space to experience without parent along</t>
        </is>
      </c>
      <c r="D703" t="inlineStr"/>
    </row>
    <row r="704">
      <c r="A704" t="inlineStr">
        <is>
          <t>No</t>
        </is>
      </c>
      <c r="B704" t="inlineStr"/>
      <c r="C704" t="inlineStr">
        <is>
          <t>My Job</t>
        </is>
      </c>
      <c r="D704" t="inlineStr"/>
    </row>
    <row r="705">
      <c r="A705" t="inlineStr">
        <is>
          <t>No</t>
        </is>
      </c>
      <c r="B705" t="inlineStr"/>
      <c r="C705" t="inlineStr">
        <is>
          <t>Cost</t>
        </is>
      </c>
      <c r="D705" t="inlineStr"/>
    </row>
    <row r="706">
      <c r="A706" t="inlineStr">
        <is>
          <t>Maybe</t>
        </is>
      </c>
      <c r="B706" t="inlineStr"/>
      <c r="C706" t="inlineStr"/>
      <c r="D706" t="inlineStr">
        <is>
          <t>Care for my children I leave at home. :)</t>
        </is>
      </c>
    </row>
    <row r="707">
      <c r="A707" t="inlineStr">
        <is>
          <t>No</t>
        </is>
      </c>
      <c r="B707" t="inlineStr"/>
      <c r="C707" t="inlineStr">
        <is>
          <t>I think my children would prefer the experience independent of a parent. Didn't want to spend the money.</t>
        </is>
      </c>
      <c r="D707" t="inlineStr"/>
    </row>
    <row r="708">
      <c r="A708" t="inlineStr">
        <is>
          <t>No</t>
        </is>
      </c>
      <c r="B708" t="inlineStr"/>
      <c r="C708" t="inlineStr">
        <is>
          <t>seeing friends go</t>
        </is>
      </c>
      <c r="D708" t="inlineStr"/>
    </row>
    <row r="709">
      <c r="A709" t="inlineStr">
        <is>
          <t>No</t>
        </is>
      </c>
      <c r="B709" t="inlineStr"/>
      <c r="C709" t="inlineStr">
        <is>
          <t>Nothing.  Did not consider it</t>
        </is>
      </c>
      <c r="D709" t="inlineStr"/>
    </row>
    <row r="710">
      <c r="A710" t="inlineStr">
        <is>
          <t>Maybe</t>
        </is>
      </c>
      <c r="B710" t="inlineStr"/>
      <c r="C710" t="inlineStr"/>
      <c r="D710" t="inlineStr">
        <is>
          <t>Knowing the dates you need help so I can get work off</t>
        </is>
      </c>
    </row>
    <row r="711">
      <c r="A711" t="inlineStr"/>
      <c r="B711" t="inlineStr"/>
      <c r="C711" t="inlineStr"/>
      <c r="D711" t="inlineStr"/>
    </row>
    <row r="712">
      <c r="A712" t="inlineStr">
        <is>
          <t>No</t>
        </is>
      </c>
      <c r="B712" t="inlineStr"/>
      <c r="C712" t="inlineStr">
        <is>
          <t xml:space="preserve">My other kids went and they had a positive experience. </t>
        </is>
      </c>
      <c r="D712" t="inlineStr"/>
    </row>
    <row r="713">
      <c r="A713" t="inlineStr">
        <is>
          <t>Yes</t>
        </is>
      </c>
      <c r="B713" t="inlineStr">
        <is>
          <t>great experiences with my other two girls.  and my daughter asked me to go with her</t>
        </is>
      </c>
      <c r="C713" t="inlineStr"/>
      <c r="D713" t="inlineStr"/>
    </row>
    <row r="714">
      <c r="A714" t="inlineStr"/>
      <c r="B714" t="inlineStr"/>
      <c r="C714" t="inlineStr"/>
      <c r="D714" t="inlineStr"/>
    </row>
    <row r="715">
      <c r="A715" t="inlineStr">
        <is>
          <t>No</t>
        </is>
      </c>
      <c r="B715" t="inlineStr"/>
      <c r="C715" t="inlineStr">
        <is>
          <t>Cost of paying for both parent and builder and I wanted my kid to have an experience without me</t>
        </is>
      </c>
      <c r="D715" t="inlineStr"/>
    </row>
    <row r="716">
      <c r="A716" t="inlineStr">
        <is>
          <t>Maybe</t>
        </is>
      </c>
      <c r="B716" t="inlineStr"/>
      <c r="C716" t="inlineStr"/>
      <c r="D716" t="inlineStr">
        <is>
          <t>Cost</t>
        </is>
      </c>
    </row>
    <row r="717">
      <c r="A717" t="inlineStr">
        <is>
          <t>No</t>
        </is>
      </c>
      <c r="B717" t="inlineStr"/>
      <c r="C717" t="inlineStr">
        <is>
          <t>Want our son to have an individual experience without us there :)</t>
        </is>
      </c>
      <c r="D717" t="inlineStr"/>
    </row>
    <row r="718">
      <c r="A718" t="inlineStr">
        <is>
          <t>No</t>
        </is>
      </c>
      <c r="B718" t="inlineStr"/>
      <c r="C718" t="inlineStr">
        <is>
          <t xml:space="preserve">Time commitment. Child didn't want her parents to come. </t>
        </is>
      </c>
      <c r="D718" t="inlineStr"/>
    </row>
    <row r="719">
      <c r="A719" t="inlineStr">
        <is>
          <t>No</t>
        </is>
      </c>
      <c r="B719" t="inlineStr"/>
      <c r="C719" t="inlineStr">
        <is>
          <t>Money!</t>
        </is>
      </c>
      <c r="D719" t="inlineStr"/>
    </row>
    <row r="720">
      <c r="A720" t="inlineStr"/>
      <c r="B720" t="inlineStr"/>
      <c r="C720" t="inlineStr"/>
      <c r="D720" t="inlineStr"/>
    </row>
    <row r="721">
      <c r="A721" t="inlineStr"/>
      <c r="B721" t="inlineStr"/>
      <c r="C721" t="inlineStr"/>
      <c r="D721" t="inlineStr"/>
    </row>
    <row r="722">
      <c r="A722" t="inlineStr">
        <is>
          <t>No</t>
        </is>
      </c>
      <c r="B722" t="inlineStr"/>
      <c r="C722" t="inlineStr">
        <is>
          <t>Cost</t>
        </is>
      </c>
      <c r="D722" t="inlineStr"/>
    </row>
    <row r="723">
      <c r="A723" t="inlineStr">
        <is>
          <t>No</t>
        </is>
      </c>
      <c r="B723" t="inlineStr"/>
      <c r="C723" t="inlineStr">
        <is>
          <t>time off work, family obligations</t>
        </is>
      </c>
      <c r="D723" t="inlineStr"/>
    </row>
    <row r="724">
      <c r="A724" t="inlineStr">
        <is>
          <t>No</t>
        </is>
      </c>
      <c r="B724" t="inlineStr"/>
      <c r="C724" t="inlineStr">
        <is>
          <t>Work</t>
        </is>
      </c>
      <c r="D724" t="inlineStr"/>
    </row>
    <row r="725">
      <c r="A725" t="inlineStr">
        <is>
          <t>No</t>
        </is>
      </c>
      <c r="B725" t="inlineStr"/>
      <c r="C725" t="inlineStr">
        <is>
          <t>I really wanted to go and kind of begged my daughter. But she has never traveled alone and wanted to do this one by herself. CRYING FACE EMOJI!!</t>
        </is>
      </c>
      <c r="D725" t="inlineStr"/>
    </row>
    <row r="726">
      <c r="A726" t="inlineStr">
        <is>
          <t>No</t>
        </is>
      </c>
      <c r="B726" t="inlineStr"/>
      <c r="C726" t="inlineStr">
        <is>
          <t>I have a 12 year old son who is staying with me at home</t>
        </is>
      </c>
      <c r="D726" t="inlineStr"/>
    </row>
    <row r="727">
      <c r="A727" t="inlineStr">
        <is>
          <t>No</t>
        </is>
      </c>
      <c r="B727" t="inlineStr"/>
      <c r="C727" t="inlineStr">
        <is>
          <t>Unavailable due to other children's schedules</t>
        </is>
      </c>
      <c r="D727" t="inlineStr"/>
    </row>
    <row r="728">
      <c r="A728" t="inlineStr">
        <is>
          <t>No</t>
        </is>
      </c>
      <c r="B728" t="inlineStr"/>
      <c r="C728" t="inlineStr">
        <is>
          <t>younger kids at home</t>
        </is>
      </c>
      <c r="D728" t="inlineStr"/>
    </row>
    <row r="729">
      <c r="A729" t="inlineStr"/>
      <c r="B729" t="inlineStr"/>
      <c r="C729" t="inlineStr"/>
      <c r="D729" t="inlineStr"/>
    </row>
    <row r="730">
      <c r="A730" t="inlineStr"/>
      <c r="B730" t="inlineStr"/>
      <c r="C730" t="inlineStr"/>
      <c r="D730" t="inlineStr"/>
    </row>
    <row r="731">
      <c r="A731" t="inlineStr">
        <is>
          <t>No</t>
        </is>
      </c>
      <c r="B731" t="inlineStr"/>
      <c r="C731" t="inlineStr">
        <is>
          <t xml:space="preserve">My daughter wanted to go alone so she could experience it as a mini-mission growing experience. </t>
        </is>
      </c>
      <c r="D731" t="inlineStr"/>
    </row>
    <row r="732">
      <c r="A732" t="inlineStr">
        <is>
          <t>Maybe</t>
        </is>
      </c>
      <c r="B732" t="inlineStr"/>
      <c r="C732" t="inlineStr"/>
      <c r="D732" t="inlineStr">
        <is>
          <t>Funds and next child's desire to go</t>
        </is>
      </c>
    </row>
    <row r="733">
      <c r="A733" t="inlineStr">
        <is>
          <t>No</t>
        </is>
      </c>
      <c r="B733" t="inlineStr"/>
      <c r="C733" t="inlineStr">
        <is>
          <t>Funds</t>
        </is>
      </c>
      <c r="D733" t="inlineStr"/>
    </row>
    <row r="734">
      <c r="A734" t="inlineStr">
        <is>
          <t>No</t>
        </is>
      </c>
      <c r="B734" t="inlineStr"/>
      <c r="C734" t="inlineStr">
        <is>
          <t>Time and Cost</t>
        </is>
      </c>
      <c r="D734" t="inlineStr"/>
    </row>
    <row r="735">
      <c r="A735" t="inlineStr">
        <is>
          <t>No</t>
        </is>
      </c>
      <c r="B735" t="inlineStr"/>
      <c r="C735" t="inlineStr">
        <is>
          <t>Other children at home.</t>
        </is>
      </c>
      <c r="D735" t="inlineStr"/>
    </row>
    <row r="736">
      <c r="A736" t="inlineStr">
        <is>
          <t>No</t>
        </is>
      </c>
      <c r="B736" t="inlineStr"/>
      <c r="C736" t="inlineStr">
        <is>
          <t>money, could only afford to send my kid.</t>
        </is>
      </c>
      <c r="D736" t="inlineStr"/>
    </row>
    <row r="737">
      <c r="A737" t="inlineStr">
        <is>
          <t>No</t>
        </is>
      </c>
      <c r="B737" t="inlineStr"/>
      <c r="C737" t="inlineStr">
        <is>
          <t>Younger kids at home that need me</t>
        </is>
      </c>
      <c r="D737" t="inlineStr"/>
    </row>
    <row r="738">
      <c r="A738" t="inlineStr">
        <is>
          <t>No</t>
        </is>
      </c>
      <c r="B738" t="inlineStr"/>
      <c r="C738" t="inlineStr">
        <is>
          <t xml:space="preserve">It’s a good experience for my son without me there </t>
        </is>
      </c>
      <c r="D738" t="inlineStr"/>
    </row>
    <row r="739">
      <c r="A739" t="inlineStr">
        <is>
          <t>No</t>
        </is>
      </c>
      <c r="B739" t="inlineStr"/>
      <c r="C739" t="inlineStr">
        <is>
          <t>I don't have time and didn't want to pay for myself.</t>
        </is>
      </c>
      <c r="D739" t="inlineStr"/>
    </row>
    <row r="740">
      <c r="A740" t="inlineStr">
        <is>
          <t>No</t>
        </is>
      </c>
      <c r="B740" t="inlineStr"/>
      <c r="C740" t="inlineStr">
        <is>
          <t>Time</t>
        </is>
      </c>
      <c r="D740" t="inlineStr"/>
    </row>
    <row r="741">
      <c r="A741" t="inlineStr">
        <is>
          <t>No</t>
        </is>
      </c>
      <c r="B741" t="inlineStr"/>
      <c r="C741" t="inlineStr">
        <is>
          <t>My son doesn’t want me to</t>
        </is>
      </c>
      <c r="D741" t="inlineStr"/>
    </row>
    <row r="742">
      <c r="A742" t="inlineStr">
        <is>
          <t>No</t>
        </is>
      </c>
      <c r="B742" t="inlineStr"/>
      <c r="C742" t="inlineStr">
        <is>
          <t xml:space="preserve">Child care </t>
        </is>
      </c>
      <c r="D742" t="inlineStr"/>
    </row>
    <row r="743">
      <c r="A743" t="inlineStr">
        <is>
          <t>Yes</t>
        </is>
      </c>
      <c r="B743" t="inlineStr">
        <is>
          <t>Spending time with my child</t>
        </is>
      </c>
      <c r="C743" t="inlineStr"/>
      <c r="D743" t="inlineStr"/>
    </row>
    <row r="744">
      <c r="A744" t="inlineStr">
        <is>
          <t>Yes</t>
        </is>
      </c>
      <c r="B744" t="inlineStr">
        <is>
          <t xml:space="preserve">We've gone previously and have had a great experience with it. </t>
        </is>
      </c>
      <c r="C744" t="inlineStr"/>
      <c r="D744" t="inlineStr"/>
    </row>
    <row r="745">
      <c r="A745" t="inlineStr"/>
      <c r="B745" t="inlineStr"/>
      <c r="C745" t="inlineStr"/>
      <c r="D745" t="inlineStr"/>
    </row>
    <row r="746">
      <c r="A746" t="inlineStr">
        <is>
          <t>No</t>
        </is>
      </c>
      <c r="B746" t="inlineStr"/>
      <c r="C746" t="inlineStr">
        <is>
          <t>I have other children to care for, but plan to go next year!</t>
        </is>
      </c>
      <c r="D746" t="inlineStr"/>
    </row>
    <row r="747">
      <c r="A747" t="inlineStr">
        <is>
          <t>No</t>
        </is>
      </c>
      <c r="B747" t="inlineStr"/>
      <c r="C747" t="inlineStr">
        <is>
          <t xml:space="preserve">She’s a mommas girl so I decided it would be better for her to experience it on her own, if for sure go with my son in a few years though </t>
        </is>
      </c>
      <c r="D747" t="inlineStr"/>
    </row>
    <row r="748">
      <c r="A748" t="inlineStr">
        <is>
          <t>No</t>
        </is>
      </c>
      <c r="B748" t="inlineStr"/>
      <c r="C748" t="inlineStr">
        <is>
          <t>My daughter/builder wanted this experience on her own.</t>
        </is>
      </c>
      <c r="D748" t="inlineStr"/>
    </row>
    <row r="749">
      <c r="A749" t="inlineStr">
        <is>
          <t>No</t>
        </is>
      </c>
      <c r="B749" t="inlineStr"/>
      <c r="C749" t="inlineStr">
        <is>
          <t>cost</t>
        </is>
      </c>
      <c r="D749" t="inlineStr"/>
    </row>
    <row r="750">
      <c r="A750" t="inlineStr">
        <is>
          <t>No</t>
        </is>
      </c>
      <c r="B750" t="inlineStr"/>
      <c r="C750" t="inlineStr">
        <is>
          <t>Money</t>
        </is>
      </c>
      <c r="D750" t="inlineStr"/>
    </row>
    <row r="751">
      <c r="A751" t="inlineStr">
        <is>
          <t>No</t>
        </is>
      </c>
      <c r="B751" t="inlineStr"/>
      <c r="C751" t="inlineStr">
        <is>
          <t>Wanted my son to have his own experience. although I'd love to go as a parent builder with a different group</t>
        </is>
      </c>
      <c r="D751" t="inlineStr"/>
    </row>
    <row r="752">
      <c r="A752" t="inlineStr">
        <is>
          <t>No</t>
        </is>
      </c>
      <c r="B752" t="inlineStr"/>
      <c r="C752" t="inlineStr">
        <is>
          <t>Time away from other kids and cost of trip</t>
        </is>
      </c>
      <c r="D752" t="inlineStr"/>
    </row>
    <row r="753">
      <c r="A753" t="inlineStr"/>
      <c r="B753" t="inlineStr"/>
      <c r="C753" t="inlineStr"/>
      <c r="D753" t="inlineStr"/>
    </row>
    <row r="754">
      <c r="A754" t="inlineStr">
        <is>
          <t>No</t>
        </is>
      </c>
      <c r="B754" t="inlineStr"/>
      <c r="C754" t="inlineStr">
        <is>
          <t>Not in the budget right now.</t>
        </is>
      </c>
      <c r="D754" t="inlineStr"/>
    </row>
    <row r="755">
      <c r="A755" t="inlineStr">
        <is>
          <t>No</t>
        </is>
      </c>
      <c r="B755" t="inlineStr"/>
      <c r="C755" t="inlineStr">
        <is>
          <t>I’m not comfortable in positions like that</t>
        </is>
      </c>
      <c r="D755" t="inlineStr"/>
    </row>
    <row r="756">
      <c r="A756" t="inlineStr">
        <is>
          <t>Yes</t>
        </is>
      </c>
      <c r="B756" t="inlineStr">
        <is>
          <t xml:space="preserve">We’ve tried to do something like this with our older 3 kids and I wanted to go to this with Addie. </t>
        </is>
      </c>
      <c r="C756" t="inlineStr"/>
      <c r="D756" t="inlineStr"/>
    </row>
    <row r="757">
      <c r="A757" t="inlineStr">
        <is>
          <t>No</t>
        </is>
      </c>
      <c r="B757" t="inlineStr"/>
      <c r="C757" t="inlineStr">
        <is>
          <t xml:space="preserve">The cost. </t>
        </is>
      </c>
      <c r="D757" t="inlineStr"/>
    </row>
    <row r="758">
      <c r="A758" t="inlineStr">
        <is>
          <t>No</t>
        </is>
      </c>
      <c r="B758" t="inlineStr"/>
      <c r="C758" t="inlineStr">
        <is>
          <t>My son will open up more when I'm not there.</t>
        </is>
      </c>
      <c r="D758" t="inlineStr"/>
    </row>
    <row r="759">
      <c r="A759" t="inlineStr">
        <is>
          <t>No</t>
        </is>
      </c>
      <c r="B759" t="inlineStr"/>
      <c r="C759" t="inlineStr">
        <is>
          <t>I want my son to have this spiritual experience on his own. But I'm so jealous. I'd love to be there.</t>
        </is>
      </c>
      <c r="D759" t="inlineStr"/>
    </row>
    <row r="760">
      <c r="A760" t="inlineStr">
        <is>
          <t>No</t>
        </is>
      </c>
      <c r="B760" t="inlineStr"/>
      <c r="C760" t="inlineStr">
        <is>
          <t>Give my kid independence</t>
        </is>
      </c>
      <c r="D760" t="inlineStr"/>
    </row>
    <row r="761">
      <c r="A761" t="inlineStr">
        <is>
          <t>Yes</t>
        </is>
      </c>
      <c r="B761" t="inlineStr">
        <is>
          <t xml:space="preserve">Getting my daughter to go &amp; just overall experience. </t>
        </is>
      </c>
      <c r="C761" t="inlineStr"/>
      <c r="D761" t="inlineStr"/>
    </row>
    <row r="762">
      <c r="A762" t="inlineStr">
        <is>
          <t>No</t>
        </is>
      </c>
      <c r="B762" t="inlineStr"/>
      <c r="C762" t="inlineStr">
        <is>
          <t>Can’t miss 3 weeks of work</t>
        </is>
      </c>
      <c r="D762" t="inlineStr"/>
    </row>
    <row r="763">
      <c r="A763" t="inlineStr">
        <is>
          <t>Yes</t>
        </is>
      </c>
      <c r="B763" t="inlineStr">
        <is>
          <t>The videos I watched on youtube from other Parent builders about their experience, one video they shared how the trip made them closer together and to know each other more than just a mom and son but as an individual. those videos trully influenced my decision</t>
        </is>
      </c>
      <c r="C763" t="inlineStr"/>
      <c r="D763" t="inlineStr"/>
    </row>
    <row r="764">
      <c r="A764" t="inlineStr">
        <is>
          <t>No</t>
        </is>
      </c>
      <c r="B764" t="inlineStr"/>
      <c r="C764" t="inlineStr">
        <is>
          <t>No PTO available</t>
        </is>
      </c>
      <c r="D764" t="inlineStr"/>
    </row>
    <row r="765">
      <c r="A765" t="inlineStr">
        <is>
          <t>No</t>
        </is>
      </c>
      <c r="B765" t="inlineStr"/>
      <c r="C765" t="inlineStr">
        <is>
          <t>Cost. I want my kids to be independent</t>
        </is>
      </c>
      <c r="D765" t="inlineStr"/>
    </row>
    <row r="766">
      <c r="A766" t="inlineStr">
        <is>
          <t>No</t>
        </is>
      </c>
      <c r="B766" t="inlineStr"/>
      <c r="C766" t="inlineStr">
        <is>
          <t xml:space="preserve">Cost and duration of the trip is too long to leave younger children at home </t>
        </is>
      </c>
      <c r="D766" t="inlineStr"/>
    </row>
    <row r="767">
      <c r="A767" t="inlineStr">
        <is>
          <t>No</t>
        </is>
      </c>
      <c r="B767" t="inlineStr"/>
      <c r="C767" t="inlineStr">
        <is>
          <t>My other kids at home and money</t>
        </is>
      </c>
      <c r="D767" t="inlineStr"/>
    </row>
    <row r="768">
      <c r="A768" t="inlineStr">
        <is>
          <t>No</t>
        </is>
      </c>
      <c r="B768" t="inlineStr"/>
      <c r="C768" t="inlineStr">
        <is>
          <t>Single parent with a little at home</t>
        </is>
      </c>
      <c r="D768" t="inlineStr"/>
    </row>
    <row r="769">
      <c r="A769" t="inlineStr">
        <is>
          <t>No</t>
        </is>
      </c>
      <c r="B769" t="inlineStr"/>
      <c r="C769" t="inlineStr"/>
      <c r="D769" t="inlineStr"/>
    </row>
    <row r="770">
      <c r="A770" t="inlineStr">
        <is>
          <t>No</t>
        </is>
      </c>
      <c r="B770" t="inlineStr"/>
      <c r="C770" t="inlineStr">
        <is>
          <t xml:space="preserve">Wanted child to have the privilege of independence. </t>
        </is>
      </c>
      <c r="D770" t="inlineStr"/>
    </row>
    <row r="771">
      <c r="A771" t="inlineStr">
        <is>
          <t>No</t>
        </is>
      </c>
      <c r="B771" t="inlineStr"/>
      <c r="C771" t="inlineStr">
        <is>
          <t>too much money for the parent builder</t>
        </is>
      </c>
      <c r="D771" t="inlineStr"/>
    </row>
    <row r="772">
      <c r="A772" t="inlineStr"/>
      <c r="B772" t="inlineStr"/>
      <c r="C772" t="inlineStr"/>
      <c r="D772" t="inlineStr"/>
    </row>
    <row r="773">
      <c r="A773" t="inlineStr">
        <is>
          <t>No</t>
        </is>
      </c>
      <c r="B773" t="inlineStr"/>
      <c r="C773" t="inlineStr">
        <is>
          <t>Finances</t>
        </is>
      </c>
      <c r="D773" t="inlineStr"/>
    </row>
    <row r="774">
      <c r="A774" t="inlineStr">
        <is>
          <t>No</t>
        </is>
      </c>
      <c r="B774" t="inlineStr"/>
      <c r="C774" t="inlineStr">
        <is>
          <t>scheduling conlicts</t>
        </is>
      </c>
      <c r="D774" t="inlineStr"/>
    </row>
    <row r="775">
      <c r="A775" t="inlineStr">
        <is>
          <t>No</t>
        </is>
      </c>
      <c r="B775" t="inlineStr"/>
      <c r="C775" t="inlineStr">
        <is>
          <t>work conflicts</t>
        </is>
      </c>
      <c r="D775" t="inlineStr"/>
    </row>
    <row r="776">
      <c r="A776" t="inlineStr">
        <is>
          <t>No</t>
        </is>
      </c>
      <c r="B776" t="inlineStr"/>
      <c r="C776" t="inlineStr">
        <is>
          <t>My work won't allow for it.</t>
        </is>
      </c>
      <c r="D776" t="inlineStr"/>
    </row>
    <row r="777">
      <c r="A777" t="inlineStr">
        <is>
          <t>No</t>
        </is>
      </c>
      <c r="B777" t="inlineStr"/>
      <c r="C777" t="inlineStr">
        <is>
          <t>Price and time off</t>
        </is>
      </c>
      <c r="D777" t="inlineStr"/>
    </row>
    <row r="778">
      <c r="A778" t="inlineStr">
        <is>
          <t>No</t>
        </is>
      </c>
      <c r="B778" t="inlineStr"/>
      <c r="C778" t="inlineStr">
        <is>
          <t xml:space="preserve">Price </t>
        </is>
      </c>
      <c r="D778" t="inlineStr"/>
    </row>
    <row r="779">
      <c r="A779" t="inlineStr">
        <is>
          <t>No</t>
        </is>
      </c>
      <c r="B779" t="inlineStr"/>
      <c r="C779" t="inlineStr">
        <is>
          <t>Sister went and looking for a testimony builder for my son</t>
        </is>
      </c>
      <c r="D779" t="inlineStr"/>
    </row>
    <row r="780">
      <c r="A780" t="inlineStr"/>
      <c r="B780" t="inlineStr"/>
      <c r="C780" t="inlineStr"/>
      <c r="D780" t="inlineStr"/>
    </row>
    <row r="781">
      <c r="A781" t="inlineStr"/>
      <c r="B781" t="inlineStr"/>
      <c r="C781" t="inlineStr"/>
      <c r="D781" t="inlineStr"/>
    </row>
    <row r="782">
      <c r="A782" t="inlineStr">
        <is>
          <t>No</t>
        </is>
      </c>
      <c r="B782" t="inlineStr"/>
      <c r="C782" t="inlineStr">
        <is>
          <t xml:space="preserve">Money, time and my son needed experiences indépendant of me. </t>
        </is>
      </c>
      <c r="D782" t="inlineStr"/>
    </row>
    <row r="783">
      <c r="A783" t="inlineStr">
        <is>
          <t>No</t>
        </is>
      </c>
      <c r="B783" t="inlineStr"/>
      <c r="C783" t="inlineStr">
        <is>
          <t>Money, 3 of my kids are doing hxp trips and I can’t afford to go too, although I would love to!!</t>
        </is>
      </c>
      <c r="D783" t="inlineStr"/>
    </row>
    <row r="784">
      <c r="A784" t="inlineStr">
        <is>
          <t>Yes</t>
        </is>
      </c>
      <c r="B784" t="inlineStr">
        <is>
          <t xml:space="preserve">They were in need of a female parent builder and it sounded like a great experience </t>
        </is>
      </c>
      <c r="C784" t="inlineStr"/>
      <c r="D784" t="inlineStr"/>
    </row>
    <row r="785">
      <c r="A785" t="inlineStr">
        <is>
          <t>No</t>
        </is>
      </c>
      <c r="B785" t="inlineStr"/>
      <c r="C785" t="inlineStr">
        <is>
          <t>money and time</t>
        </is>
      </c>
      <c r="D785" t="inlineStr"/>
    </row>
    <row r="786">
      <c r="A786" t="inlineStr">
        <is>
          <t>No</t>
        </is>
      </c>
      <c r="B786" t="inlineStr"/>
      <c r="C786" t="inlineStr">
        <is>
          <t>My husband is going :)</t>
        </is>
      </c>
      <c r="D786" t="inlineStr"/>
    </row>
    <row r="787">
      <c r="A787" t="inlineStr">
        <is>
          <t>Yes</t>
        </is>
      </c>
      <c r="B787" t="inlineStr">
        <is>
          <t>I had a great experience last year in Ghana</t>
        </is>
      </c>
      <c r="C787" t="inlineStr"/>
      <c r="D787" t="inlineStr"/>
    </row>
    <row r="788">
      <c r="A788" t="inlineStr"/>
      <c r="B788" t="inlineStr"/>
      <c r="C788" t="inlineStr"/>
      <c r="D788" t="inlineStr"/>
    </row>
    <row r="789">
      <c r="A789" t="inlineStr">
        <is>
          <t>No</t>
        </is>
      </c>
      <c r="B789" t="inlineStr"/>
      <c r="C789" t="inlineStr">
        <is>
          <t>I want my child to have this experience separate from us. I actually really want to go!!!</t>
        </is>
      </c>
      <c r="D789" t="inlineStr"/>
    </row>
    <row r="790">
      <c r="A790" t="inlineStr">
        <is>
          <t>No</t>
        </is>
      </c>
      <c r="B790" t="inlineStr"/>
      <c r="C790" t="inlineStr">
        <is>
          <t xml:space="preserve">Work </t>
        </is>
      </c>
      <c r="D790" t="inlineStr"/>
    </row>
    <row r="791">
      <c r="A791" t="inlineStr"/>
      <c r="B791" t="inlineStr"/>
      <c r="C791" t="inlineStr"/>
      <c r="D791" t="inlineStr"/>
    </row>
    <row r="792">
      <c r="A792" t="inlineStr">
        <is>
          <t>No</t>
        </is>
      </c>
      <c r="B792" t="inlineStr"/>
      <c r="C792" t="inlineStr">
        <is>
          <t>Too busy with other kids and life</t>
        </is>
      </c>
      <c r="D792" t="inlineStr"/>
    </row>
    <row r="793">
      <c r="A793" t="inlineStr">
        <is>
          <t>No</t>
        </is>
      </c>
      <c r="B793" t="inlineStr"/>
      <c r="C793" t="inlineStr">
        <is>
          <t>Want my builder to have that time for just her</t>
        </is>
      </c>
      <c r="D793" t="inlineStr"/>
    </row>
    <row r="794">
      <c r="A794" t="inlineStr">
        <is>
          <t>No</t>
        </is>
      </c>
      <c r="B794" t="inlineStr"/>
      <c r="C794" t="inlineStr">
        <is>
          <t xml:space="preserve">Our son wanted to go on his own. </t>
        </is>
      </c>
      <c r="D794" t="inlineStr"/>
    </row>
    <row r="795">
      <c r="A795" t="inlineStr">
        <is>
          <t>No</t>
        </is>
      </c>
      <c r="B795" t="inlineStr"/>
      <c r="C795" t="inlineStr">
        <is>
          <t xml:space="preserve">Cost prohibitive and the length of time away from other younger kids </t>
        </is>
      </c>
      <c r="D795" t="inlineStr"/>
    </row>
    <row r="796">
      <c r="A796" t="inlineStr">
        <is>
          <t>No</t>
        </is>
      </c>
      <c r="B796" t="inlineStr"/>
      <c r="C796" t="inlineStr">
        <is>
          <t xml:space="preserve">My spouse is going with our daughter </t>
        </is>
      </c>
      <c r="D796" t="inlineStr"/>
    </row>
    <row r="797">
      <c r="A797" t="inlineStr">
        <is>
          <t>Yes</t>
        </is>
      </c>
      <c r="B797" t="inlineStr">
        <is>
          <t>My daughter asked me to accompany her on her first international trip.</t>
        </is>
      </c>
      <c r="C797" t="inlineStr"/>
      <c r="D797" t="inlineStr"/>
    </row>
    <row r="798">
      <c r="A798" t="inlineStr">
        <is>
          <t>No</t>
        </is>
      </c>
      <c r="B798" t="inlineStr"/>
      <c r="C798" t="inlineStr">
        <is>
          <t>Too many young children at home</t>
        </is>
      </c>
      <c r="D798" t="inlineStr"/>
    </row>
    <row r="799">
      <c r="A799" t="inlineStr">
        <is>
          <t>No</t>
        </is>
      </c>
      <c r="B799" t="inlineStr"/>
      <c r="C799" t="inlineStr">
        <is>
          <t>I felt like it would be good for my daughter to go on her own.</t>
        </is>
      </c>
      <c r="D799" t="inlineStr"/>
    </row>
    <row r="800">
      <c r="A800" t="inlineStr">
        <is>
          <t>No</t>
        </is>
      </c>
      <c r="B800" t="inlineStr"/>
      <c r="C800" t="inlineStr"/>
      <c r="D800" t="inlineStr"/>
    </row>
    <row r="801">
      <c r="A801" t="inlineStr">
        <is>
          <t>No</t>
        </is>
      </c>
      <c r="B801" t="inlineStr"/>
      <c r="C801" t="inlineStr">
        <is>
          <t xml:space="preserve">I have 6 younger kids at home. </t>
        </is>
      </c>
      <c r="D801" t="inlineStr"/>
    </row>
    <row r="802">
      <c r="A802" t="inlineStr">
        <is>
          <t>No</t>
        </is>
      </c>
      <c r="B802" t="inlineStr"/>
      <c r="C802" t="inlineStr">
        <is>
          <t>My child needing to be on their own- and cost</t>
        </is>
      </c>
      <c r="D802" t="inlineStr"/>
    </row>
    <row r="803">
      <c r="A803" t="inlineStr">
        <is>
          <t>Yes</t>
        </is>
      </c>
      <c r="B803" t="inlineStr">
        <is>
          <t xml:space="preserve">To be with my son, opportunity to serve </t>
        </is>
      </c>
      <c r="C803" t="inlineStr"/>
      <c r="D803" t="inlineStr"/>
    </row>
    <row r="804">
      <c r="A804" t="inlineStr">
        <is>
          <t>No</t>
        </is>
      </c>
      <c r="B804" t="inlineStr"/>
      <c r="C804" t="inlineStr">
        <is>
          <t>Money</t>
        </is>
      </c>
      <c r="D804" t="inlineStr"/>
    </row>
    <row r="805">
      <c r="A805" t="inlineStr"/>
      <c r="B805" t="inlineStr"/>
      <c r="C805" t="inlineStr"/>
      <c r="D805" t="inlineStr"/>
    </row>
    <row r="806">
      <c r="A806" t="inlineStr"/>
      <c r="B806" t="inlineStr"/>
      <c r="C806" t="inlineStr"/>
      <c r="D806" t="inlineStr"/>
    </row>
    <row r="807">
      <c r="A807" t="inlineStr">
        <is>
          <t>No</t>
        </is>
      </c>
      <c r="B807" t="inlineStr"/>
      <c r="C807" t="inlineStr"/>
      <c r="D807" t="inlineStr"/>
    </row>
    <row r="808">
      <c r="A808" t="inlineStr">
        <is>
          <t>No</t>
        </is>
      </c>
      <c r="B808" t="inlineStr"/>
      <c r="C808" t="inlineStr">
        <is>
          <t>My husband is going.</t>
        </is>
      </c>
      <c r="D808" t="inlineStr"/>
    </row>
    <row r="809">
      <c r="A809" t="inlineStr">
        <is>
          <t>No</t>
        </is>
      </c>
      <c r="B809" t="inlineStr"/>
      <c r="C809" t="inlineStr">
        <is>
          <t xml:space="preserve">Too busy </t>
        </is>
      </c>
      <c r="D809" t="inlineStr"/>
    </row>
    <row r="810">
      <c r="A810" t="inlineStr">
        <is>
          <t>Maybe</t>
        </is>
      </c>
      <c r="B810" t="inlineStr"/>
      <c r="C810" t="inlineStr"/>
      <c r="D810" t="inlineStr">
        <is>
          <t xml:space="preserve">Cost timing </t>
        </is>
      </c>
    </row>
    <row r="811">
      <c r="A811" t="inlineStr">
        <is>
          <t>No</t>
        </is>
      </c>
      <c r="B811" t="inlineStr"/>
      <c r="C811" t="inlineStr">
        <is>
          <t>I want my kid to have his own personal experience without me there. This is his adventure.</t>
        </is>
      </c>
      <c r="D811" t="inlineStr"/>
    </row>
    <row r="812">
      <c r="A812" t="inlineStr">
        <is>
          <t>No</t>
        </is>
      </c>
      <c r="B812" t="inlineStr"/>
      <c r="C812" t="inlineStr"/>
      <c r="D812" t="inlineStr"/>
    </row>
    <row r="813">
      <c r="A813" t="inlineStr">
        <is>
          <t>No</t>
        </is>
      </c>
      <c r="B813" t="inlineStr"/>
      <c r="C813" t="inlineStr">
        <is>
          <t>Work</t>
        </is>
      </c>
      <c r="D813" t="inlineStr"/>
    </row>
    <row r="814">
      <c r="A814" t="inlineStr">
        <is>
          <t>No</t>
        </is>
      </c>
      <c r="B814" t="inlineStr"/>
      <c r="C814" t="inlineStr">
        <is>
          <t xml:space="preserve">My daughter said I couldn’t </t>
        </is>
      </c>
      <c r="D814" t="inlineStr"/>
    </row>
    <row r="815">
      <c r="A815" t="inlineStr">
        <is>
          <t>No</t>
        </is>
      </c>
      <c r="B815" t="inlineStr"/>
      <c r="C815" t="inlineStr">
        <is>
          <t>I have young ones at home.</t>
        </is>
      </c>
      <c r="D815" t="inlineStr"/>
    </row>
    <row r="816">
      <c r="A816" t="inlineStr"/>
      <c r="B816" t="inlineStr"/>
      <c r="C816" t="inlineStr"/>
      <c r="D816" t="inlineStr"/>
    </row>
    <row r="817">
      <c r="A817" t="inlineStr">
        <is>
          <t>No</t>
        </is>
      </c>
      <c r="B817" t="inlineStr"/>
      <c r="C817" t="inlineStr">
        <is>
          <t xml:space="preserve">My son didn’t want me to go, lol. I really wanted to go. </t>
        </is>
      </c>
      <c r="D817" t="inlineStr"/>
    </row>
    <row r="818">
      <c r="A818" t="inlineStr">
        <is>
          <t>No</t>
        </is>
      </c>
      <c r="B818" t="inlineStr"/>
      <c r="C818" t="inlineStr">
        <is>
          <t xml:space="preserve">To busy </t>
        </is>
      </c>
      <c r="D818" t="inlineStr"/>
    </row>
    <row r="819">
      <c r="A819" t="inlineStr">
        <is>
          <t>No</t>
        </is>
      </c>
      <c r="B819" t="inlineStr"/>
      <c r="C819" t="inlineStr">
        <is>
          <t>My child needed this time away from home to grow</t>
        </is>
      </c>
      <c r="D819" t="inlineStr"/>
    </row>
    <row r="820">
      <c r="A820" t="inlineStr"/>
      <c r="B820" t="inlineStr"/>
      <c r="C820" t="inlineStr"/>
      <c r="D820" t="inlineStr"/>
    </row>
    <row r="821">
      <c r="A821" t="inlineStr"/>
      <c r="B821" t="inlineStr"/>
      <c r="C821" t="inlineStr"/>
      <c r="D821" t="inlineStr"/>
    </row>
    <row r="822">
      <c r="A822" t="inlineStr">
        <is>
          <t>No</t>
        </is>
      </c>
      <c r="B822" t="inlineStr"/>
      <c r="C822" t="inlineStr">
        <is>
          <t>Younger Children at Home</t>
        </is>
      </c>
      <c r="D822" t="inlineStr"/>
    </row>
    <row r="823">
      <c r="A823" t="inlineStr">
        <is>
          <t>No</t>
        </is>
      </c>
      <c r="B823" t="inlineStr"/>
      <c r="C823" t="inlineStr">
        <is>
          <t>independence for my daughter being away from us</t>
        </is>
      </c>
      <c r="D823" t="inlineStr"/>
    </row>
    <row r="824">
      <c r="A824" t="inlineStr">
        <is>
          <t>No</t>
        </is>
      </c>
      <c r="B824" t="inlineStr"/>
      <c r="C824" t="inlineStr">
        <is>
          <t xml:space="preserve">I have other kids at home and I felt that this would be a good experience for my daughter without her parents. </t>
        </is>
      </c>
      <c r="D824" t="inlineStr"/>
    </row>
    <row r="825">
      <c r="A825" t="inlineStr">
        <is>
          <t>No</t>
        </is>
      </c>
      <c r="B825" t="inlineStr"/>
      <c r="C825" t="inlineStr"/>
      <c r="D825" t="inlineStr"/>
    </row>
    <row r="826">
      <c r="A826" t="inlineStr">
        <is>
          <t>No</t>
        </is>
      </c>
      <c r="B826" t="inlineStr"/>
      <c r="C826" t="inlineStr">
        <is>
          <t xml:space="preserve">The desire to serve </t>
        </is>
      </c>
      <c r="D826" t="inlineStr"/>
    </row>
    <row r="827">
      <c r="A827" t="inlineStr">
        <is>
          <t>No</t>
        </is>
      </c>
      <c r="B827" t="inlineStr"/>
      <c r="C827" t="inlineStr">
        <is>
          <t>Time / work</t>
        </is>
      </c>
      <c r="D827" t="inlineStr"/>
    </row>
    <row r="828">
      <c r="A828" t="inlineStr">
        <is>
          <t>No</t>
        </is>
      </c>
      <c r="B828" t="inlineStr"/>
      <c r="C828" t="inlineStr">
        <is>
          <t>We have a lot of kids and responsibilities at home.  Hard to step away even though we’d have loved to have gone.</t>
        </is>
      </c>
      <c r="D828" t="inlineStr"/>
    </row>
    <row r="829">
      <c r="A829" t="inlineStr">
        <is>
          <t>No</t>
        </is>
      </c>
      <c r="B829" t="inlineStr"/>
      <c r="C829" t="inlineStr">
        <is>
          <t xml:space="preserve">I might go when my you gear son goes. </t>
        </is>
      </c>
      <c r="D829" t="inlineStr"/>
    </row>
    <row r="830">
      <c r="A830" t="inlineStr">
        <is>
          <t>No</t>
        </is>
      </c>
      <c r="B830" t="inlineStr"/>
      <c r="C830" t="inlineStr">
        <is>
          <t xml:space="preserve">My son asked me not to </t>
        </is>
      </c>
      <c r="D830" t="inlineStr"/>
    </row>
    <row r="831">
      <c r="A831" t="inlineStr">
        <is>
          <t>No</t>
        </is>
      </c>
      <c r="B831" t="inlineStr"/>
      <c r="C831" t="inlineStr">
        <is>
          <t xml:space="preserve">I do't have the time to take off of work and leave my younger children </t>
        </is>
      </c>
      <c r="D831" t="inlineStr"/>
    </row>
    <row r="832">
      <c r="A832" t="inlineStr">
        <is>
          <t>No</t>
        </is>
      </c>
      <c r="B832" t="inlineStr"/>
      <c r="C832" t="inlineStr">
        <is>
          <t>I want my son to have influences outside of his parents</t>
        </is>
      </c>
      <c r="D832" t="inlineStr"/>
    </row>
    <row r="833">
      <c r="A833" t="inlineStr"/>
      <c r="B833" t="inlineStr"/>
      <c r="C833" t="inlineStr"/>
      <c r="D833" t="inlineStr"/>
    </row>
    <row r="834">
      <c r="A834" t="inlineStr">
        <is>
          <t>No</t>
        </is>
      </c>
      <c r="B834" t="inlineStr"/>
      <c r="C834" t="inlineStr">
        <is>
          <t>Money</t>
        </is>
      </c>
      <c r="D834" t="inlineStr"/>
    </row>
    <row r="835">
      <c r="A835" t="inlineStr">
        <is>
          <t>No</t>
        </is>
      </c>
      <c r="B835" t="inlineStr"/>
      <c r="C835" t="inlineStr">
        <is>
          <t>Cost and time</t>
        </is>
      </c>
      <c r="D835" t="inlineStr"/>
    </row>
    <row r="836">
      <c r="A836" t="inlineStr">
        <is>
          <t>Yes</t>
        </is>
      </c>
      <c r="B836" t="inlineStr">
        <is>
          <t>The opportunity to travel and serve</t>
        </is>
      </c>
      <c r="C836" t="inlineStr"/>
      <c r="D836" t="inlineStr"/>
    </row>
    <row r="837">
      <c r="A837" t="inlineStr">
        <is>
          <t>No</t>
        </is>
      </c>
      <c r="B837" t="inlineStr"/>
      <c r="C837" t="inlineStr">
        <is>
          <t xml:space="preserve">Time, other children </t>
        </is>
      </c>
      <c r="D837" t="inlineStr"/>
    </row>
    <row r="838">
      <c r="A838" t="inlineStr">
        <is>
          <t>No</t>
        </is>
      </c>
      <c r="B838" t="inlineStr"/>
      <c r="C838" t="inlineStr">
        <is>
          <t>I don't have time, I have other kids at home</t>
        </is>
      </c>
      <c r="D838" t="inlineStr"/>
    </row>
    <row r="839">
      <c r="A839" t="inlineStr">
        <is>
          <t>Yes</t>
        </is>
      </c>
      <c r="B839" t="inlineStr">
        <is>
          <t>Spend time with my son</t>
        </is>
      </c>
      <c r="C839" t="inlineStr"/>
      <c r="D839" t="inlineStr"/>
    </row>
    <row r="840">
      <c r="A840" t="inlineStr">
        <is>
          <t>No</t>
        </is>
      </c>
      <c r="B840" t="inlineStr"/>
      <c r="C840" t="inlineStr">
        <is>
          <t xml:space="preserve">I wanted this to be my daughters experience, not mine. </t>
        </is>
      </c>
      <c r="D840" t="inlineStr"/>
    </row>
    <row r="841">
      <c r="A841" t="inlineStr">
        <is>
          <t>No</t>
        </is>
      </c>
      <c r="B841" t="inlineStr"/>
      <c r="C841" t="inlineStr"/>
      <c r="D841" t="inlineStr"/>
    </row>
    <row r="842">
      <c r="A842" t="inlineStr">
        <is>
          <t>Yes</t>
        </is>
      </c>
      <c r="B842" t="inlineStr">
        <is>
          <t>wanting to share an experience with my daughter</t>
        </is>
      </c>
      <c r="C842" t="inlineStr"/>
      <c r="D842" t="inlineStr"/>
    </row>
    <row r="843">
      <c r="A843" t="inlineStr">
        <is>
          <t>No</t>
        </is>
      </c>
      <c r="B843" t="inlineStr"/>
      <c r="C843" t="inlineStr">
        <is>
          <t xml:space="preserve">originally a friend recommendation, this trip though was because other siblings have gone and loved it. </t>
        </is>
      </c>
      <c r="D843" t="inlineStr"/>
    </row>
    <row r="844">
      <c r="A844" t="inlineStr">
        <is>
          <t>No</t>
        </is>
      </c>
      <c r="B844" t="inlineStr"/>
      <c r="C844" t="inlineStr">
        <is>
          <t xml:space="preserve">I have other kids who need me. Daughter didn’t want me to. </t>
        </is>
      </c>
      <c r="D844" t="inlineStr"/>
    </row>
    <row r="845">
      <c r="A845" t="inlineStr">
        <is>
          <t>No</t>
        </is>
      </c>
      <c r="B845" t="inlineStr"/>
      <c r="C845" t="inlineStr">
        <is>
          <t>responsibilities at home</t>
        </is>
      </c>
      <c r="D845" t="inlineStr"/>
    </row>
    <row r="846">
      <c r="A846" t="inlineStr"/>
      <c r="B846" t="inlineStr"/>
      <c r="C846" t="inlineStr"/>
      <c r="D846" t="inlineStr"/>
    </row>
    <row r="847">
      <c r="A847" t="inlineStr">
        <is>
          <t>No</t>
        </is>
      </c>
      <c r="B847" t="inlineStr"/>
      <c r="C847" t="inlineStr">
        <is>
          <t>Kids at home</t>
        </is>
      </c>
      <c r="D847" t="inlineStr"/>
    </row>
    <row r="848">
      <c r="A848" t="inlineStr">
        <is>
          <t>No</t>
        </is>
      </c>
      <c r="B848" t="inlineStr"/>
      <c r="C848" t="inlineStr">
        <is>
          <t>Work</t>
        </is>
      </c>
      <c r="D848" t="inlineStr"/>
    </row>
    <row r="849">
      <c r="A849" t="inlineStr">
        <is>
          <t>No</t>
        </is>
      </c>
      <c r="B849" t="inlineStr"/>
      <c r="C849" t="inlineStr">
        <is>
          <t>Other responsibilities at home</t>
        </is>
      </c>
      <c r="D849" t="inlineStr"/>
    </row>
    <row r="850">
      <c r="A850" t="inlineStr">
        <is>
          <t>No</t>
        </is>
      </c>
      <c r="B850" t="inlineStr"/>
      <c r="C850" t="inlineStr">
        <is>
          <t>Didn't get my head in the game soon enough. :)</t>
        </is>
      </c>
      <c r="D850" t="inlineStr"/>
    </row>
    <row r="851">
      <c r="A851" t="inlineStr">
        <is>
          <t>No</t>
        </is>
      </c>
      <c r="B851" t="inlineStr"/>
      <c r="C851" t="inlineStr">
        <is>
          <t>Time away from work</t>
        </is>
      </c>
      <c r="D851" t="inlineStr"/>
    </row>
    <row r="852">
      <c r="A852" t="inlineStr">
        <is>
          <t>No</t>
        </is>
      </c>
      <c r="B852" t="inlineStr"/>
      <c r="C852" t="inlineStr">
        <is>
          <t>Chronic illness (nothing to do with HXP)</t>
        </is>
      </c>
      <c r="D852" t="inlineStr"/>
    </row>
    <row r="853">
      <c r="A853" t="inlineStr">
        <is>
          <t>No</t>
        </is>
      </c>
      <c r="B853" t="inlineStr"/>
      <c r="C853" t="inlineStr">
        <is>
          <t>Health issues</t>
        </is>
      </c>
      <c r="D853" t="inlineStr"/>
    </row>
    <row r="854">
      <c r="A854" t="inlineStr">
        <is>
          <t>No</t>
        </is>
      </c>
      <c r="B854" t="inlineStr"/>
      <c r="C854" t="inlineStr">
        <is>
          <t>Time</t>
        </is>
      </c>
      <c r="D854" t="inlineStr"/>
    </row>
    <row r="855">
      <c r="A855" t="inlineStr">
        <is>
          <t>No</t>
        </is>
      </c>
      <c r="B855" t="inlineStr"/>
      <c r="C855" t="inlineStr">
        <is>
          <t>Cost and other vacations already planned.</t>
        </is>
      </c>
      <c r="D855" t="inlineStr"/>
    </row>
    <row r="856">
      <c r="A856" t="inlineStr">
        <is>
          <t>No</t>
        </is>
      </c>
      <c r="B856" t="inlineStr"/>
      <c r="C856" t="inlineStr"/>
      <c r="D856" t="inlineStr"/>
    </row>
    <row r="857">
      <c r="A857" t="inlineStr">
        <is>
          <t>Yes</t>
        </is>
      </c>
      <c r="B857" t="inlineStr">
        <is>
          <t>My wife</t>
        </is>
      </c>
      <c r="C857" t="inlineStr"/>
      <c r="D857" t="inlineStr"/>
    </row>
    <row r="858">
      <c r="A858" t="inlineStr">
        <is>
          <t>No</t>
        </is>
      </c>
      <c r="B858" t="inlineStr"/>
      <c r="C858" t="inlineStr">
        <is>
          <t xml:space="preserve">Daughter wanted to be independent </t>
        </is>
      </c>
      <c r="D858" t="inlineStr"/>
    </row>
    <row r="859">
      <c r="A859" t="inlineStr">
        <is>
          <t>No</t>
        </is>
      </c>
      <c r="B859" t="inlineStr"/>
      <c r="C859" t="inlineStr">
        <is>
          <t>Various factors including cost, time away, other children at home and work obligations.  As well as wanting my child to have her own experience.</t>
        </is>
      </c>
      <c r="D859" t="inlineStr"/>
    </row>
    <row r="860">
      <c r="A860" t="inlineStr">
        <is>
          <t>No</t>
        </is>
      </c>
      <c r="B860" t="inlineStr"/>
      <c r="C860" t="inlineStr">
        <is>
          <t>Our son wanted to go by himself</t>
        </is>
      </c>
      <c r="D860" t="inlineStr"/>
    </row>
    <row r="861">
      <c r="A861" t="inlineStr">
        <is>
          <t>No</t>
        </is>
      </c>
      <c r="B861" t="inlineStr"/>
      <c r="C861" t="inlineStr">
        <is>
          <t xml:space="preserve">Daughter didn’t want me to go with her </t>
        </is>
      </c>
      <c r="D861" t="inlineStr"/>
    </row>
    <row r="862">
      <c r="A862" t="inlineStr">
        <is>
          <t>No</t>
        </is>
      </c>
      <c r="B862" t="inlineStr"/>
      <c r="C862" t="inlineStr">
        <is>
          <t>Want her to go with out me</t>
        </is>
      </c>
      <c r="D862" t="inlineStr"/>
    </row>
    <row r="863">
      <c r="A863" t="inlineStr">
        <is>
          <t>No</t>
        </is>
      </c>
      <c r="B863" t="inlineStr"/>
      <c r="C863" t="inlineStr">
        <is>
          <t xml:space="preserve">Two factors, cost and the need to go without a parent. 1- The cost-- I can barely afford to send one child and the bill for one of the parent's to attend would have not been in our budget. 2- This trip is to help prepare my child for serving a mission and having experiences away from family. The ability to send him on his own for an extended period of tine was important in our decision when choosing which experience for him.  </t>
        </is>
      </c>
      <c r="D863" t="inlineStr"/>
    </row>
    <row r="864">
      <c r="A864" t="inlineStr">
        <is>
          <t>No</t>
        </is>
      </c>
      <c r="B864" t="inlineStr"/>
      <c r="C864" t="inlineStr">
        <is>
          <t>Son didn’t want me to go</t>
        </is>
      </c>
      <c r="D864" t="inlineStr"/>
    </row>
    <row r="865">
      <c r="A865" t="inlineStr">
        <is>
          <t>No</t>
        </is>
      </c>
      <c r="B865" t="inlineStr"/>
      <c r="C865" t="inlineStr">
        <is>
          <t>Time</t>
        </is>
      </c>
      <c r="D865" t="inlineStr"/>
    </row>
    <row r="866">
      <c r="A866" t="inlineStr"/>
      <c r="B866" t="inlineStr"/>
      <c r="C866" t="inlineStr"/>
      <c r="D866" t="inlineStr"/>
    </row>
    <row r="867">
      <c r="A867" t="inlineStr">
        <is>
          <t>No</t>
        </is>
      </c>
      <c r="B867" t="inlineStr"/>
      <c r="C867" t="inlineStr">
        <is>
          <t>Give my son more opportunity for individual growth</t>
        </is>
      </c>
      <c r="D867" t="inlineStr"/>
    </row>
    <row r="868">
      <c r="A868" t="inlineStr">
        <is>
          <t>Yes</t>
        </is>
      </c>
      <c r="B868" t="inlineStr">
        <is>
          <t>Time with my daughter; opportunity to serve</t>
        </is>
      </c>
      <c r="C868" t="inlineStr"/>
      <c r="D868" t="inlineStr"/>
    </row>
    <row r="869">
      <c r="A869" t="inlineStr">
        <is>
          <t>No</t>
        </is>
      </c>
      <c r="B869" t="inlineStr"/>
      <c r="C869" t="inlineStr">
        <is>
          <t>I think its better for my daughter not to have me there as someone to lean ion. She will need to trust herself and those shes with</t>
        </is>
      </c>
      <c r="D869" t="inlineStr"/>
    </row>
    <row r="870">
      <c r="A870" t="inlineStr"/>
      <c r="B870" t="inlineStr"/>
      <c r="C870" t="inlineStr"/>
      <c r="D870" t="inlineStr"/>
    </row>
    <row r="871">
      <c r="A871" t="inlineStr">
        <is>
          <t>No</t>
        </is>
      </c>
      <c r="B871" t="inlineStr"/>
      <c r="C871" t="inlineStr">
        <is>
          <t>work</t>
        </is>
      </c>
      <c r="D871" t="inlineStr"/>
    </row>
    <row r="872">
      <c r="A872" t="inlineStr">
        <is>
          <t>No</t>
        </is>
      </c>
      <c r="B872" t="inlineStr"/>
      <c r="C872" t="inlineStr">
        <is>
          <t xml:space="preserve">My husband is going, that's why. </t>
        </is>
      </c>
      <c r="D872" t="inlineStr"/>
    </row>
    <row r="873">
      <c r="A873" t="inlineStr">
        <is>
          <t>No</t>
        </is>
      </c>
      <c r="B873" t="inlineStr"/>
      <c r="C873" t="inlineStr">
        <is>
          <t>I would like to go as a parent builder in the future</t>
        </is>
      </c>
      <c r="D873" t="inlineStr"/>
    </row>
    <row r="874">
      <c r="A874" t="inlineStr">
        <is>
          <t>No</t>
        </is>
      </c>
      <c r="B874" t="inlineStr"/>
      <c r="C874" t="inlineStr"/>
      <c r="D874" t="inlineStr"/>
    </row>
    <row r="875">
      <c r="A875" t="inlineStr">
        <is>
          <t>No</t>
        </is>
      </c>
      <c r="B875" t="inlineStr"/>
      <c r="C875" t="inlineStr">
        <is>
          <t>Heard positive report from someone else that went.</t>
        </is>
      </c>
      <c r="D875" t="inlineStr"/>
    </row>
    <row r="876">
      <c r="A876" t="inlineStr">
        <is>
          <t>No</t>
        </is>
      </c>
      <c r="B876" t="inlineStr"/>
      <c r="C876" t="inlineStr">
        <is>
          <t xml:space="preserve">How long the trip is, It's a long time to be away from the rest of my family </t>
        </is>
      </c>
      <c r="D876" t="inlineStr"/>
    </row>
    <row r="877">
      <c r="A877" t="inlineStr">
        <is>
          <t>No</t>
        </is>
      </c>
      <c r="B877" t="inlineStr"/>
      <c r="C877" t="inlineStr">
        <is>
          <t>Want child to have experience away from parent</t>
        </is>
      </c>
      <c r="D877" t="inlineStr"/>
    </row>
    <row r="878">
      <c r="A878" t="inlineStr">
        <is>
          <t>No</t>
        </is>
      </c>
      <c r="B878" t="inlineStr"/>
      <c r="C878" t="inlineStr">
        <is>
          <t>previous children have gone</t>
        </is>
      </c>
      <c r="D878" t="inlineStr"/>
    </row>
    <row r="879">
      <c r="A879" t="inlineStr">
        <is>
          <t>No</t>
        </is>
      </c>
      <c r="B879" t="inlineStr"/>
      <c r="C879" t="inlineStr">
        <is>
          <t>not interested</t>
        </is>
      </c>
      <c r="D879" t="inlineStr"/>
    </row>
    <row r="880">
      <c r="A880" t="inlineStr">
        <is>
          <t>No</t>
        </is>
      </c>
      <c r="B880" t="inlineStr"/>
      <c r="C880" t="inlineStr"/>
      <c r="D880" t="inlineStr"/>
    </row>
    <row r="881">
      <c r="A881" t="inlineStr">
        <is>
          <t>No</t>
        </is>
      </c>
      <c r="B881" t="inlineStr"/>
      <c r="C881" t="inlineStr"/>
      <c r="D881" t="inlineStr"/>
    </row>
    <row r="882">
      <c r="A882" t="inlineStr">
        <is>
          <t>No</t>
        </is>
      </c>
      <c r="B882" t="inlineStr"/>
      <c r="C882" t="inlineStr">
        <is>
          <t>I have 6 kids and a husband that works a busy job.  Just not my season yet.</t>
        </is>
      </c>
      <c r="D882" t="inlineStr"/>
    </row>
    <row r="883">
      <c r="A883" t="inlineStr">
        <is>
          <t>No</t>
        </is>
      </c>
      <c r="B883" t="inlineStr"/>
      <c r="C883" t="inlineStr">
        <is>
          <t>Daughter wants to go alone</t>
        </is>
      </c>
      <c r="D883" t="inlineStr"/>
    </row>
    <row r="884">
      <c r="A884" t="inlineStr"/>
      <c r="B884" t="inlineStr"/>
      <c r="C884" t="inlineStr"/>
      <c r="D884" t="inlineStr"/>
    </row>
    <row r="885">
      <c r="A885" t="inlineStr">
        <is>
          <t>No</t>
        </is>
      </c>
      <c r="B885" t="inlineStr"/>
      <c r="C885" t="inlineStr">
        <is>
          <t>My husband is going this year</t>
        </is>
      </c>
      <c r="D885" t="inlineStr"/>
    </row>
    <row r="886">
      <c r="A886" t="inlineStr">
        <is>
          <t>No</t>
        </is>
      </c>
      <c r="B886" t="inlineStr"/>
      <c r="C886" t="inlineStr">
        <is>
          <t>Already full and I have my most busy time at work in the summer.</t>
        </is>
      </c>
      <c r="D886" t="inlineStr"/>
    </row>
    <row r="887">
      <c r="A887" t="inlineStr">
        <is>
          <t>No</t>
        </is>
      </c>
      <c r="B887" t="inlineStr"/>
      <c r="C887" t="inlineStr">
        <is>
          <t>Couldn’t leave my other kids home that long</t>
        </is>
      </c>
      <c r="D887" t="inlineStr"/>
    </row>
    <row r="888">
      <c r="A888" t="inlineStr">
        <is>
          <t>Maybe</t>
        </is>
      </c>
      <c r="B888" t="inlineStr"/>
      <c r="C888" t="inlineStr"/>
      <c r="D888" t="inlineStr"/>
    </row>
    <row r="889">
      <c r="A889" t="inlineStr">
        <is>
          <t>No</t>
        </is>
      </c>
      <c r="B889" t="inlineStr"/>
      <c r="C889" t="inlineStr">
        <is>
          <t xml:space="preserve">I can’t leave my kids. </t>
        </is>
      </c>
      <c r="D889" t="inlineStr"/>
    </row>
    <row r="890">
      <c r="A890" t="inlineStr">
        <is>
          <t>No</t>
        </is>
      </c>
      <c r="B890" t="inlineStr"/>
      <c r="C890" t="inlineStr">
        <is>
          <t>I never heard it as an option from my child (or as you call her “builder”)</t>
        </is>
      </c>
      <c r="D890" t="inlineStr"/>
    </row>
    <row r="891">
      <c r="A891" t="inlineStr">
        <is>
          <t>No</t>
        </is>
      </c>
      <c r="B891" t="inlineStr"/>
      <c r="C891" t="inlineStr">
        <is>
          <t xml:space="preserve">have other kids to take care of </t>
        </is>
      </c>
      <c r="D891" t="inlineStr"/>
    </row>
    <row r="892">
      <c r="A892" t="inlineStr">
        <is>
          <t>Maybe</t>
        </is>
      </c>
      <c r="B892" t="inlineStr"/>
      <c r="C892" t="inlineStr"/>
      <c r="D892" t="inlineStr">
        <is>
          <t>cost</t>
        </is>
      </c>
    </row>
    <row r="893">
      <c r="A893" t="inlineStr">
        <is>
          <t>Maybe</t>
        </is>
      </c>
      <c r="B893" t="inlineStr"/>
      <c r="C893" t="inlineStr"/>
      <c r="D893" t="inlineStr">
        <is>
          <t>I might go when my youngest is old enough so I don't have to worry about other kids being left unattended at home.</t>
        </is>
      </c>
    </row>
    <row r="894">
      <c r="A894" t="inlineStr">
        <is>
          <t>No</t>
        </is>
      </c>
      <c r="B894" t="inlineStr"/>
      <c r="C894" t="inlineStr">
        <is>
          <t>Cost</t>
        </is>
      </c>
      <c r="D894" t="inlineStr"/>
    </row>
    <row r="895">
      <c r="A895" t="inlineStr">
        <is>
          <t>No</t>
        </is>
      </c>
      <c r="B895" t="inlineStr"/>
      <c r="C895" t="inlineStr">
        <is>
          <t>💵</t>
        </is>
      </c>
      <c r="D895" t="inlineStr"/>
    </row>
    <row r="896">
      <c r="A896" t="inlineStr"/>
      <c r="B896" t="inlineStr"/>
      <c r="C896" t="inlineStr"/>
      <c r="D896" t="inlineStr"/>
    </row>
    <row r="897">
      <c r="A897" t="inlineStr">
        <is>
          <t>No</t>
        </is>
      </c>
      <c r="B897" t="inlineStr"/>
      <c r="C897" t="inlineStr"/>
      <c r="D897" t="inlineStr"/>
    </row>
    <row r="898">
      <c r="A898" t="inlineStr">
        <is>
          <t>No</t>
        </is>
      </c>
      <c r="B898" t="inlineStr"/>
      <c r="C898" t="inlineStr">
        <is>
          <t xml:space="preserve">Daughter wanted own experience </t>
        </is>
      </c>
      <c r="D898" t="inlineStr"/>
    </row>
    <row r="899">
      <c r="A899" t="inlineStr">
        <is>
          <t>Yes</t>
        </is>
      </c>
      <c r="B899" t="inlineStr">
        <is>
          <t>I was asked to go by HXP. I've considered it for all of my kids' trips, but didn't want to negatively impact their experience. I only decided to go because my daughter agreed.</t>
        </is>
      </c>
      <c r="C899" t="inlineStr"/>
      <c r="D899" t="inlineStr"/>
    </row>
    <row r="900">
      <c r="A900" t="inlineStr">
        <is>
          <t>No</t>
        </is>
      </c>
      <c r="B900" t="inlineStr"/>
      <c r="C900" t="inlineStr">
        <is>
          <t>Cost</t>
        </is>
      </c>
      <c r="D900" t="inlineStr"/>
    </row>
    <row r="901">
      <c r="A901" t="inlineStr">
        <is>
          <t>No</t>
        </is>
      </c>
      <c r="B901" t="inlineStr"/>
      <c r="C901" t="inlineStr">
        <is>
          <t xml:space="preserve">I wanted to give my son a chance to have a trip all by himself. </t>
        </is>
      </c>
      <c r="D901" t="inlineStr"/>
    </row>
    <row r="902">
      <c r="A902" t="inlineStr">
        <is>
          <t>No</t>
        </is>
      </c>
      <c r="B902" t="inlineStr"/>
      <c r="C902" t="inlineStr">
        <is>
          <t>My husband is going, I’m excited for both him and my daughter!</t>
        </is>
      </c>
      <c r="D902" t="inlineStr"/>
    </row>
    <row r="903">
      <c r="A903" t="inlineStr">
        <is>
          <t>No</t>
        </is>
      </c>
      <c r="B903" t="inlineStr"/>
      <c r="C903" t="inlineStr">
        <is>
          <t>Work schedule</t>
        </is>
      </c>
      <c r="D903" t="inlineStr"/>
    </row>
    <row r="904">
      <c r="A904" t="inlineStr">
        <is>
          <t>No</t>
        </is>
      </c>
      <c r="B904" t="inlineStr"/>
      <c r="C904" t="inlineStr">
        <is>
          <t>Work</t>
        </is>
      </c>
      <c r="D904" t="inlineStr"/>
    </row>
    <row r="905">
      <c r="A905" t="inlineStr">
        <is>
          <t>No</t>
        </is>
      </c>
      <c r="B905" t="inlineStr"/>
      <c r="C905" t="inlineStr">
        <is>
          <t xml:space="preserve">Flight time </t>
        </is>
      </c>
      <c r="D905" t="inlineStr"/>
    </row>
    <row r="906">
      <c r="A906" t="inlineStr">
        <is>
          <t>No</t>
        </is>
      </c>
      <c r="B906" t="inlineStr"/>
      <c r="C906" t="inlineStr">
        <is>
          <t xml:space="preserve">Time and money </t>
        </is>
      </c>
      <c r="D906" t="inlineStr"/>
    </row>
    <row r="907">
      <c r="A907" t="inlineStr">
        <is>
          <t>No</t>
        </is>
      </c>
      <c r="B907" t="inlineStr"/>
      <c r="C907" t="inlineStr">
        <is>
          <t xml:space="preserve">Cost and time off work </t>
        </is>
      </c>
      <c r="D907" t="inlineStr"/>
    </row>
    <row r="908">
      <c r="A908" t="inlineStr">
        <is>
          <t>Yes</t>
        </is>
      </c>
      <c r="B908" t="inlineStr">
        <is>
          <t xml:space="preserve">Daughter </t>
        </is>
      </c>
      <c r="C908" t="inlineStr"/>
      <c r="D908" t="inlineStr"/>
    </row>
    <row r="909">
      <c r="A909" t="inlineStr">
        <is>
          <t>Yes</t>
        </is>
      </c>
      <c r="B909" t="inlineStr">
        <is>
          <t xml:space="preserve">My daughter </t>
        </is>
      </c>
      <c r="C909" t="inlineStr"/>
      <c r="D909" t="inlineStr"/>
    </row>
    <row r="910">
      <c r="A910" t="inlineStr">
        <is>
          <t>No</t>
        </is>
      </c>
      <c r="B910" t="inlineStr"/>
      <c r="C910" t="inlineStr"/>
      <c r="D910" t="inlineStr"/>
    </row>
    <row r="911">
      <c r="A911" t="inlineStr">
        <is>
          <t>No</t>
        </is>
      </c>
      <c r="B911" t="inlineStr"/>
      <c r="C911" t="inlineStr">
        <is>
          <t>My daughter didn’t want me to :)</t>
        </is>
      </c>
      <c r="D911" t="inlineStr"/>
    </row>
    <row r="912">
      <c r="A912" t="inlineStr">
        <is>
          <t>No</t>
        </is>
      </c>
      <c r="B912" t="inlineStr"/>
      <c r="C912" t="inlineStr"/>
      <c r="D912" t="inlineStr"/>
    </row>
    <row r="913">
      <c r="A913" t="inlineStr">
        <is>
          <t>No</t>
        </is>
      </c>
      <c r="B913" t="inlineStr"/>
      <c r="C913" t="inlineStr">
        <is>
          <t xml:space="preserve">The cost. I would have loved to go. </t>
        </is>
      </c>
      <c r="D913" t="inlineStr"/>
    </row>
    <row r="914">
      <c r="A914" t="inlineStr">
        <is>
          <t>No</t>
        </is>
      </c>
      <c r="B914" t="inlineStr"/>
      <c r="C914" t="inlineStr">
        <is>
          <t xml:space="preserve">My daughter went to West Virginia last summer and had an amazing experience! </t>
        </is>
      </c>
      <c r="D914" t="inlineStr"/>
    </row>
    <row r="915">
      <c r="A915" t="inlineStr">
        <is>
          <t>No</t>
        </is>
      </c>
      <c r="B915" t="inlineStr"/>
      <c r="C915" t="inlineStr">
        <is>
          <t xml:space="preserve">Time and money </t>
        </is>
      </c>
      <c r="D915" t="inlineStr"/>
    </row>
    <row r="916">
      <c r="A916" t="inlineStr">
        <is>
          <t>No</t>
        </is>
      </c>
      <c r="B916" t="inlineStr"/>
      <c r="C916" t="inlineStr">
        <is>
          <t>Too busy and my child wants to go on her own</t>
        </is>
      </c>
      <c r="D916" t="inlineStr"/>
    </row>
    <row r="917">
      <c r="A917" t="inlineStr">
        <is>
          <t>No</t>
        </is>
      </c>
      <c r="B917" t="inlineStr"/>
      <c r="C917" t="inlineStr">
        <is>
          <t xml:space="preserve">Builder did not want me to go </t>
        </is>
      </c>
      <c r="D917" t="inlineStr"/>
    </row>
    <row r="918">
      <c r="A918" t="inlineStr"/>
      <c r="B918" t="inlineStr"/>
      <c r="C918" t="inlineStr"/>
      <c r="D918" t="inlineStr"/>
    </row>
    <row r="919">
      <c r="A919" t="inlineStr"/>
      <c r="B919" t="inlineStr"/>
      <c r="C919" t="inlineStr"/>
      <c r="D919" t="inlineStr"/>
    </row>
    <row r="920">
      <c r="A920" t="inlineStr">
        <is>
          <t>No</t>
        </is>
      </c>
      <c r="B920" t="inlineStr"/>
      <c r="C920" t="inlineStr"/>
      <c r="D920" t="inlineStr"/>
    </row>
    <row r="921">
      <c r="A921" t="inlineStr">
        <is>
          <t>No</t>
        </is>
      </c>
      <c r="B921" t="inlineStr"/>
      <c r="C921" t="inlineStr">
        <is>
          <t>Younger children still at home</t>
        </is>
      </c>
      <c r="D921" t="inlineStr"/>
    </row>
    <row r="922">
      <c r="A922" t="inlineStr">
        <is>
          <t>No</t>
        </is>
      </c>
      <c r="B922" t="inlineStr"/>
      <c r="C922" t="inlineStr">
        <is>
          <t>I wanted my child to have his own experience.</t>
        </is>
      </c>
      <c r="D922" t="inlineStr"/>
    </row>
    <row r="923">
      <c r="A923" t="inlineStr">
        <is>
          <t>No</t>
        </is>
      </c>
      <c r="B923" t="inlineStr"/>
      <c r="C923" t="inlineStr">
        <is>
          <t>Already went, it was awesome</t>
        </is>
      </c>
      <c r="D923" t="inlineStr"/>
    </row>
    <row r="924">
      <c r="A924" t="inlineStr"/>
      <c r="B924" t="inlineStr"/>
      <c r="C924" t="inlineStr"/>
      <c r="D924" t="inlineStr"/>
    </row>
    <row r="925">
      <c r="A925" t="inlineStr">
        <is>
          <t>Maybe</t>
        </is>
      </c>
      <c r="B925" t="inlineStr"/>
      <c r="C925" t="inlineStr"/>
      <c r="D925" t="inlineStr">
        <is>
          <t xml:space="preserve">Less expensive. </t>
        </is>
      </c>
    </row>
    <row r="926">
      <c r="A926" t="inlineStr">
        <is>
          <t>No</t>
        </is>
      </c>
      <c r="B926" t="inlineStr"/>
      <c r="C926" t="inlineStr">
        <is>
          <t xml:space="preserve">Trying to let my kids experience trust in themselves to go. </t>
        </is>
      </c>
      <c r="D926" t="inlineStr"/>
    </row>
    <row r="927">
      <c r="A927" t="inlineStr">
        <is>
          <t>Yes</t>
        </is>
      </c>
      <c r="B927" t="inlineStr">
        <is>
          <t>I wanted my kid and I to be closer together and close to Jesus together</t>
        </is>
      </c>
      <c r="C927" t="inlineStr"/>
      <c r="D927" t="inlineStr"/>
    </row>
    <row r="928">
      <c r="A928" t="inlineStr">
        <is>
          <t>No</t>
        </is>
      </c>
      <c r="B928" t="inlineStr"/>
      <c r="C928" t="inlineStr">
        <is>
          <t>Husband travels and I still have a son at home</t>
        </is>
      </c>
      <c r="D928" t="inlineStr"/>
    </row>
    <row r="929">
      <c r="A929" t="inlineStr"/>
      <c r="B929" t="inlineStr"/>
      <c r="C929" t="inlineStr"/>
      <c r="D929" t="inlineStr"/>
    </row>
    <row r="930">
      <c r="A930" t="inlineStr">
        <is>
          <t>No</t>
        </is>
      </c>
      <c r="B930" t="inlineStr"/>
      <c r="C930" t="inlineStr">
        <is>
          <t>Our builder wanted to go solo</t>
        </is>
      </c>
      <c r="D930" t="inlineStr"/>
    </row>
    <row r="931">
      <c r="A931" t="inlineStr">
        <is>
          <t>No</t>
        </is>
      </c>
      <c r="B931" t="inlineStr"/>
      <c r="C931" t="inlineStr">
        <is>
          <t xml:space="preserve">Sibling went 2 years ago and loves it. </t>
        </is>
      </c>
      <c r="D931" t="inlineStr"/>
    </row>
    <row r="932">
      <c r="A932" t="inlineStr">
        <is>
          <t>Maybe</t>
        </is>
      </c>
      <c r="B932" t="inlineStr"/>
      <c r="C932" t="inlineStr"/>
      <c r="D932" t="inlineStr">
        <is>
          <t>Mostly not going as my child is wanting to experience things on his own and grow without mom or dad, however we have another one going next year who would love our company so next year is an option. Also, cost, which is a necessary unavoidable, priority trip options prior to the older age group.</t>
        </is>
      </c>
    </row>
    <row r="933">
      <c r="A933" t="inlineStr">
        <is>
          <t>No</t>
        </is>
      </c>
      <c r="B933" t="inlineStr"/>
      <c r="C933" t="inlineStr">
        <is>
          <t>Kids at home</t>
        </is>
      </c>
      <c r="D933" t="inlineStr"/>
    </row>
    <row r="934">
      <c r="A934" t="inlineStr">
        <is>
          <t>Maybe</t>
        </is>
      </c>
      <c r="B934" t="inlineStr"/>
      <c r="C934" t="inlineStr"/>
      <c r="D934" t="inlineStr"/>
    </row>
    <row r="935">
      <c r="A935" t="inlineStr"/>
      <c r="B935" t="inlineStr"/>
      <c r="C935" t="inlineStr"/>
      <c r="D935" t="inlineStr"/>
    </row>
    <row r="936">
      <c r="A936" t="inlineStr">
        <is>
          <t>No</t>
        </is>
      </c>
      <c r="B936" t="inlineStr"/>
      <c r="C936" t="inlineStr">
        <is>
          <t xml:space="preserve">Money </t>
        </is>
      </c>
      <c r="D936" t="inlineStr"/>
    </row>
    <row r="937">
      <c r="A937" t="inlineStr">
        <is>
          <t>No</t>
        </is>
      </c>
      <c r="B937" t="inlineStr"/>
      <c r="C937" t="inlineStr">
        <is>
          <t>I have younger kids I can't leave</t>
        </is>
      </c>
      <c r="D937" t="inlineStr"/>
    </row>
    <row r="938">
      <c r="A938" t="inlineStr">
        <is>
          <t>No</t>
        </is>
      </c>
      <c r="B938" t="inlineStr"/>
      <c r="C938" t="inlineStr">
        <is>
          <t>Logistics with kids at home</t>
        </is>
      </c>
      <c r="D938" t="inlineStr"/>
    </row>
    <row r="939">
      <c r="A939" t="inlineStr">
        <is>
          <t>No</t>
        </is>
      </c>
      <c r="B939" t="inlineStr"/>
      <c r="C939" t="inlineStr">
        <is>
          <t>Cost</t>
        </is>
      </c>
      <c r="D939" t="inlineStr"/>
    </row>
    <row r="940">
      <c r="A940" t="inlineStr">
        <is>
          <t>No</t>
        </is>
      </c>
      <c r="B940" t="inlineStr"/>
      <c r="C940" t="inlineStr">
        <is>
          <t>Work</t>
        </is>
      </c>
      <c r="D940" t="inlineStr"/>
    </row>
    <row r="941">
      <c r="A941" t="inlineStr">
        <is>
          <t>No</t>
        </is>
      </c>
      <c r="B941" t="inlineStr"/>
      <c r="C941" t="inlineStr">
        <is>
          <t>We wanted our son to have an experience serving others, but also wanted him to experience being on his own (since he is graduation age)</t>
        </is>
      </c>
      <c r="D941" t="inlineStr"/>
    </row>
    <row r="942">
      <c r="A942" t="inlineStr">
        <is>
          <t>No</t>
        </is>
      </c>
      <c r="B942" t="inlineStr"/>
      <c r="C942" t="inlineStr">
        <is>
          <t>Child didn't want us to come. We also wanted her to have this experience separate from us.</t>
        </is>
      </c>
      <c r="D942" t="inlineStr"/>
    </row>
    <row r="943">
      <c r="A943" t="inlineStr">
        <is>
          <t>No</t>
        </is>
      </c>
      <c r="B943" t="inlineStr"/>
      <c r="C943" t="inlineStr">
        <is>
          <t>Work</t>
        </is>
      </c>
      <c r="D943" t="inlineStr"/>
    </row>
    <row r="944">
      <c r="A944" t="inlineStr">
        <is>
          <t>Yes</t>
        </is>
      </c>
      <c r="B944" t="inlineStr">
        <is>
          <t>My daughter invited me</t>
        </is>
      </c>
      <c r="C944" t="inlineStr"/>
      <c r="D944" t="inlineStr"/>
    </row>
    <row r="945">
      <c r="A945" t="inlineStr"/>
      <c r="B945" t="inlineStr"/>
      <c r="C945" t="inlineStr"/>
      <c r="D945" t="inlineStr"/>
    </row>
    <row r="946">
      <c r="A946" t="inlineStr">
        <is>
          <t>No</t>
        </is>
      </c>
      <c r="B946" t="inlineStr"/>
      <c r="C946" t="inlineStr">
        <is>
          <t>We like the humanitarian trip experience before high school graduation</t>
        </is>
      </c>
      <c r="D946" t="inlineStr"/>
    </row>
    <row r="947">
      <c r="A947" t="inlineStr">
        <is>
          <t>No</t>
        </is>
      </c>
      <c r="B947" t="inlineStr"/>
      <c r="C947" t="inlineStr">
        <is>
          <t>Money</t>
        </is>
      </c>
      <c r="D947" t="inlineStr"/>
    </row>
    <row r="948">
      <c r="A948" t="inlineStr">
        <is>
          <t>No</t>
        </is>
      </c>
      <c r="B948" t="inlineStr"/>
      <c r="C948" t="inlineStr">
        <is>
          <t>Money</t>
        </is>
      </c>
      <c r="D948" t="inlineStr"/>
    </row>
    <row r="949">
      <c r="A949" t="inlineStr"/>
      <c r="B949" t="inlineStr"/>
      <c r="C949" t="inlineStr"/>
      <c r="D949" t="inlineStr"/>
    </row>
    <row r="950">
      <c r="A950" t="inlineStr"/>
      <c r="B950" t="inlineStr"/>
      <c r="C950" t="inlineStr"/>
      <c r="D950" t="inlineStr"/>
    </row>
    <row r="951">
      <c r="A951" t="inlineStr">
        <is>
          <t>No</t>
        </is>
      </c>
      <c r="B951" t="inlineStr"/>
      <c r="C951" t="inlineStr">
        <is>
          <t>Cost and time away from home (family and job commitments)</t>
        </is>
      </c>
      <c r="D951" t="inlineStr"/>
    </row>
    <row r="952">
      <c r="A952" t="inlineStr">
        <is>
          <t>No</t>
        </is>
      </c>
      <c r="B952" t="inlineStr"/>
      <c r="C952" t="inlineStr">
        <is>
          <t>Wanted my son to have an experience living independently from parents.</t>
        </is>
      </c>
      <c r="D952" t="inlineStr"/>
    </row>
    <row r="953">
      <c r="A953" t="inlineStr">
        <is>
          <t>No</t>
        </is>
      </c>
      <c r="B953" t="inlineStr"/>
      <c r="C953" t="inlineStr"/>
      <c r="D953" t="inlineStr"/>
    </row>
    <row r="954">
      <c r="A954" t="inlineStr">
        <is>
          <t>No</t>
        </is>
      </c>
      <c r="B954" t="inlineStr"/>
      <c r="C954" t="inlineStr">
        <is>
          <t>Cost</t>
        </is>
      </c>
      <c r="D954" t="inlineStr"/>
    </row>
    <row r="955">
      <c r="A955" t="inlineStr">
        <is>
          <t>No</t>
        </is>
      </c>
      <c r="B955" t="inlineStr"/>
      <c r="C955" t="inlineStr">
        <is>
          <t xml:space="preserve">Didn’t know it was an option, money, time commitment </t>
        </is>
      </c>
      <c r="D955" t="inlineStr"/>
    </row>
    <row r="956">
      <c r="A956" t="inlineStr">
        <is>
          <t>No</t>
        </is>
      </c>
      <c r="B956" t="inlineStr"/>
      <c r="C956" t="inlineStr">
        <is>
          <t xml:space="preserve">Wanted my child to have her own experience. </t>
        </is>
      </c>
      <c r="D956" t="inlineStr"/>
    </row>
    <row r="957">
      <c r="A957" t="inlineStr">
        <is>
          <t>No</t>
        </is>
      </c>
      <c r="B957" t="inlineStr"/>
      <c r="C957" t="inlineStr">
        <is>
          <t xml:space="preserve">Small children at home.  The cost of a nanny while I am gone would be difficult to manage. </t>
        </is>
      </c>
      <c r="D957" t="inlineStr"/>
    </row>
    <row r="958">
      <c r="A958" t="inlineStr">
        <is>
          <t>No</t>
        </is>
      </c>
      <c r="B958" t="inlineStr"/>
      <c r="C958" t="inlineStr">
        <is>
          <t>Cost and logistics of leaving my other children at home for that length of time</t>
        </is>
      </c>
      <c r="D958" t="inlineStr"/>
    </row>
    <row r="959">
      <c r="A959" t="inlineStr">
        <is>
          <t>No</t>
        </is>
      </c>
      <c r="B959" t="inlineStr"/>
      <c r="C959" t="inlineStr">
        <is>
          <t>Expense</t>
        </is>
      </c>
      <c r="D959" t="inlineStr"/>
    </row>
    <row r="960">
      <c r="A960" t="inlineStr">
        <is>
          <t>No</t>
        </is>
      </c>
      <c r="B960" t="inlineStr"/>
      <c r="C960" t="inlineStr">
        <is>
          <t>My son likes going without a parent there</t>
        </is>
      </c>
      <c r="D960" t="inlineStr"/>
    </row>
    <row r="961">
      <c r="A961" t="inlineStr">
        <is>
          <t>No</t>
        </is>
      </c>
      <c r="B961" t="inlineStr"/>
      <c r="C961" t="inlineStr">
        <is>
          <t xml:space="preserve">My son didn’t want me on the trip. </t>
        </is>
      </c>
      <c r="D961" t="inlineStr"/>
    </row>
    <row r="962">
      <c r="A962" t="inlineStr">
        <is>
          <t>No</t>
        </is>
      </c>
      <c r="B962" t="inlineStr"/>
      <c r="C962" t="inlineStr">
        <is>
          <t>I work full time and just don't have the time, otherwise I would go.</t>
        </is>
      </c>
      <c r="D962" t="inlineStr"/>
    </row>
    <row r="963">
      <c r="A963" t="inlineStr">
        <is>
          <t>No</t>
        </is>
      </c>
      <c r="B963" t="inlineStr"/>
      <c r="C963" t="inlineStr">
        <is>
          <t>Time away from my other kids</t>
        </is>
      </c>
      <c r="D963" t="inlineStr"/>
    </row>
    <row r="964">
      <c r="A964" t="inlineStr"/>
      <c r="B964" t="inlineStr"/>
      <c r="C964" t="inlineStr"/>
      <c r="D964" t="inlineStr"/>
    </row>
    <row r="965">
      <c r="A965" t="inlineStr">
        <is>
          <t>No</t>
        </is>
      </c>
      <c r="B965" t="inlineStr"/>
      <c r="C965" t="inlineStr">
        <is>
          <t xml:space="preserve">I'm busy working. </t>
        </is>
      </c>
      <c r="D965" t="inlineStr"/>
    </row>
    <row r="966">
      <c r="A966" t="inlineStr">
        <is>
          <t>No</t>
        </is>
      </c>
      <c r="B966" t="inlineStr"/>
      <c r="C966" t="inlineStr"/>
      <c r="D966" t="inlineStr"/>
    </row>
    <row r="967">
      <c r="A967" t="inlineStr">
        <is>
          <t>No</t>
        </is>
      </c>
      <c r="B967" t="inlineStr"/>
      <c r="C967" t="inlineStr">
        <is>
          <t xml:space="preserve">Money. Time away from work </t>
        </is>
      </c>
      <c r="D967" t="inlineStr"/>
    </row>
    <row r="968">
      <c r="A968" t="inlineStr">
        <is>
          <t>No</t>
        </is>
      </c>
      <c r="B968" t="inlineStr"/>
      <c r="C968" t="inlineStr">
        <is>
          <t xml:space="preserve">My child would like to have their own experience away from home. </t>
        </is>
      </c>
      <c r="D968" t="inlineStr"/>
    </row>
    <row r="969">
      <c r="A969" t="inlineStr">
        <is>
          <t>No</t>
        </is>
      </c>
      <c r="B969" t="inlineStr"/>
      <c r="C969" t="inlineStr">
        <is>
          <t>Other kids at home</t>
        </is>
      </c>
      <c r="D969" t="inlineStr"/>
    </row>
    <row r="970">
      <c r="A970" t="inlineStr">
        <is>
          <t>No</t>
        </is>
      </c>
      <c r="B970" t="inlineStr"/>
      <c r="C970" t="inlineStr">
        <is>
          <t>I wanted my child to have the experience of doing it alone!</t>
        </is>
      </c>
      <c r="D970" t="inlineStr"/>
    </row>
    <row r="971">
      <c r="A971" t="inlineStr">
        <is>
          <t>No</t>
        </is>
      </c>
      <c r="B971" t="inlineStr"/>
      <c r="C971" t="inlineStr">
        <is>
          <t>My schedule doesn't work</t>
        </is>
      </c>
      <c r="D971" t="inlineStr"/>
    </row>
    <row r="972">
      <c r="A972" t="inlineStr">
        <is>
          <t>No</t>
        </is>
      </c>
      <c r="B972" t="inlineStr"/>
      <c r="C972" t="inlineStr">
        <is>
          <t xml:space="preserve">My oldest daughter is leaving for her mission during the trip </t>
        </is>
      </c>
      <c r="D972" t="inlineStr"/>
    </row>
    <row r="973">
      <c r="A973" t="inlineStr"/>
      <c r="B973" t="inlineStr"/>
      <c r="C973" t="inlineStr"/>
      <c r="D973" t="inlineStr"/>
    </row>
    <row r="974">
      <c r="A974" t="inlineStr">
        <is>
          <t>No</t>
        </is>
      </c>
      <c r="B974" t="inlineStr"/>
      <c r="C974" t="inlineStr">
        <is>
          <t>Money</t>
        </is>
      </c>
      <c r="D974" t="inlineStr"/>
    </row>
    <row r="975">
      <c r="A975" t="inlineStr">
        <is>
          <t>Yes</t>
        </is>
      </c>
      <c r="B975" t="inlineStr">
        <is>
          <t>My daughter asked for me to come and this will be the last summer before she graduates from HS.</t>
        </is>
      </c>
      <c r="C975" t="inlineStr"/>
      <c r="D975" t="inlineStr"/>
    </row>
    <row r="976">
      <c r="A976" t="inlineStr">
        <is>
          <t>No</t>
        </is>
      </c>
      <c r="B976" t="inlineStr"/>
      <c r="C976" t="inlineStr">
        <is>
          <t>More kids at home</t>
        </is>
      </c>
      <c r="D976" t="inlineStr"/>
    </row>
    <row r="977">
      <c r="A977" t="inlineStr">
        <is>
          <t>No</t>
        </is>
      </c>
      <c r="B977" t="inlineStr"/>
      <c r="C977" t="inlineStr">
        <is>
          <t xml:space="preserve">Couldn’t take the time off, younger siblings at home. </t>
        </is>
      </c>
      <c r="D977" t="inlineStr"/>
    </row>
    <row r="978">
      <c r="A978" t="inlineStr"/>
      <c r="B978" t="inlineStr"/>
      <c r="C978" t="inlineStr"/>
      <c r="D978" t="inlineStr"/>
    </row>
    <row r="979">
      <c r="A979" t="inlineStr">
        <is>
          <t>No</t>
        </is>
      </c>
      <c r="B979" t="inlineStr"/>
      <c r="C979" t="inlineStr">
        <is>
          <t>My son needs to be on a trip without me.</t>
        </is>
      </c>
      <c r="D979" t="inlineStr"/>
    </row>
    <row r="980">
      <c r="A980" t="inlineStr">
        <is>
          <t>Yes</t>
        </is>
      </c>
      <c r="B980" t="inlineStr">
        <is>
          <t>I was asked by the trip leader if I could go.</t>
        </is>
      </c>
      <c r="C980" t="inlineStr"/>
      <c r="D980" t="inlineStr"/>
    </row>
    <row r="981">
      <c r="A981" t="inlineStr">
        <is>
          <t>No</t>
        </is>
      </c>
      <c r="B981" t="inlineStr"/>
      <c r="C981" t="inlineStr">
        <is>
          <t xml:space="preserve">Wanted my child to have the experience without me overseeing </t>
        </is>
      </c>
      <c r="D981" t="inlineStr"/>
    </row>
    <row r="982">
      <c r="A982" t="inlineStr">
        <is>
          <t>No</t>
        </is>
      </c>
      <c r="B982" t="inlineStr"/>
      <c r="C982" t="inlineStr">
        <is>
          <t>Child care for other kids</t>
        </is>
      </c>
      <c r="D982" t="inlineStr"/>
    </row>
    <row r="983">
      <c r="A983" t="inlineStr">
        <is>
          <t>No</t>
        </is>
      </c>
      <c r="B983" t="inlineStr"/>
      <c r="C983" t="inlineStr">
        <is>
          <t>I have had three other children participate in this experience and it has always been great!</t>
        </is>
      </c>
      <c r="D983" t="inlineStr"/>
    </row>
    <row r="984">
      <c r="A984" t="inlineStr">
        <is>
          <t>Yes</t>
        </is>
      </c>
      <c r="B984" t="inlineStr">
        <is>
          <t>My daughter and wife</t>
        </is>
      </c>
      <c r="C984" t="inlineStr"/>
      <c r="D984" t="inlineStr"/>
    </row>
    <row r="985">
      <c r="A985" t="inlineStr">
        <is>
          <t>No</t>
        </is>
      </c>
      <c r="B985" t="inlineStr"/>
      <c r="C985" t="inlineStr">
        <is>
          <t>My daughter did not want me to go.</t>
        </is>
      </c>
      <c r="D985" t="inlineStr"/>
    </row>
    <row r="986">
      <c r="A986" t="inlineStr">
        <is>
          <t>No</t>
        </is>
      </c>
      <c r="B986" t="inlineStr"/>
      <c r="C986" t="inlineStr">
        <is>
          <t>Kids at home</t>
        </is>
      </c>
      <c r="D986" t="inlineStr"/>
    </row>
    <row r="987">
      <c r="A987" t="inlineStr">
        <is>
          <t>No</t>
        </is>
      </c>
      <c r="B987" t="inlineStr"/>
      <c r="C987" t="inlineStr">
        <is>
          <t>Did it before - amazing experience</t>
        </is>
      </c>
      <c r="D987" t="inlineStr"/>
    </row>
    <row r="988">
      <c r="A988" t="inlineStr"/>
      <c r="B988" t="inlineStr"/>
      <c r="C988" t="inlineStr"/>
      <c r="D988" t="inlineStr"/>
    </row>
    <row r="989">
      <c r="A989" t="inlineStr"/>
      <c r="B989" t="inlineStr"/>
      <c r="C989" t="inlineStr"/>
      <c r="D989" t="inlineStr"/>
    </row>
    <row r="990">
      <c r="A990" t="inlineStr">
        <is>
          <t>No</t>
        </is>
      </c>
      <c r="B990" t="inlineStr"/>
      <c r="C990" t="inlineStr">
        <is>
          <t>four younger children</t>
        </is>
      </c>
      <c r="D990" t="inlineStr"/>
    </row>
    <row r="991">
      <c r="A991" t="inlineStr">
        <is>
          <t>No</t>
        </is>
      </c>
      <c r="B991" t="inlineStr"/>
      <c r="C991" t="inlineStr">
        <is>
          <t>Don't have time to be gone that long</t>
        </is>
      </c>
      <c r="D991" t="inlineStr"/>
    </row>
    <row r="992">
      <c r="A992" t="inlineStr"/>
      <c r="B992" t="inlineStr"/>
      <c r="C992" t="inlineStr"/>
      <c r="D992" t="inlineStr"/>
    </row>
    <row r="993">
      <c r="A993" t="inlineStr">
        <is>
          <t>No</t>
        </is>
      </c>
      <c r="B993" t="inlineStr"/>
      <c r="C993" t="inlineStr"/>
      <c r="D993" t="inlineStr"/>
    </row>
    <row r="994">
      <c r="A994" t="inlineStr">
        <is>
          <t>No</t>
        </is>
      </c>
      <c r="B994" t="inlineStr"/>
      <c r="C994" t="inlineStr">
        <is>
          <t xml:space="preserve">Too long being away from home </t>
        </is>
      </c>
      <c r="D994" t="inlineStr"/>
    </row>
    <row r="995">
      <c r="A995" t="inlineStr">
        <is>
          <t>Yes</t>
        </is>
      </c>
      <c r="B995" t="inlineStr">
        <is>
          <t xml:space="preserve">Love the youth and quality time with our children. </t>
        </is>
      </c>
      <c r="C995" t="inlineStr"/>
      <c r="D995" t="inlineStr"/>
    </row>
    <row r="996">
      <c r="A996" t="inlineStr">
        <is>
          <t>No</t>
        </is>
      </c>
      <c r="B996" t="inlineStr"/>
      <c r="C996" t="inlineStr">
        <is>
          <t>My son needs to have his own experience</t>
        </is>
      </c>
      <c r="D996" t="inlineStr"/>
    </row>
    <row r="997">
      <c r="A997" t="inlineStr">
        <is>
          <t>No</t>
        </is>
      </c>
      <c r="B997" t="inlineStr"/>
      <c r="C997" t="inlineStr">
        <is>
          <t>Work</t>
        </is>
      </c>
      <c r="D997" t="inlineStr"/>
    </row>
    <row r="998">
      <c r="A998" t="inlineStr">
        <is>
          <t>No</t>
        </is>
      </c>
      <c r="B998" t="inlineStr"/>
      <c r="C998" t="inlineStr">
        <is>
          <t>I have another son with special needs that I need to care for and the other parent is a surgeon who can’t take time off work for that long.</t>
        </is>
      </c>
      <c r="D998" t="inlineStr"/>
    </row>
    <row r="999">
      <c r="A999" t="inlineStr">
        <is>
          <t>No</t>
        </is>
      </c>
      <c r="B999" t="inlineStr"/>
      <c r="C999" t="inlineStr">
        <is>
          <t>Other children at home to care for</t>
        </is>
      </c>
      <c r="D999" t="inlineStr"/>
    </row>
    <row r="1000">
      <c r="A1000" t="inlineStr">
        <is>
          <t>No</t>
        </is>
      </c>
      <c r="B1000" t="inlineStr"/>
      <c r="C1000" t="inlineStr">
        <is>
          <t xml:space="preserve">Too much time away from my other kids. </t>
        </is>
      </c>
      <c r="D1000" t="inlineStr"/>
    </row>
    <row r="1001">
      <c r="A1001" t="inlineStr">
        <is>
          <t>No</t>
        </is>
      </c>
      <c r="B1001" t="inlineStr"/>
      <c r="C1001" t="inlineStr">
        <is>
          <t>Wanted my daughter to have her own experience.  Would like to go in future, but a little too pricey to help her and me go.</t>
        </is>
      </c>
      <c r="D1001" t="inlineStr"/>
    </row>
    <row r="1002">
      <c r="A1002" t="inlineStr">
        <is>
          <t>No</t>
        </is>
      </c>
      <c r="B1002" t="inlineStr"/>
      <c r="C1002" t="inlineStr">
        <is>
          <t>Cost</t>
        </is>
      </c>
      <c r="D1002" t="inlineStr"/>
    </row>
    <row r="1003">
      <c r="A1003" t="inlineStr">
        <is>
          <t>No</t>
        </is>
      </c>
      <c r="B1003" t="inlineStr"/>
      <c r="C1003" t="inlineStr">
        <is>
          <t xml:space="preserve">My daughter wanted this to be HER experience away from home. </t>
        </is>
      </c>
      <c r="D1003" t="inlineStr"/>
    </row>
    <row r="1004">
      <c r="A1004" t="inlineStr">
        <is>
          <t>No</t>
        </is>
      </c>
      <c r="B1004" t="inlineStr"/>
      <c r="C1004" t="inlineStr">
        <is>
          <t xml:space="preserve">Want to go next year when our youngest can be on the trip with us.  </t>
        </is>
      </c>
      <c r="D1004" t="inlineStr"/>
    </row>
    <row r="1005">
      <c r="A1005" t="inlineStr">
        <is>
          <t>No</t>
        </is>
      </c>
      <c r="B1005" t="inlineStr"/>
      <c r="C1005" t="inlineStr">
        <is>
          <t xml:space="preserve">My other daughter did it last year and loved it. Wanted Brenna to have the same type of experience. </t>
        </is>
      </c>
      <c r="D1005" t="inlineStr"/>
    </row>
    <row r="1006">
      <c r="A1006" t="inlineStr">
        <is>
          <t>No</t>
        </is>
      </c>
      <c r="B1006" t="inlineStr"/>
      <c r="C1006" t="inlineStr">
        <is>
          <t>Current Mission Leaders and can't leave the mission.</t>
        </is>
      </c>
      <c r="D1006" t="inlineStr"/>
    </row>
    <row r="1007">
      <c r="A1007" t="inlineStr">
        <is>
          <t>No</t>
        </is>
      </c>
      <c r="B1007" t="inlineStr"/>
      <c r="C1007" t="inlineStr">
        <is>
          <t>Money.  I would love to go but cannot afford it.</t>
        </is>
      </c>
      <c r="D1007" t="inlineStr"/>
    </row>
    <row r="1008">
      <c r="A1008" t="inlineStr">
        <is>
          <t>No</t>
        </is>
      </c>
      <c r="B1008" t="inlineStr"/>
      <c r="C1008" t="inlineStr">
        <is>
          <t>I have a daughter leaving for a mission at the same time</t>
        </is>
      </c>
      <c r="D1008" t="inlineStr"/>
    </row>
    <row r="1009">
      <c r="A1009" t="inlineStr">
        <is>
          <t>No</t>
        </is>
      </c>
      <c r="B1009" t="inlineStr"/>
      <c r="C1009" t="inlineStr">
        <is>
          <t>Her uncle is going with her.</t>
        </is>
      </c>
      <c r="D1009" t="inlineStr"/>
    </row>
    <row r="1010">
      <c r="A1010" t="inlineStr">
        <is>
          <t>No</t>
        </is>
      </c>
      <c r="B1010" t="inlineStr"/>
      <c r="C1010" t="inlineStr">
        <is>
          <t>I may go in the future but I want my daughter to have an experience away from home and her parents. I think it'll be a great growing experience for her!</t>
        </is>
      </c>
      <c r="D1010" t="inlineStr"/>
    </row>
    <row r="1011">
      <c r="A1011" t="inlineStr">
        <is>
          <t>No</t>
        </is>
      </c>
      <c r="B1011" t="inlineStr"/>
      <c r="C1011" t="inlineStr"/>
      <c r="D1011" t="inlineStr"/>
    </row>
    <row r="1012">
      <c r="A1012" t="inlineStr">
        <is>
          <t>No</t>
        </is>
      </c>
      <c r="B1012" t="inlineStr"/>
      <c r="C1012" t="inlineStr">
        <is>
          <t>I'm a mission leader in Utah St. George Mission</t>
        </is>
      </c>
      <c r="D1012" t="inlineStr"/>
    </row>
    <row r="1013">
      <c r="A1013" t="inlineStr">
        <is>
          <t>No</t>
        </is>
      </c>
      <c r="B1013" t="inlineStr"/>
      <c r="C1013" t="inlineStr">
        <is>
          <t>Wondering if I could keep up with the kids</t>
        </is>
      </c>
      <c r="D1013" t="inlineStr"/>
    </row>
    <row r="1014">
      <c r="A1014" t="inlineStr">
        <is>
          <t>No</t>
        </is>
      </c>
      <c r="B1014" t="inlineStr"/>
      <c r="C1014" t="inlineStr">
        <is>
          <t>A business trip planned for the same week</t>
        </is>
      </c>
      <c r="D1014" t="inlineStr"/>
    </row>
    <row r="1015">
      <c r="A1015" t="inlineStr"/>
      <c r="B1015" t="inlineStr"/>
      <c r="C1015" t="inlineStr"/>
      <c r="D1015" t="inlineStr"/>
    </row>
    <row r="1016">
      <c r="A1016" t="inlineStr">
        <is>
          <t>No</t>
        </is>
      </c>
      <c r="B1016" t="inlineStr"/>
      <c r="C1016" t="inlineStr">
        <is>
          <t>money</t>
        </is>
      </c>
      <c r="D1016" t="inlineStr"/>
    </row>
    <row r="1017">
      <c r="A1017" t="inlineStr">
        <is>
          <t>No</t>
        </is>
      </c>
      <c r="B1017" t="inlineStr"/>
      <c r="C1017" t="inlineStr">
        <is>
          <t xml:space="preserve">No desire </t>
        </is>
      </c>
      <c r="D1017" t="inlineStr"/>
    </row>
    <row r="1018">
      <c r="A1018" t="inlineStr">
        <is>
          <t>No</t>
        </is>
      </c>
      <c r="B1018" t="inlineStr"/>
      <c r="C1018" t="inlineStr">
        <is>
          <t>I would consider it for future trips but just did not consider it for this summer</t>
        </is>
      </c>
      <c r="D1018" t="inlineStr"/>
    </row>
    <row r="1019">
      <c r="A1019" t="inlineStr">
        <is>
          <t>Yes</t>
        </is>
      </c>
      <c r="B1019" t="inlineStr">
        <is>
          <t>My daughter asked me to go with her :)</t>
        </is>
      </c>
      <c r="C1019" t="inlineStr"/>
      <c r="D1019" t="inlineStr"/>
    </row>
    <row r="1020">
      <c r="A1020" t="inlineStr">
        <is>
          <t>No</t>
        </is>
      </c>
      <c r="B1020" t="inlineStr"/>
      <c r="C1020" t="inlineStr"/>
      <c r="D1020" t="inlineStr"/>
    </row>
    <row r="1021">
      <c r="A1021" t="inlineStr">
        <is>
          <t>No</t>
        </is>
      </c>
      <c r="B1021" t="inlineStr"/>
      <c r="C1021" t="inlineStr">
        <is>
          <t>Cost</t>
        </is>
      </c>
      <c r="D1021" t="inlineStr"/>
    </row>
    <row r="1022">
      <c r="A1022" t="inlineStr">
        <is>
          <t>No</t>
        </is>
      </c>
      <c r="B1022" t="inlineStr"/>
      <c r="C1022" t="inlineStr">
        <is>
          <t xml:space="preserve">My child wanted to experience this trip on her own. </t>
        </is>
      </c>
      <c r="D1022" t="inlineStr"/>
    </row>
    <row r="1023">
      <c r="A1023" t="inlineStr">
        <is>
          <t>No</t>
        </is>
      </c>
      <c r="B1023" t="inlineStr"/>
      <c r="C1023" t="inlineStr">
        <is>
          <t>My son didn't want us to and cost</t>
        </is>
      </c>
      <c r="D1023" t="inlineStr"/>
    </row>
    <row r="1024">
      <c r="A1024" t="inlineStr">
        <is>
          <t>No</t>
        </is>
      </c>
      <c r="B1024" t="inlineStr"/>
      <c r="C1024" t="inlineStr">
        <is>
          <t>Money</t>
        </is>
      </c>
      <c r="D1024" t="inlineStr"/>
    </row>
    <row r="1025">
      <c r="A1025" t="inlineStr">
        <is>
          <t>No</t>
        </is>
      </c>
      <c r="B1025" t="inlineStr"/>
      <c r="C1025" t="inlineStr">
        <is>
          <t>Work</t>
        </is>
      </c>
      <c r="D1025" t="inlineStr"/>
    </row>
    <row r="1026">
      <c r="A1026" t="inlineStr"/>
      <c r="B1026" t="inlineStr"/>
      <c r="C1026" t="inlineStr"/>
      <c r="D1026" t="inlineStr"/>
    </row>
    <row r="1027">
      <c r="A1027" t="inlineStr">
        <is>
          <t>No</t>
        </is>
      </c>
      <c r="B1027" t="inlineStr"/>
      <c r="C1027" t="inlineStr">
        <is>
          <t>Timing</t>
        </is>
      </c>
      <c r="D1027" t="inlineStr"/>
    </row>
    <row r="1028">
      <c r="A1028" t="inlineStr">
        <is>
          <t>Maybe</t>
        </is>
      </c>
      <c r="B1028" t="inlineStr"/>
      <c r="C1028" t="inlineStr"/>
      <c r="D1028" t="inlineStr">
        <is>
          <t xml:space="preserve">It’s about time and money - so decisions about going will be influenced by those 2 items for next summer. But I have strong interest in going. </t>
        </is>
      </c>
    </row>
    <row r="1029">
      <c r="A1029" t="inlineStr">
        <is>
          <t>Maybe</t>
        </is>
      </c>
      <c r="B1029" t="inlineStr"/>
      <c r="C1029" t="inlineStr"/>
      <c r="D1029" t="inlineStr"/>
    </row>
    <row r="1030">
      <c r="A1030" t="inlineStr">
        <is>
          <t>No</t>
        </is>
      </c>
      <c r="B1030" t="inlineStr"/>
      <c r="C1030" t="inlineStr"/>
      <c r="D1030" t="inlineStr"/>
    </row>
    <row r="1031">
      <c r="A1031" t="inlineStr">
        <is>
          <t>No</t>
        </is>
      </c>
      <c r="B1031" t="inlineStr"/>
      <c r="C1031" t="inlineStr"/>
      <c r="D1031" t="inlineStr"/>
    </row>
    <row r="1032">
      <c r="A1032" t="inlineStr"/>
      <c r="B1032" t="inlineStr"/>
      <c r="C1032" t="inlineStr"/>
      <c r="D1032" t="inlineStr"/>
    </row>
    <row r="1033">
      <c r="A1033" t="inlineStr">
        <is>
          <t>Yes</t>
        </is>
      </c>
      <c r="B1033" t="inlineStr">
        <is>
          <t>I have been twice before</t>
        </is>
      </c>
      <c r="C1033" t="inlineStr"/>
      <c r="D1033" t="inlineStr"/>
    </row>
    <row r="1034">
      <c r="A1034" t="inlineStr">
        <is>
          <t>No</t>
        </is>
      </c>
      <c r="B1034" t="inlineStr"/>
      <c r="C1034" t="inlineStr">
        <is>
          <t>Cost</t>
        </is>
      </c>
      <c r="D1034" t="inlineStr"/>
    </row>
    <row r="1035">
      <c r="A1035" t="inlineStr">
        <is>
          <t>No</t>
        </is>
      </c>
      <c r="B1035" t="inlineStr"/>
      <c r="C1035" t="inlineStr">
        <is>
          <t>$$</t>
        </is>
      </c>
      <c r="D1035" t="inlineStr"/>
    </row>
    <row r="1036">
      <c r="A1036" t="inlineStr">
        <is>
          <t>No</t>
        </is>
      </c>
      <c r="B1036" t="inlineStr"/>
      <c r="C1036" t="inlineStr">
        <is>
          <t xml:space="preserve">Not available </t>
        </is>
      </c>
      <c r="D1036" t="inlineStr"/>
    </row>
    <row r="1037">
      <c r="A1037" t="inlineStr">
        <is>
          <t>No</t>
        </is>
      </c>
      <c r="B1037" t="inlineStr"/>
      <c r="C1037" t="inlineStr">
        <is>
          <t>Think it will be good for kids to do something alone</t>
        </is>
      </c>
      <c r="D1037" t="inlineStr"/>
    </row>
    <row r="1038">
      <c r="A1038" t="inlineStr">
        <is>
          <t>No</t>
        </is>
      </c>
      <c r="B1038" t="inlineStr"/>
      <c r="C1038" t="inlineStr">
        <is>
          <t xml:space="preserve">We have been to Africa, Bolivia and Guatemala on family humanitarian trips.  We are excited for Ririe to have a trip on his own with peers. </t>
        </is>
      </c>
      <c r="D1038" t="inlineStr"/>
    </row>
    <row r="1039">
      <c r="A1039" t="inlineStr"/>
      <c r="B1039" t="inlineStr"/>
      <c r="C1039" t="inlineStr"/>
      <c r="D1039" t="inlineStr"/>
    </row>
    <row r="1040">
      <c r="A1040" t="inlineStr">
        <is>
          <t>No</t>
        </is>
      </c>
      <c r="B1040" t="inlineStr"/>
      <c r="C1040" t="inlineStr"/>
      <c r="D1040" t="inlineStr"/>
    </row>
    <row r="1041">
      <c r="A1041" t="inlineStr">
        <is>
          <t>No</t>
        </is>
      </c>
      <c r="B1041" t="inlineStr"/>
      <c r="C1041" t="inlineStr">
        <is>
          <t xml:space="preserve">I already went as parent builder 2015 to Bolivia and had a wonderful experience. </t>
        </is>
      </c>
      <c r="D1041" t="inlineStr"/>
    </row>
    <row r="1042">
      <c r="A1042" t="inlineStr">
        <is>
          <t>No</t>
        </is>
      </c>
      <c r="B1042" t="inlineStr"/>
      <c r="C1042" t="inlineStr">
        <is>
          <t>I'm not a good traveler</t>
        </is>
      </c>
      <c r="D1042" t="inlineStr"/>
    </row>
    <row r="1043">
      <c r="A1043" t="inlineStr">
        <is>
          <t>No</t>
        </is>
      </c>
      <c r="B1043" t="inlineStr"/>
      <c r="C1043" t="inlineStr">
        <is>
          <t>other children at home to care for at this time</t>
        </is>
      </c>
      <c r="D1043" t="inlineStr"/>
    </row>
    <row r="1044">
      <c r="A1044" t="inlineStr">
        <is>
          <t>No</t>
        </is>
      </c>
      <c r="B1044" t="inlineStr"/>
      <c r="C1044" t="inlineStr">
        <is>
          <t xml:space="preserve">My husband is going </t>
        </is>
      </c>
      <c r="D1044" t="inlineStr"/>
    </row>
    <row r="1045">
      <c r="A1045" t="inlineStr">
        <is>
          <t>No</t>
        </is>
      </c>
      <c r="B1045" t="inlineStr"/>
      <c r="C1045" t="inlineStr">
        <is>
          <t xml:space="preserve">Cost and time commitment </t>
        </is>
      </c>
      <c r="D1045" t="inlineStr"/>
    </row>
    <row r="1046">
      <c r="A1046" t="inlineStr">
        <is>
          <t>No</t>
        </is>
      </c>
      <c r="B1046" t="inlineStr"/>
      <c r="C1046" t="inlineStr"/>
      <c r="D1046" t="inlineStr"/>
    </row>
    <row r="1047">
      <c r="A1047" t="inlineStr"/>
      <c r="B1047" t="inlineStr"/>
      <c r="C1047" t="inlineStr"/>
      <c r="D1047" t="inlineStr"/>
    </row>
    <row r="1048">
      <c r="A1048" t="inlineStr">
        <is>
          <t>No</t>
        </is>
      </c>
      <c r="B1048" t="inlineStr"/>
      <c r="C1048" t="inlineStr">
        <is>
          <t xml:space="preserve">Too long of a trip </t>
        </is>
      </c>
      <c r="D1048" t="inlineStr"/>
    </row>
    <row r="1049">
      <c r="A1049" t="inlineStr">
        <is>
          <t>Maybe</t>
        </is>
      </c>
      <c r="B1049" t="inlineStr"/>
      <c r="C1049" t="inlineStr"/>
      <c r="D1049" t="inlineStr">
        <is>
          <t>If younger sibling decides to go someday</t>
        </is>
      </c>
    </row>
    <row r="1050">
      <c r="A1050" t="inlineStr">
        <is>
          <t>Maybe</t>
        </is>
      </c>
      <c r="B1050" t="inlineStr"/>
      <c r="C1050" t="inlineStr"/>
      <c r="D1050" t="inlineStr">
        <is>
          <t>Personal health improvement</t>
        </is>
      </c>
    </row>
    <row r="1051">
      <c r="A1051" t="inlineStr">
        <is>
          <t>No</t>
        </is>
      </c>
      <c r="B1051" t="inlineStr"/>
      <c r="C1051" t="inlineStr">
        <is>
          <t xml:space="preserve">Timing. I may be interested in the future. I have been a Scout master and high adventure leader for many years and now organized our Stake's Youth Camp.  The timing for this was off. I would be interested in learning more and possibly going in 2025. </t>
        </is>
      </c>
      <c r="D1051" t="inlineStr"/>
    </row>
    <row r="1052">
      <c r="A1052" t="inlineStr">
        <is>
          <t>No</t>
        </is>
      </c>
      <c r="B1052" t="inlineStr"/>
      <c r="C1052" t="inlineStr">
        <is>
          <t>$$</t>
        </is>
      </c>
      <c r="D1052" t="inlineStr"/>
    </row>
    <row r="1053">
      <c r="A1053" t="inlineStr">
        <is>
          <t>No</t>
        </is>
      </c>
      <c r="B1053" t="inlineStr"/>
      <c r="C1053" t="inlineStr">
        <is>
          <t>I think my son wanted to go without a parent</t>
        </is>
      </c>
      <c r="D1053" t="inlineStr"/>
    </row>
    <row r="1054">
      <c r="A1054" t="inlineStr">
        <is>
          <t>Yes</t>
        </is>
      </c>
      <c r="B1054" t="inlineStr">
        <is>
          <t xml:space="preserve">The desire to be with my kid and serve together </t>
        </is>
      </c>
      <c r="C1054" t="inlineStr"/>
      <c r="D1054" t="inlineStr"/>
    </row>
    <row r="1055">
      <c r="A1055" t="inlineStr"/>
      <c r="B1055" t="inlineStr"/>
      <c r="C1055" t="inlineStr"/>
      <c r="D1055" t="inlineStr"/>
    </row>
    <row r="1056">
      <c r="A1056" t="inlineStr">
        <is>
          <t>No</t>
        </is>
      </c>
      <c r="B1056" t="inlineStr"/>
      <c r="C1056" t="inlineStr">
        <is>
          <t>No time</t>
        </is>
      </c>
      <c r="D1056" t="inlineStr"/>
    </row>
    <row r="1057">
      <c r="A1057" t="inlineStr">
        <is>
          <t>No</t>
        </is>
      </c>
      <c r="B1057" t="inlineStr"/>
      <c r="C1057" t="inlineStr">
        <is>
          <t xml:space="preserve">I am not aware that I am able to go.  I thought this was for the kids and leaders only.  I would love to go with my son but am not aware that’s an option </t>
        </is>
      </c>
      <c r="D1057" t="inlineStr"/>
    </row>
    <row r="1058">
      <c r="A1058" t="inlineStr">
        <is>
          <t>No</t>
        </is>
      </c>
      <c r="B1058" t="inlineStr"/>
      <c r="C1058" t="inlineStr">
        <is>
          <t xml:space="preserve">Didn’t really understand what it entailed </t>
        </is>
      </c>
      <c r="D1058" t="inlineStr"/>
    </row>
    <row r="1059">
      <c r="A1059" t="inlineStr">
        <is>
          <t>No</t>
        </is>
      </c>
      <c r="B1059" t="inlineStr"/>
      <c r="C1059" t="inlineStr">
        <is>
          <t>Can't leave the country by the moment</t>
        </is>
      </c>
      <c r="D1059" t="inlineStr"/>
    </row>
    <row r="1060">
      <c r="A1060" t="inlineStr">
        <is>
          <t>No</t>
        </is>
      </c>
      <c r="B1060" t="inlineStr"/>
      <c r="C1060" t="inlineStr">
        <is>
          <t>It was never an option for me due to my work schedule</t>
        </is>
      </c>
      <c r="D1060" t="inlineStr"/>
    </row>
    <row r="1061">
      <c r="A1061" t="inlineStr">
        <is>
          <t>No</t>
        </is>
      </c>
      <c r="B1061" t="inlineStr"/>
      <c r="C1061" t="inlineStr">
        <is>
          <t>Work schedule and wanted my youth to experience it on their own</t>
        </is>
      </c>
      <c r="D1061" t="inlineStr"/>
    </row>
    <row r="1062">
      <c r="A1062" t="inlineStr">
        <is>
          <t>No</t>
        </is>
      </c>
      <c r="B1062" t="inlineStr"/>
      <c r="C1062" t="inlineStr"/>
      <c r="D1062" t="inlineStr"/>
    </row>
    <row r="1063">
      <c r="A1063" t="inlineStr">
        <is>
          <t>No</t>
        </is>
      </c>
      <c r="B1063" t="inlineStr"/>
      <c r="C1063" t="inlineStr">
        <is>
          <t>Small children at home</t>
        </is>
      </c>
      <c r="D1063" t="inlineStr"/>
    </row>
    <row r="1064">
      <c r="A1064" t="inlineStr">
        <is>
          <t>No</t>
        </is>
      </c>
      <c r="B1064" t="inlineStr"/>
      <c r="C1064" t="inlineStr">
        <is>
          <t>My child wanted to go by herself</t>
        </is>
      </c>
      <c r="D1064" t="inlineStr"/>
    </row>
    <row r="1065">
      <c r="A1065" t="inlineStr">
        <is>
          <t>No</t>
        </is>
      </c>
      <c r="B1065" t="inlineStr"/>
      <c r="C1065" t="inlineStr">
        <is>
          <t>Because of the cost</t>
        </is>
      </c>
      <c r="D1065" t="inlineStr"/>
    </row>
    <row r="1066">
      <c r="A1066" t="inlineStr">
        <is>
          <t>No</t>
        </is>
      </c>
      <c r="B1066" t="inlineStr"/>
      <c r="C1066" t="inlineStr">
        <is>
          <t xml:space="preserve">Responsibilities this summer. I’d love to go another time. </t>
        </is>
      </c>
      <c r="D1066" t="inlineStr"/>
    </row>
    <row r="1067">
      <c r="A1067" t="inlineStr">
        <is>
          <t>No</t>
        </is>
      </c>
      <c r="B1067" t="inlineStr"/>
      <c r="C1067" t="inlineStr"/>
      <c r="D1067" t="inlineStr"/>
    </row>
    <row r="1068">
      <c r="A1068" t="inlineStr">
        <is>
          <t>No</t>
        </is>
      </c>
      <c r="B1068" t="inlineStr"/>
      <c r="C1068" t="inlineStr">
        <is>
          <t xml:space="preserve">I have 3 younger kids at home that I need to be with for other summer activities </t>
        </is>
      </c>
      <c r="D1068" t="inlineStr"/>
    </row>
    <row r="1069">
      <c r="A1069" t="inlineStr">
        <is>
          <t>No</t>
        </is>
      </c>
      <c r="B1069" t="inlineStr"/>
      <c r="C1069" t="inlineStr">
        <is>
          <t>Time</t>
        </is>
      </c>
      <c r="D1069" t="inlineStr"/>
    </row>
    <row r="1070">
      <c r="A1070" t="inlineStr">
        <is>
          <t>No</t>
        </is>
      </c>
      <c r="B1070" t="inlineStr"/>
      <c r="C1070" t="inlineStr">
        <is>
          <t>My daughters cousin and also my daughter wanted something more after fsy</t>
        </is>
      </c>
      <c r="D1070" t="inlineStr"/>
    </row>
    <row r="1071">
      <c r="A1071" t="inlineStr">
        <is>
          <t>No</t>
        </is>
      </c>
      <c r="B1071" t="inlineStr"/>
      <c r="C1071" t="inlineStr">
        <is>
          <t xml:space="preserve">I wanted my son to have this experience by himself </t>
        </is>
      </c>
      <c r="D1071" t="inlineStr"/>
    </row>
    <row r="1072">
      <c r="A1072" t="inlineStr">
        <is>
          <t>No</t>
        </is>
      </c>
      <c r="B1072" t="inlineStr"/>
      <c r="C1072" t="inlineStr">
        <is>
          <t>My summer was booked with other activities, I'm planning on going next year.</t>
        </is>
      </c>
      <c r="D1072" t="inlineStr"/>
    </row>
    <row r="1073">
      <c r="A1073" t="inlineStr">
        <is>
          <t>No</t>
        </is>
      </c>
      <c r="B1073" t="inlineStr"/>
      <c r="C1073" t="inlineStr">
        <is>
          <t xml:space="preserve">Wanted my son to be on his own. </t>
        </is>
      </c>
      <c r="D1073" t="inlineStr"/>
    </row>
    <row r="1074">
      <c r="A1074" t="inlineStr">
        <is>
          <t>No</t>
        </is>
      </c>
      <c r="B1074" t="inlineStr"/>
      <c r="C1074" t="inlineStr">
        <is>
          <t>we have a lot of kids.  can't get away</t>
        </is>
      </c>
      <c r="D1074" t="inlineStr"/>
    </row>
    <row r="1075">
      <c r="A1075" t="inlineStr">
        <is>
          <t>No</t>
        </is>
      </c>
      <c r="B1075" t="inlineStr"/>
      <c r="C1075" t="inlineStr">
        <is>
          <t xml:space="preserve">My builder wanted to have an experience without parents. </t>
        </is>
      </c>
      <c r="D1075" t="inlineStr"/>
    </row>
    <row r="1076">
      <c r="A1076" t="inlineStr">
        <is>
          <t>Yes</t>
        </is>
      </c>
      <c r="B1076" t="inlineStr">
        <is>
          <t>We joined so late it guaranteed my son a spot. Plus, I’m super excited to be included!!</t>
        </is>
      </c>
      <c r="C1076" t="inlineStr"/>
      <c r="D1076" t="inlineStr"/>
    </row>
    <row r="1077">
      <c r="A1077" t="inlineStr">
        <is>
          <t>No</t>
        </is>
      </c>
      <c r="B1077" t="inlineStr"/>
      <c r="C1077" t="inlineStr">
        <is>
          <t xml:space="preserve">My daughter is excited about going on this trip on her own. </t>
        </is>
      </c>
      <c r="D1077" t="inlineStr"/>
    </row>
    <row r="1078">
      <c r="A1078" t="inlineStr"/>
      <c r="B1078" t="inlineStr"/>
      <c r="C1078" t="inlineStr"/>
      <c r="D1078" t="inlineStr"/>
    </row>
    <row r="1079">
      <c r="A1079" t="inlineStr">
        <is>
          <t>No</t>
        </is>
      </c>
      <c r="B1079" t="inlineStr"/>
      <c r="C1079" t="inlineStr">
        <is>
          <t>I went with my builder last year to Guatemala on a service trip and he told me it was the best experience of his life and he wanted to go another time without me;)  I was happy to oblige for him to spread his wings even though a trip to Cambodia for service sounds rad.</t>
        </is>
      </c>
      <c r="D1079" t="inlineStr"/>
    </row>
    <row r="1080">
      <c r="A1080" t="inlineStr">
        <is>
          <t>No</t>
        </is>
      </c>
      <c r="B1080" t="inlineStr"/>
      <c r="C1080" t="inlineStr">
        <is>
          <t>time off work</t>
        </is>
      </c>
      <c r="D1080" t="inlineStr"/>
    </row>
    <row r="1081">
      <c r="A1081" t="inlineStr">
        <is>
          <t>Yes</t>
        </is>
      </c>
      <c r="B1081" t="inlineStr">
        <is>
          <t xml:space="preserve">Help my kids to build long lasting friendship and thief testimonies </t>
        </is>
      </c>
      <c r="C1081" t="inlineStr"/>
      <c r="D1081" t="inlineStr"/>
    </row>
    <row r="1082">
      <c r="A1082" t="inlineStr">
        <is>
          <t>No</t>
        </is>
      </c>
      <c r="B1082" t="inlineStr"/>
      <c r="C1082" t="inlineStr">
        <is>
          <t>Work, other children at home</t>
        </is>
      </c>
      <c r="D1082" t="inlineStr"/>
    </row>
    <row r="1083">
      <c r="A1083" t="inlineStr">
        <is>
          <t>No</t>
        </is>
      </c>
      <c r="B1083" t="inlineStr"/>
      <c r="C1083" t="inlineStr">
        <is>
          <t>My son wouldn’t let me since I went last year.  He said he wants to do one on his own.</t>
        </is>
      </c>
      <c r="D1083" t="inlineStr"/>
    </row>
    <row r="1084">
      <c r="A1084" t="inlineStr"/>
      <c r="B1084" t="inlineStr"/>
      <c r="C1084" t="inlineStr"/>
      <c r="D1084" t="inlineStr"/>
    </row>
    <row r="1085">
      <c r="A1085" t="inlineStr">
        <is>
          <t>No</t>
        </is>
      </c>
      <c r="B1085" t="inlineStr"/>
      <c r="C1085" t="inlineStr">
        <is>
          <t>Cost</t>
        </is>
      </c>
      <c r="D1085" t="inlineStr"/>
    </row>
    <row r="1086">
      <c r="A1086" t="inlineStr">
        <is>
          <t>Yes</t>
        </is>
      </c>
      <c r="B1086" t="inlineStr">
        <is>
          <t>Save my daughter</t>
        </is>
      </c>
      <c r="C1086" t="inlineStr"/>
      <c r="D1086" t="inlineStr"/>
    </row>
    <row r="1087">
      <c r="A1087" t="inlineStr">
        <is>
          <t>Maybe</t>
        </is>
      </c>
      <c r="B1087" t="inlineStr"/>
      <c r="C1087" t="inlineStr"/>
      <c r="D1087" t="inlineStr">
        <is>
          <t>If it was cheaper for the parents.</t>
        </is>
      </c>
    </row>
    <row r="1088">
      <c r="A1088" t="inlineStr">
        <is>
          <t>No</t>
        </is>
      </c>
      <c r="B1088" t="inlineStr"/>
      <c r="C1088" t="inlineStr">
        <is>
          <t>Cost and time. Although I’d love to go. Maybe with one of my younger kids</t>
        </is>
      </c>
      <c r="D1088" t="inlineStr"/>
    </row>
    <row r="1089">
      <c r="A1089" t="inlineStr">
        <is>
          <t>No</t>
        </is>
      </c>
      <c r="B1089" t="inlineStr"/>
      <c r="C1089" t="inlineStr"/>
      <c r="D1089" t="inlineStr"/>
    </row>
    <row r="1090">
      <c r="A1090" t="inlineStr">
        <is>
          <t>Yes</t>
        </is>
      </c>
      <c r="B1090" t="inlineStr">
        <is>
          <t>Experience</t>
        </is>
      </c>
      <c r="C1090" t="inlineStr"/>
      <c r="D1090" t="inlineStr"/>
    </row>
    <row r="1091">
      <c r="A1091" t="inlineStr"/>
      <c r="B1091" t="inlineStr"/>
      <c r="C1091" t="inlineStr"/>
      <c r="D1091" t="inlineStr"/>
    </row>
    <row r="1092">
      <c r="A1092" t="inlineStr">
        <is>
          <t>No</t>
        </is>
      </c>
      <c r="B1092" t="inlineStr"/>
      <c r="C1092" t="inlineStr">
        <is>
          <t xml:space="preserve">I have too many younger kids still at home. </t>
        </is>
      </c>
      <c r="D1092" t="inlineStr"/>
    </row>
    <row r="1093">
      <c r="A1093" t="inlineStr">
        <is>
          <t>No</t>
        </is>
      </c>
      <c r="B1093" t="inlineStr"/>
      <c r="C1093" t="inlineStr">
        <is>
          <t xml:space="preserve">Wanted my daughter to get some experience being independent </t>
        </is>
      </c>
      <c r="D1093" t="inlineStr"/>
    </row>
    <row r="1094">
      <c r="A1094" t="inlineStr">
        <is>
          <t>No</t>
        </is>
      </c>
      <c r="B1094" t="inlineStr"/>
      <c r="C1094" t="inlineStr">
        <is>
          <t xml:space="preserve">family responsibilites </t>
        </is>
      </c>
      <c r="D1094" t="inlineStr"/>
    </row>
    <row r="1095">
      <c r="A1095" t="inlineStr">
        <is>
          <t>No</t>
        </is>
      </c>
      <c r="B1095" t="inlineStr"/>
      <c r="C1095" t="inlineStr">
        <is>
          <t>Finances</t>
        </is>
      </c>
      <c r="D1095" t="inlineStr"/>
    </row>
    <row r="1096">
      <c r="A1096" t="inlineStr">
        <is>
          <t>No</t>
        </is>
      </c>
      <c r="B1096" t="inlineStr"/>
      <c r="C1096" t="inlineStr">
        <is>
          <t xml:space="preserve">I wanted to let me son go without his dad on the trip. </t>
        </is>
      </c>
      <c r="D1096" t="inlineStr"/>
    </row>
    <row r="1097">
      <c r="A1097" t="inlineStr">
        <is>
          <t>No</t>
        </is>
      </c>
      <c r="B1097" t="inlineStr"/>
      <c r="C1097" t="inlineStr">
        <is>
          <t xml:space="preserve">My daughter wanted to experience it independently </t>
        </is>
      </c>
      <c r="D1097" t="inlineStr"/>
    </row>
    <row r="1098">
      <c r="A1098" t="inlineStr"/>
      <c r="B1098" t="inlineStr"/>
      <c r="C1098" t="inlineStr"/>
      <c r="D1098" t="inlineStr"/>
    </row>
    <row r="1099">
      <c r="A1099" t="inlineStr">
        <is>
          <t>No</t>
        </is>
      </c>
      <c r="B1099" t="inlineStr"/>
      <c r="C1099" t="inlineStr">
        <is>
          <t>Money</t>
        </is>
      </c>
      <c r="D1099" t="inlineStr"/>
    </row>
    <row r="1100">
      <c r="A1100" t="inlineStr">
        <is>
          <t>No</t>
        </is>
      </c>
      <c r="B1100" t="inlineStr"/>
      <c r="C1100" t="inlineStr">
        <is>
          <t>I have younger children at home and I want my daughter to experience the independence of not going with us.</t>
        </is>
      </c>
      <c r="D1100" t="inlineStr"/>
    </row>
    <row r="1101">
      <c r="A1101" t="inlineStr">
        <is>
          <t>No</t>
        </is>
      </c>
      <c r="B1101" t="inlineStr"/>
      <c r="C1101" t="inlineStr">
        <is>
          <t>Work</t>
        </is>
      </c>
      <c r="D1101" t="inlineStr"/>
    </row>
    <row r="1102">
      <c r="A1102" t="inlineStr">
        <is>
          <t>No</t>
        </is>
      </c>
      <c r="B1102" t="inlineStr"/>
      <c r="C1102" t="inlineStr">
        <is>
          <t xml:space="preserve">My daughter wanted to go alone </t>
        </is>
      </c>
      <c r="D1102" t="inlineStr"/>
    </row>
    <row r="1103">
      <c r="A1103" t="inlineStr"/>
      <c r="B1103" t="inlineStr"/>
      <c r="C1103" t="inlineStr"/>
      <c r="D1103" t="inlineStr"/>
    </row>
    <row r="1104">
      <c r="A1104" t="inlineStr">
        <is>
          <t>No</t>
        </is>
      </c>
      <c r="B1104" t="inlineStr"/>
      <c r="C1104" t="inlineStr">
        <is>
          <t>time</t>
        </is>
      </c>
      <c r="D1104" t="inlineStr"/>
    </row>
    <row r="1105">
      <c r="A1105" t="inlineStr">
        <is>
          <t>No</t>
        </is>
      </c>
      <c r="B1105" t="inlineStr"/>
      <c r="C1105" t="inlineStr">
        <is>
          <t>cost - it's already a huge expense just for our son to go</t>
        </is>
      </c>
      <c r="D1105" t="inlineStr"/>
    </row>
    <row r="1106">
      <c r="A1106" t="inlineStr">
        <is>
          <t>No</t>
        </is>
      </c>
      <c r="B1106" t="inlineStr"/>
      <c r="C1106" t="inlineStr">
        <is>
          <t xml:space="preserve">Couldn’t get time off from work and wanted daughter to experience trip without parents.  </t>
        </is>
      </c>
      <c r="D1106" t="inlineStr"/>
    </row>
    <row r="1107">
      <c r="A1107" t="inlineStr">
        <is>
          <t>Yes</t>
        </is>
      </c>
      <c r="B1107" t="inlineStr">
        <is>
          <t>HXP office reaching out to me personally to ask if I could go. Then my son saying he would be fine with it!</t>
        </is>
      </c>
      <c r="C1107" t="inlineStr"/>
      <c r="D1107" t="inlineStr"/>
    </row>
    <row r="1108">
      <c r="A1108" t="inlineStr">
        <is>
          <t>No</t>
        </is>
      </c>
      <c r="B1108" t="inlineStr"/>
      <c r="C1108" t="inlineStr">
        <is>
          <t>Timing and current money situation, but next year I'll try to volunteer to go with my son, domestically. He will still be 15.</t>
        </is>
      </c>
      <c r="D1108" t="inlineStr"/>
    </row>
    <row r="1109">
      <c r="A1109" t="inlineStr">
        <is>
          <t>No</t>
        </is>
      </c>
      <c r="B1109" t="inlineStr"/>
      <c r="C1109" t="inlineStr">
        <is>
          <t>too expensive</t>
        </is>
      </c>
      <c r="D1109" t="inlineStr"/>
    </row>
    <row r="1110">
      <c r="A1110" t="inlineStr"/>
      <c r="B1110" t="inlineStr"/>
      <c r="C1110" t="inlineStr"/>
      <c r="D1110" t="inlineStr"/>
    </row>
    <row r="1111">
      <c r="A1111" t="inlineStr">
        <is>
          <t>Maybe</t>
        </is>
      </c>
      <c r="B1111" t="inlineStr"/>
      <c r="C1111" t="inlineStr"/>
      <c r="D1111" t="inlineStr">
        <is>
          <t>If it were easier to get a spot</t>
        </is>
      </c>
    </row>
    <row r="1112">
      <c r="A1112" t="inlineStr">
        <is>
          <t>No</t>
        </is>
      </c>
      <c r="B1112" t="inlineStr"/>
      <c r="C1112" t="inlineStr">
        <is>
          <t>The cost for builder and parents builder.</t>
        </is>
      </c>
      <c r="D1112" t="inlineStr"/>
    </row>
    <row r="1113">
      <c r="A1113" t="inlineStr">
        <is>
          <t>Yes</t>
        </is>
      </c>
      <c r="B1113" t="inlineStr">
        <is>
          <t>To be with my son for this experience - help other youth strengthen testimony</t>
        </is>
      </c>
      <c r="C1113" t="inlineStr"/>
      <c r="D1113" t="inlineStr"/>
    </row>
    <row r="1114">
      <c r="A1114" t="inlineStr"/>
      <c r="B1114" t="inlineStr"/>
      <c r="C1114" t="inlineStr"/>
      <c r="D1114" t="inlineStr"/>
    </row>
    <row r="1115">
      <c r="A1115" t="inlineStr">
        <is>
          <t>Yes</t>
        </is>
      </c>
      <c r="B1115" t="inlineStr">
        <is>
          <t>My daughter was using me for her to obtain an earlier selection.  LOL.  And I'm happy she did.</t>
        </is>
      </c>
      <c r="C1115" t="inlineStr"/>
      <c r="D1115" t="inlineStr"/>
    </row>
    <row r="1116">
      <c r="A1116" t="inlineStr">
        <is>
          <t>No</t>
        </is>
      </c>
      <c r="B1116" t="inlineStr"/>
      <c r="C1116" t="inlineStr">
        <is>
          <t>small kids at home</t>
        </is>
      </c>
      <c r="D1116" t="inlineStr"/>
    </row>
    <row r="1117">
      <c r="A1117" t="inlineStr"/>
      <c r="B1117" t="inlineStr"/>
      <c r="C1117" t="inlineStr"/>
      <c r="D1117" t="inlineStr"/>
    </row>
    <row r="1118">
      <c r="A1118" t="inlineStr">
        <is>
          <t>Yes</t>
        </is>
      </c>
      <c r="B1118" t="inlineStr">
        <is>
          <t xml:space="preserve">My son asked me to </t>
        </is>
      </c>
      <c r="C1118" t="inlineStr"/>
      <c r="D1118" t="inlineStr"/>
    </row>
    <row r="1119">
      <c r="A1119" t="inlineStr">
        <is>
          <t>Maybe</t>
        </is>
      </c>
      <c r="B1119" t="inlineStr"/>
      <c r="C1119" t="inlineStr"/>
      <c r="D1119" t="inlineStr">
        <is>
          <t>price</t>
        </is>
      </c>
    </row>
    <row r="1120">
      <c r="A1120" t="inlineStr">
        <is>
          <t>No</t>
        </is>
      </c>
      <c r="B1120" t="inlineStr"/>
      <c r="C1120" t="inlineStr">
        <is>
          <t xml:space="preserve">I felt my daughter needed to go without a parent </t>
        </is>
      </c>
      <c r="D1120" t="inlineStr"/>
    </row>
    <row r="1121">
      <c r="A1121" t="inlineStr">
        <is>
          <t>No</t>
        </is>
      </c>
      <c r="B1121" t="inlineStr"/>
      <c r="C1121" t="inlineStr">
        <is>
          <t>i have 5 kids</t>
        </is>
      </c>
      <c r="D1121" t="inlineStr"/>
    </row>
    <row r="1122">
      <c r="A1122" t="inlineStr">
        <is>
          <t>No</t>
        </is>
      </c>
      <c r="B1122" t="inlineStr"/>
      <c r="C1122" t="inlineStr">
        <is>
          <t>Cost</t>
        </is>
      </c>
      <c r="D1122" t="inlineStr"/>
    </row>
    <row r="1123">
      <c r="A1123" t="inlineStr">
        <is>
          <t>No</t>
        </is>
      </c>
      <c r="B1123" t="inlineStr"/>
      <c r="C1123" t="inlineStr">
        <is>
          <t xml:space="preserve">Not able to leave the rest of my family for that long </t>
        </is>
      </c>
      <c r="D1123" t="inlineStr"/>
    </row>
    <row r="1124">
      <c r="A1124" t="inlineStr">
        <is>
          <t>No</t>
        </is>
      </c>
      <c r="B1124" t="inlineStr"/>
      <c r="C1124" t="inlineStr">
        <is>
          <t>Cost</t>
        </is>
      </c>
      <c r="D1124" t="inlineStr"/>
    </row>
    <row r="1125">
      <c r="A1125" t="inlineStr">
        <is>
          <t>No</t>
        </is>
      </c>
      <c r="B1125" t="inlineStr"/>
      <c r="C1125" t="inlineStr">
        <is>
          <t>Timing</t>
        </is>
      </c>
      <c r="D1125" t="inlineStr"/>
    </row>
    <row r="1126">
      <c r="A1126" t="inlineStr">
        <is>
          <t>Yes</t>
        </is>
      </c>
      <c r="B1126" t="inlineStr">
        <is>
          <t>Sending our kids is their senior trip and it is always our intention for one of us to join them.</t>
        </is>
      </c>
      <c r="C1126" t="inlineStr"/>
      <c r="D1126" t="inlineStr"/>
    </row>
    <row r="1127">
      <c r="A1127" t="inlineStr">
        <is>
          <t>No</t>
        </is>
      </c>
      <c r="B1127" t="inlineStr"/>
      <c r="C1127" t="inlineStr">
        <is>
          <t>My builder didn't want me to, ha!</t>
        </is>
      </c>
      <c r="D1127" t="inlineStr"/>
    </row>
    <row r="1128">
      <c r="A1128" t="inlineStr">
        <is>
          <t>Maybe</t>
        </is>
      </c>
      <c r="B1128" t="inlineStr"/>
      <c r="C1128" t="inlineStr"/>
      <c r="D1128" t="inlineStr"/>
    </row>
    <row r="1129">
      <c r="A1129" t="inlineStr">
        <is>
          <t>No</t>
        </is>
      </c>
      <c r="B1129" t="inlineStr"/>
      <c r="C1129" t="inlineStr"/>
      <c r="D1129" t="inlineStr"/>
    </row>
    <row r="1130">
      <c r="A1130" t="inlineStr"/>
      <c r="B1130" t="inlineStr"/>
      <c r="C1130" t="inlineStr"/>
      <c r="D1130" t="inlineStr"/>
    </row>
    <row r="1131">
      <c r="A1131" t="inlineStr">
        <is>
          <t>No</t>
        </is>
      </c>
      <c r="B1131" t="inlineStr"/>
      <c r="C1131" t="inlineStr">
        <is>
          <t>Price</t>
        </is>
      </c>
      <c r="D1131" t="inlineStr"/>
    </row>
    <row r="1132">
      <c r="A1132" t="inlineStr">
        <is>
          <t>No</t>
        </is>
      </c>
      <c r="B1132" t="inlineStr"/>
      <c r="C1132" t="inlineStr">
        <is>
          <t>child wanted to experience this alone</t>
        </is>
      </c>
      <c r="D1132" t="inlineStr"/>
    </row>
    <row r="1133">
      <c r="A1133" t="inlineStr">
        <is>
          <t>No</t>
        </is>
      </c>
      <c r="B1133" t="inlineStr"/>
      <c r="C1133" t="inlineStr"/>
      <c r="D1133" t="inlineStr"/>
    </row>
    <row r="1134">
      <c r="A1134" t="inlineStr">
        <is>
          <t>No</t>
        </is>
      </c>
      <c r="B1134" t="inlineStr"/>
      <c r="C1134" t="inlineStr">
        <is>
          <t xml:space="preserve">She needs to do this alone and get out of her comfort zone. Trust me. I really wanted to go. </t>
        </is>
      </c>
      <c r="D1134" t="inlineStr"/>
    </row>
    <row r="1135">
      <c r="A1135" t="inlineStr">
        <is>
          <t>No</t>
        </is>
      </c>
      <c r="B1135" t="inlineStr"/>
      <c r="C1135" t="inlineStr"/>
      <c r="D1135" t="inlineStr"/>
    </row>
    <row r="1136">
      <c r="A1136" t="inlineStr">
        <is>
          <t>No</t>
        </is>
      </c>
      <c r="B1136" t="inlineStr"/>
      <c r="C1136" t="inlineStr"/>
      <c r="D1136" t="inlineStr"/>
    </row>
    <row r="1137">
      <c r="A1137" t="inlineStr">
        <is>
          <t>No</t>
        </is>
      </c>
      <c r="B1137" t="inlineStr"/>
      <c r="C1137" t="inlineStr">
        <is>
          <t>Money/time</t>
        </is>
      </c>
      <c r="D1137" t="inlineStr"/>
    </row>
    <row r="1138">
      <c r="A1138" t="inlineStr">
        <is>
          <t>No</t>
        </is>
      </c>
      <c r="B1138" t="inlineStr"/>
      <c r="C1138" t="inlineStr">
        <is>
          <t>Other family responsibilities</t>
        </is>
      </c>
      <c r="D1138" t="inlineStr"/>
    </row>
    <row r="1139">
      <c r="A1139" t="inlineStr">
        <is>
          <t>No</t>
        </is>
      </c>
      <c r="B1139" t="inlineStr"/>
      <c r="C1139" t="inlineStr">
        <is>
          <t xml:space="preserve">Time </t>
        </is>
      </c>
      <c r="D1139" t="inlineStr"/>
    </row>
    <row r="1140">
      <c r="A1140" t="inlineStr">
        <is>
          <t>No</t>
        </is>
      </c>
      <c r="B1140" t="inlineStr"/>
      <c r="C1140" t="inlineStr">
        <is>
          <t xml:space="preserve">Too many kids at home to leave </t>
        </is>
      </c>
      <c r="D1140" t="inlineStr"/>
    </row>
    <row r="1141">
      <c r="A1141" t="inlineStr">
        <is>
          <t>No</t>
        </is>
      </c>
      <c r="B1141" t="inlineStr"/>
      <c r="C1141" t="inlineStr">
        <is>
          <t>Young children at home need me here, but when these younger ones are old enough to go I’d love to go be a parent builder.</t>
        </is>
      </c>
      <c r="D1141" t="inlineStr"/>
    </row>
    <row r="1142">
      <c r="A1142" t="inlineStr">
        <is>
          <t>No</t>
        </is>
      </c>
      <c r="B1142" t="inlineStr"/>
      <c r="C1142" t="inlineStr"/>
      <c r="D1142" t="inlineStr"/>
    </row>
    <row r="1143">
      <c r="A1143" t="inlineStr">
        <is>
          <t>No</t>
        </is>
      </c>
      <c r="B1143" t="inlineStr"/>
      <c r="C1143" t="inlineStr">
        <is>
          <t>My son's experience would have been altered had one of his parents been there.</t>
        </is>
      </c>
      <c r="D1143" t="inlineStr"/>
    </row>
    <row r="1144">
      <c r="A1144" t="inlineStr">
        <is>
          <t>No</t>
        </is>
      </c>
      <c r="B1144" t="inlineStr"/>
      <c r="C1144" t="inlineStr">
        <is>
          <t>Time off work</t>
        </is>
      </c>
      <c r="D1144" t="inlineStr"/>
    </row>
    <row r="1145">
      <c r="A1145" t="inlineStr">
        <is>
          <t>No</t>
        </is>
      </c>
      <c r="B1145" t="inlineStr"/>
      <c r="C1145" t="inlineStr">
        <is>
          <t>Time and my child wanted to go on her own</t>
        </is>
      </c>
      <c r="D1145" t="inlineStr"/>
    </row>
    <row r="1146">
      <c r="A1146" t="inlineStr">
        <is>
          <t>No</t>
        </is>
      </c>
      <c r="B1146" t="inlineStr"/>
      <c r="C1146" t="inlineStr">
        <is>
          <t xml:space="preserve">The trip extends into the beginning of our school year and I have other children at home who will need me. </t>
        </is>
      </c>
      <c r="D1146" t="inlineStr"/>
    </row>
    <row r="1147">
      <c r="A1147" t="inlineStr">
        <is>
          <t>No</t>
        </is>
      </c>
      <c r="B1147" t="inlineStr"/>
      <c r="C1147" t="inlineStr">
        <is>
          <t>My husband is going as the parent builder. I went with our two boys and had a great experience.</t>
        </is>
      </c>
      <c r="D1147" t="inlineStr"/>
    </row>
    <row r="1148">
      <c r="A1148" t="inlineStr"/>
      <c r="B1148" t="inlineStr"/>
      <c r="C1148" t="inlineStr"/>
      <c r="D1148" t="inlineStr"/>
    </row>
    <row r="1149">
      <c r="A1149" t="inlineStr">
        <is>
          <t>No</t>
        </is>
      </c>
      <c r="B1149" t="inlineStr"/>
      <c r="C1149" t="inlineStr">
        <is>
          <t xml:space="preserve">I really wanted my son to have this experience not knowing anyone. I hope he will gain confidence in speaking to new people, making new friends, and learning to navigate unfamiliar circumstances using skills he has been taught growing up. I feel like being a parent builder may hinder that growth. </t>
        </is>
      </c>
      <c r="D1149" t="inlineStr"/>
    </row>
    <row r="1150">
      <c r="A1150" t="inlineStr"/>
      <c r="B1150" t="inlineStr"/>
      <c r="C1150" t="inlineStr"/>
      <c r="D1150" t="inlineStr"/>
    </row>
    <row r="1151">
      <c r="A1151" t="inlineStr">
        <is>
          <t>Yes</t>
        </is>
      </c>
      <c r="B1151" t="inlineStr"/>
      <c r="C1151" t="inlineStr"/>
      <c r="D1151" t="inlineStr"/>
    </row>
    <row r="1152">
      <c r="A1152" t="inlineStr"/>
      <c r="B1152" t="inlineStr"/>
      <c r="C1152" t="inlineStr"/>
      <c r="D1152" t="inlineStr"/>
    </row>
    <row r="1153">
      <c r="A1153" t="inlineStr">
        <is>
          <t>No</t>
        </is>
      </c>
      <c r="B1153" t="inlineStr"/>
      <c r="C1153" t="inlineStr">
        <is>
          <t>I wanted to leave this decision up to my son. While there are so many wonderful things that can happen going together, I also appreciated that it would be a slightly different experience if "mom" were there all the time. I would have LOVED to do it, but I didn't want to influence his experience to learn and grow, either.</t>
        </is>
      </c>
      <c r="D1153" t="inlineStr"/>
    </row>
    <row r="1154">
      <c r="A1154" t="inlineStr">
        <is>
          <t>Yes</t>
        </is>
      </c>
      <c r="B1154" t="inlineStr">
        <is>
          <t xml:space="preserve">The spirit 😊 </t>
        </is>
      </c>
      <c r="C1154" t="inlineStr"/>
      <c r="D1154" t="inlineStr"/>
    </row>
    <row r="1155">
      <c r="A1155" t="inlineStr">
        <is>
          <t>No</t>
        </is>
      </c>
      <c r="B1155" t="inlineStr"/>
      <c r="C1155" t="inlineStr"/>
      <c r="D1155" t="inlineStr"/>
    </row>
    <row r="1156">
      <c r="A1156" t="inlineStr"/>
      <c r="B1156" t="inlineStr"/>
      <c r="C1156" t="inlineStr"/>
      <c r="D1156" t="inlineStr"/>
    </row>
    <row r="1157">
      <c r="A1157" t="inlineStr">
        <is>
          <t>No</t>
        </is>
      </c>
      <c r="B1157" t="inlineStr"/>
      <c r="C1157" t="inlineStr">
        <is>
          <t xml:space="preserve">Child is our youngest and needs independence </t>
        </is>
      </c>
      <c r="D1157" t="inlineStr"/>
    </row>
    <row r="1158">
      <c r="A1158" t="inlineStr">
        <is>
          <t>No</t>
        </is>
      </c>
      <c r="B1158" t="inlineStr"/>
      <c r="C1158" t="inlineStr">
        <is>
          <t>Wanted him to be without parents to prepare for a mission</t>
        </is>
      </c>
      <c r="D1158" t="inlineStr"/>
    </row>
    <row r="1159">
      <c r="A1159" t="inlineStr">
        <is>
          <t>Yes</t>
        </is>
      </c>
      <c r="B1159" t="inlineStr">
        <is>
          <t>want to serve with my son</t>
        </is>
      </c>
      <c r="C1159" t="inlineStr"/>
      <c r="D1159" t="inlineStr"/>
    </row>
    <row r="1160">
      <c r="A1160" t="inlineStr">
        <is>
          <t>No</t>
        </is>
      </c>
      <c r="B1160" t="inlineStr"/>
      <c r="C1160" t="inlineStr">
        <is>
          <t>My kid needs his own experience</t>
        </is>
      </c>
      <c r="D1160" t="inlineStr"/>
    </row>
    <row r="1161">
      <c r="A1161" t="inlineStr">
        <is>
          <t>Yes</t>
        </is>
      </c>
      <c r="B1161" t="inlineStr">
        <is>
          <t>International trip with spiritual undercurrent</t>
        </is>
      </c>
      <c r="C1161" t="inlineStr"/>
      <c r="D1161" t="inlineStr"/>
    </row>
    <row r="1162">
      <c r="A1162" t="inlineStr">
        <is>
          <t>No</t>
        </is>
      </c>
      <c r="B1162" t="inlineStr"/>
      <c r="C1162" t="inlineStr">
        <is>
          <t>money and time</t>
        </is>
      </c>
      <c r="D1162" t="inlineStr"/>
    </row>
    <row r="1163">
      <c r="A1163" t="inlineStr">
        <is>
          <t>No</t>
        </is>
      </c>
      <c r="B1163" t="inlineStr"/>
      <c r="C1163" t="inlineStr">
        <is>
          <t xml:space="preserve">Want her to have her own experience </t>
        </is>
      </c>
      <c r="D1163" t="inlineStr"/>
    </row>
    <row r="1164">
      <c r="A1164" t="inlineStr">
        <is>
          <t>No</t>
        </is>
      </c>
      <c r="B1164" t="inlineStr"/>
      <c r="C1164" t="inlineStr">
        <is>
          <t>My child did not want me to go</t>
        </is>
      </c>
      <c r="D1164" t="inlineStr"/>
    </row>
    <row r="1165">
      <c r="A1165" t="inlineStr">
        <is>
          <t>No</t>
        </is>
      </c>
      <c r="B1165" t="inlineStr"/>
      <c r="C1165" t="inlineStr">
        <is>
          <t xml:space="preserve">Timing and price </t>
        </is>
      </c>
      <c r="D1165" t="inlineStr"/>
    </row>
    <row r="1166">
      <c r="A1166" t="inlineStr">
        <is>
          <t>No</t>
        </is>
      </c>
      <c r="B1166" t="inlineStr"/>
      <c r="C1166" t="inlineStr">
        <is>
          <t xml:space="preserve">just started a new job, can't take that much time off </t>
        </is>
      </c>
      <c r="D1166" t="inlineStr"/>
    </row>
    <row r="1167">
      <c r="A1167" t="inlineStr">
        <is>
          <t>No</t>
        </is>
      </c>
      <c r="B1167" t="inlineStr"/>
      <c r="C1167" t="inlineStr">
        <is>
          <t xml:space="preserve">Didn’t realize I could go as a parent builder. </t>
        </is>
      </c>
      <c r="D1167" t="inlineStr"/>
    </row>
    <row r="1168">
      <c r="A1168" t="inlineStr">
        <is>
          <t>No</t>
        </is>
      </c>
      <c r="B1168" t="inlineStr"/>
      <c r="C1168" t="inlineStr">
        <is>
          <t>expense</t>
        </is>
      </c>
      <c r="D1168" t="inlineStr"/>
    </row>
    <row r="1169">
      <c r="A1169" t="inlineStr">
        <is>
          <t>Yes</t>
        </is>
      </c>
      <c r="B1169" t="inlineStr">
        <is>
          <t xml:space="preserve">Other parents going with their kids, and I haven’t gone to Africa or on a mission. </t>
        </is>
      </c>
      <c r="C1169" t="inlineStr"/>
      <c r="D1169" t="inlineStr"/>
    </row>
    <row r="1170">
      <c r="A1170" t="inlineStr">
        <is>
          <t>No</t>
        </is>
      </c>
      <c r="B1170" t="inlineStr"/>
      <c r="C1170" t="inlineStr">
        <is>
          <t xml:space="preserve">Kids at home </t>
        </is>
      </c>
      <c r="D1170" t="inlineStr"/>
    </row>
    <row r="1171">
      <c r="A1171" t="inlineStr"/>
      <c r="B1171" t="inlineStr"/>
      <c r="C1171" t="inlineStr"/>
      <c r="D1171" t="inlineStr"/>
    </row>
    <row r="1172">
      <c r="A1172" t="inlineStr">
        <is>
          <t>Yes</t>
        </is>
      </c>
      <c r="B1172" t="inlineStr">
        <is>
          <t xml:space="preserve">Last year my daughter got hurt, and overlooked. It was 3 days before we knew she made it. I plan to never let a parent go through that if I can help it. </t>
        </is>
      </c>
      <c r="C1172" t="inlineStr"/>
      <c r="D1172" t="inlineStr"/>
    </row>
    <row r="1173">
      <c r="A1173" t="inlineStr">
        <is>
          <t>No</t>
        </is>
      </c>
      <c r="B1173" t="inlineStr"/>
      <c r="C1173" t="inlineStr">
        <is>
          <t>my son didn't want me to go</t>
        </is>
      </c>
      <c r="D1173" t="inlineStr"/>
    </row>
    <row r="1174">
      <c r="A1174" t="inlineStr">
        <is>
          <t>No</t>
        </is>
      </c>
      <c r="B1174" t="inlineStr"/>
      <c r="C1174" t="inlineStr"/>
      <c r="D1174" t="inlineStr"/>
    </row>
    <row r="1175">
      <c r="A1175" t="inlineStr">
        <is>
          <t>No</t>
        </is>
      </c>
      <c r="B1175" t="inlineStr"/>
      <c r="C1175" t="inlineStr">
        <is>
          <t>My youth didn’t want me to go</t>
        </is>
      </c>
      <c r="D1175" t="inlineStr"/>
    </row>
    <row r="1176">
      <c r="A1176" t="inlineStr">
        <is>
          <t>No</t>
        </is>
      </c>
      <c r="B1176" t="inlineStr"/>
      <c r="C1176" t="inlineStr"/>
      <c r="D1176" t="inlineStr"/>
    </row>
    <row r="1177">
      <c r="A1177" t="inlineStr">
        <is>
          <t>No</t>
        </is>
      </c>
      <c r="B1177" t="inlineStr"/>
      <c r="C1177" t="inlineStr">
        <is>
          <t>Worried that my daughter wouldn't participate as much if I was there</t>
        </is>
      </c>
      <c r="D1177" t="inlineStr"/>
    </row>
    <row r="1178">
      <c r="A1178" t="inlineStr">
        <is>
          <t>No</t>
        </is>
      </c>
      <c r="B1178" t="inlineStr"/>
      <c r="C1178" t="inlineStr">
        <is>
          <t xml:space="preserve">Like them to go solo </t>
        </is>
      </c>
      <c r="D1178" t="inlineStr"/>
    </row>
    <row r="1179">
      <c r="A1179" t="inlineStr">
        <is>
          <t>No</t>
        </is>
      </c>
      <c r="B1179" t="inlineStr"/>
      <c r="C1179" t="inlineStr">
        <is>
          <t>Experience testimonials from ones that have gone on a trip before</t>
        </is>
      </c>
      <c r="D1179" t="inlineStr"/>
    </row>
    <row r="1180">
      <c r="A1180" t="inlineStr">
        <is>
          <t>No</t>
        </is>
      </c>
      <c r="B1180" t="inlineStr"/>
      <c r="C1180" t="inlineStr"/>
      <c r="D1180" t="inlineStr"/>
    </row>
    <row r="1181">
      <c r="A1181" t="inlineStr">
        <is>
          <t>No</t>
        </is>
      </c>
      <c r="B1181" t="inlineStr"/>
      <c r="C1181" t="inlineStr">
        <is>
          <t xml:space="preserve">I am too busy </t>
        </is>
      </c>
      <c r="D1181" t="inlineStr"/>
    </row>
    <row r="1182">
      <c r="A1182" t="inlineStr">
        <is>
          <t>No</t>
        </is>
      </c>
      <c r="B1182" t="inlineStr"/>
      <c r="C1182" t="inlineStr">
        <is>
          <t>Time, money</t>
        </is>
      </c>
      <c r="D1182" t="inlineStr"/>
    </row>
    <row r="1183">
      <c r="A1183" t="inlineStr"/>
      <c r="B1183" t="inlineStr"/>
      <c r="C1183" t="inlineStr"/>
      <c r="D1183" t="inlineStr"/>
    </row>
    <row r="1184">
      <c r="A1184" t="inlineStr">
        <is>
          <t>No</t>
        </is>
      </c>
      <c r="B1184" t="inlineStr"/>
      <c r="C1184" t="inlineStr">
        <is>
          <t>Price</t>
        </is>
      </c>
      <c r="D1184" t="inlineStr"/>
    </row>
    <row r="1185">
      <c r="A1185" t="inlineStr">
        <is>
          <t>Yes</t>
        </is>
      </c>
      <c r="B1185" t="inlineStr">
        <is>
          <t>Served my mission there</t>
        </is>
      </c>
      <c r="C1185" t="inlineStr"/>
      <c r="D1185" t="inlineStr"/>
    </row>
    <row r="1186">
      <c r="A1186" t="inlineStr">
        <is>
          <t>No</t>
        </is>
      </c>
      <c r="B1186" t="inlineStr"/>
      <c r="C1186" t="inlineStr">
        <is>
          <t xml:space="preserve">Cost and unable to take work off for that long </t>
        </is>
      </c>
      <c r="D1186" t="inlineStr"/>
    </row>
    <row r="1187">
      <c r="A1187" t="inlineStr">
        <is>
          <t>No</t>
        </is>
      </c>
      <c r="B1187" t="inlineStr"/>
      <c r="C1187" t="inlineStr">
        <is>
          <t>Cost</t>
        </is>
      </c>
      <c r="D1187" t="inlineStr"/>
    </row>
    <row r="1188">
      <c r="A1188" t="inlineStr">
        <is>
          <t>No</t>
        </is>
      </c>
      <c r="B1188" t="inlineStr"/>
      <c r="C1188" t="inlineStr"/>
      <c r="D1188" t="inlineStr"/>
    </row>
    <row r="1189">
      <c r="A1189" t="inlineStr">
        <is>
          <t>No</t>
        </is>
      </c>
      <c r="B1189" t="inlineStr"/>
      <c r="C1189" t="inlineStr"/>
      <c r="D1189" t="inlineStr"/>
    </row>
    <row r="1190">
      <c r="A1190" t="inlineStr">
        <is>
          <t>No</t>
        </is>
      </c>
      <c r="B1190" t="inlineStr"/>
      <c r="C1190" t="inlineStr">
        <is>
          <t>Let me son have this experience first himself. I’ll go next year</t>
        </is>
      </c>
      <c r="D1190" t="inlineStr"/>
    </row>
    <row r="1191">
      <c r="A1191" t="inlineStr">
        <is>
          <t>No</t>
        </is>
      </c>
      <c r="B1191" t="inlineStr"/>
      <c r="C1191" t="inlineStr"/>
      <c r="D1191" t="inlineStr"/>
    </row>
    <row r="1192">
      <c r="A1192" t="inlineStr">
        <is>
          <t>No</t>
        </is>
      </c>
      <c r="B1192" t="inlineStr"/>
      <c r="C1192" t="inlineStr">
        <is>
          <t xml:space="preserve">Can’t do it this year, but I am planning on doing it next year if finances allow. </t>
        </is>
      </c>
      <c r="D1192" t="inlineStr"/>
    </row>
    <row r="1193">
      <c r="A1193" t="inlineStr">
        <is>
          <t>No</t>
        </is>
      </c>
      <c r="B1193" t="inlineStr"/>
      <c r="C1193" t="inlineStr">
        <is>
          <t xml:space="preserve">Other children at home </t>
        </is>
      </c>
      <c r="D1193" t="inlineStr"/>
    </row>
    <row r="1194">
      <c r="A1194" t="inlineStr">
        <is>
          <t>No</t>
        </is>
      </c>
      <c r="B1194" t="inlineStr"/>
      <c r="C1194" t="inlineStr">
        <is>
          <t>Finances and my other three kids at home</t>
        </is>
      </c>
      <c r="D1194" t="inlineStr"/>
    </row>
    <row r="1195">
      <c r="A1195" t="inlineStr">
        <is>
          <t>Yes</t>
        </is>
      </c>
      <c r="B1195" t="inlineStr">
        <is>
          <t>Passion for the humanitarian work and the opportunity to connect with my son</t>
        </is>
      </c>
      <c r="C1195" t="inlineStr"/>
      <c r="D1195" t="inlineStr"/>
    </row>
    <row r="1196">
      <c r="A1196" t="inlineStr"/>
      <c r="B1196" t="inlineStr"/>
      <c r="C1196" t="inlineStr"/>
      <c r="D1196" t="inlineStr"/>
    </row>
    <row r="1197">
      <c r="A1197" t="inlineStr">
        <is>
          <t>No</t>
        </is>
      </c>
      <c r="B1197" t="inlineStr"/>
      <c r="C1197" t="inlineStr">
        <is>
          <t xml:space="preserve">Expense, time, hard to make arrangements for other kids, child wanting to go in her own. </t>
        </is>
      </c>
      <c r="D1197" t="inlineStr"/>
    </row>
    <row r="1198">
      <c r="A1198" t="inlineStr">
        <is>
          <t>No</t>
        </is>
      </c>
      <c r="B1198" t="inlineStr"/>
      <c r="C1198" t="inlineStr">
        <is>
          <t>Other kids at home</t>
        </is>
      </c>
      <c r="D1198" t="inlineStr"/>
    </row>
    <row r="1199">
      <c r="A1199" t="inlineStr">
        <is>
          <t>No</t>
        </is>
      </c>
      <c r="B1199" t="inlineStr"/>
      <c r="C1199" t="inlineStr">
        <is>
          <t>My builder didn’t want a parent to go - she wants to experience this on her own.</t>
        </is>
      </c>
      <c r="D1199" t="inlineStr"/>
    </row>
    <row r="1200">
      <c r="A1200" t="inlineStr">
        <is>
          <t>No</t>
        </is>
      </c>
      <c r="B1200" t="inlineStr"/>
      <c r="C1200" t="inlineStr">
        <is>
          <t>Daughter wanted to go on her own</t>
        </is>
      </c>
      <c r="D1200" t="inlineStr"/>
    </row>
    <row r="1201">
      <c r="A1201" t="inlineStr">
        <is>
          <t>No</t>
        </is>
      </c>
      <c r="B1201" t="inlineStr"/>
      <c r="C1201" t="inlineStr">
        <is>
          <t>Have other home responsibilities, child is fine traveling alone, want them to have their own experience</t>
        </is>
      </c>
      <c r="D1201" t="inlineStr"/>
    </row>
    <row r="1202">
      <c r="A1202" t="inlineStr">
        <is>
          <t>No</t>
        </is>
      </c>
      <c r="B1202" t="inlineStr"/>
      <c r="C1202" t="inlineStr">
        <is>
          <t>Prefer my child to have this experience without a parent present.</t>
        </is>
      </c>
      <c r="D1202" t="inlineStr"/>
    </row>
    <row r="1203">
      <c r="A1203" t="inlineStr">
        <is>
          <t>No</t>
        </is>
      </c>
      <c r="B1203" t="inlineStr"/>
      <c r="C1203" t="inlineStr">
        <is>
          <t>Cost</t>
        </is>
      </c>
      <c r="D1203" t="inlineStr"/>
    </row>
    <row r="1204">
      <c r="A1204" t="inlineStr">
        <is>
          <t>No</t>
        </is>
      </c>
      <c r="B1204" t="inlineStr"/>
      <c r="C1204" t="inlineStr">
        <is>
          <t>Cost, Time Commitment</t>
        </is>
      </c>
      <c r="D1204" t="inlineStr"/>
    </row>
    <row r="1205">
      <c r="A1205" t="inlineStr">
        <is>
          <t>Yes</t>
        </is>
      </c>
      <c r="B1205" t="inlineStr">
        <is>
          <t>Ensuring a spot for my son</t>
        </is>
      </c>
      <c r="C1205" t="inlineStr"/>
      <c r="D1205" t="inlineStr"/>
    </row>
    <row r="1206">
      <c r="A1206" t="inlineStr">
        <is>
          <t>No</t>
        </is>
      </c>
      <c r="B1206" t="inlineStr"/>
      <c r="C1206" t="inlineStr">
        <is>
          <t xml:space="preserve">I can’t afford it </t>
        </is>
      </c>
      <c r="D1206" t="inlineStr"/>
    </row>
    <row r="1207">
      <c r="A1207" t="inlineStr"/>
      <c r="B1207" t="inlineStr"/>
      <c r="C1207" t="inlineStr"/>
      <c r="D1207" t="inlineStr"/>
    </row>
    <row r="1208">
      <c r="A1208" t="inlineStr">
        <is>
          <t>No</t>
        </is>
      </c>
      <c r="B1208" t="inlineStr"/>
      <c r="C1208" t="inlineStr"/>
      <c r="D1208" t="inlineStr"/>
    </row>
    <row r="1209">
      <c r="A1209" t="inlineStr">
        <is>
          <t>No</t>
        </is>
      </c>
      <c r="B1209" t="inlineStr"/>
      <c r="C1209" t="inlineStr">
        <is>
          <t>Time</t>
        </is>
      </c>
      <c r="D1209" t="inlineStr"/>
    </row>
    <row r="1210">
      <c r="A1210" t="inlineStr">
        <is>
          <t>No</t>
        </is>
      </c>
      <c r="B1210" t="inlineStr"/>
      <c r="C1210" t="inlineStr">
        <is>
          <t>Too much time away from work.</t>
        </is>
      </c>
      <c r="D1210" t="inlineStr"/>
    </row>
    <row r="1211">
      <c r="A1211" t="inlineStr">
        <is>
          <t>No</t>
        </is>
      </c>
      <c r="B1211" t="inlineStr"/>
      <c r="C1211" t="inlineStr">
        <is>
          <t>Cost</t>
        </is>
      </c>
      <c r="D1211" t="inlineStr"/>
    </row>
    <row r="1212">
      <c r="A1212" t="inlineStr">
        <is>
          <t>No</t>
        </is>
      </c>
      <c r="B1212" t="inlineStr"/>
      <c r="C1212" t="inlineStr">
        <is>
          <t>Too many responsibilities and not enough money.</t>
        </is>
      </c>
      <c r="D1212" t="inlineStr"/>
    </row>
    <row r="1213">
      <c r="A1213" t="inlineStr">
        <is>
          <t>Maybe</t>
        </is>
      </c>
      <c r="B1213" t="inlineStr"/>
      <c r="C1213" t="inlineStr"/>
      <c r="D1213" t="inlineStr"/>
    </row>
    <row r="1214">
      <c r="A1214" t="inlineStr">
        <is>
          <t>No</t>
        </is>
      </c>
      <c r="B1214" t="inlineStr"/>
      <c r="C1214" t="inlineStr">
        <is>
          <t>I have 5 other kids and am too busy right now.</t>
        </is>
      </c>
      <c r="D1214" t="inlineStr"/>
    </row>
    <row r="1215">
      <c r="A1215" t="inlineStr">
        <is>
          <t>Yes</t>
        </is>
      </c>
      <c r="B1215" t="inlineStr">
        <is>
          <t>My husband has done this and had a wonderful experience.</t>
        </is>
      </c>
      <c r="C1215" t="inlineStr"/>
      <c r="D1215" t="inlineStr"/>
    </row>
    <row r="1216">
      <c r="A1216" t="inlineStr">
        <is>
          <t>Yes</t>
        </is>
      </c>
      <c r="B1216" t="inlineStr">
        <is>
          <t>The trip needed parent builders.  The idea to spend time with my kid</t>
        </is>
      </c>
      <c r="C1216" t="inlineStr"/>
      <c r="D1216" t="inlineStr"/>
    </row>
    <row r="1217">
      <c r="A1217" t="inlineStr">
        <is>
          <t>No</t>
        </is>
      </c>
      <c r="B1217" t="inlineStr"/>
      <c r="C1217" t="inlineStr">
        <is>
          <t>Don’t have the time</t>
        </is>
      </c>
      <c r="D1217" t="inlineStr"/>
    </row>
    <row r="1218">
      <c r="A1218" t="inlineStr">
        <is>
          <t>No</t>
        </is>
      </c>
      <c r="B1218" t="inlineStr"/>
      <c r="C1218" t="inlineStr">
        <is>
          <t>My other kids at home</t>
        </is>
      </c>
      <c r="D1218" t="inlineStr"/>
    </row>
    <row r="1219">
      <c r="A1219" t="inlineStr">
        <is>
          <t>No</t>
        </is>
      </c>
      <c r="B1219" t="inlineStr"/>
      <c r="C1219" t="inlineStr">
        <is>
          <t>want my child to have his own experience</t>
        </is>
      </c>
      <c r="D1219" t="inlineStr"/>
    </row>
    <row r="1220">
      <c r="A1220" t="inlineStr">
        <is>
          <t>No</t>
        </is>
      </c>
      <c r="B1220" t="inlineStr"/>
      <c r="C1220" t="inlineStr">
        <is>
          <t>I can’t leave my young family</t>
        </is>
      </c>
      <c r="D1220" t="inlineStr"/>
    </row>
    <row r="1221">
      <c r="A1221" t="inlineStr">
        <is>
          <t>No</t>
        </is>
      </c>
      <c r="B1221" t="inlineStr"/>
      <c r="C1221" t="inlineStr">
        <is>
          <t>My son told me he thought he would reach out more if I wasn't there. I would love to go in the future!</t>
        </is>
      </c>
      <c r="D1221" t="inlineStr"/>
    </row>
    <row r="1222">
      <c r="A1222" t="inlineStr"/>
      <c r="B1222" t="inlineStr"/>
      <c r="C1222" t="inlineStr"/>
      <c r="D1222" t="inlineStr"/>
    </row>
    <row r="1223">
      <c r="A1223" t="inlineStr">
        <is>
          <t>No</t>
        </is>
      </c>
      <c r="B1223" t="inlineStr"/>
      <c r="C1223" t="inlineStr">
        <is>
          <t>Kids at home, wanting our son to have an experience without us around</t>
        </is>
      </c>
      <c r="D1223" t="inlineStr"/>
    </row>
    <row r="1224">
      <c r="A1224" t="inlineStr">
        <is>
          <t>No</t>
        </is>
      </c>
      <c r="B1224" t="inlineStr"/>
      <c r="C1224" t="inlineStr">
        <is>
          <t>This year is was money and time. I went two years ago and loved it!</t>
        </is>
      </c>
      <c r="D1224" t="inlineStr"/>
    </row>
    <row r="1225">
      <c r="A1225" t="inlineStr">
        <is>
          <t>No</t>
        </is>
      </c>
      <c r="B1225" t="inlineStr"/>
      <c r="C1225" t="inlineStr">
        <is>
          <t>Can’t afford it</t>
        </is>
      </c>
      <c r="D1225" t="inlineStr"/>
    </row>
    <row r="1226">
      <c r="A1226" t="inlineStr">
        <is>
          <t>No</t>
        </is>
      </c>
      <c r="B1226" t="inlineStr"/>
      <c r="C1226" t="inlineStr">
        <is>
          <t>No availability</t>
        </is>
      </c>
      <c r="D1226" t="inlineStr"/>
    </row>
    <row r="1227">
      <c r="A1227" t="inlineStr"/>
      <c r="B1227" t="inlineStr"/>
      <c r="C1227" t="inlineStr"/>
      <c r="D1227" t="inlineStr"/>
    </row>
    <row r="1228">
      <c r="A1228" t="inlineStr">
        <is>
          <t>No</t>
        </is>
      </c>
      <c r="B1228" t="inlineStr"/>
      <c r="C1228" t="inlineStr">
        <is>
          <t>Want daughter to have her own experience.</t>
        </is>
      </c>
      <c r="D1228" t="inlineStr"/>
    </row>
    <row r="1229">
      <c r="A1229" t="inlineStr">
        <is>
          <t>No</t>
        </is>
      </c>
      <c r="B1229" t="inlineStr"/>
      <c r="C1229" t="inlineStr">
        <is>
          <t xml:space="preserve">I went 2 years ago </t>
        </is>
      </c>
      <c r="D1229" t="inlineStr"/>
    </row>
    <row r="1230">
      <c r="A1230" t="inlineStr">
        <is>
          <t>No</t>
        </is>
      </c>
      <c r="B1230" t="inlineStr"/>
      <c r="C1230" t="inlineStr">
        <is>
          <t>Cost</t>
        </is>
      </c>
      <c r="D1230" t="inlineStr"/>
    </row>
    <row r="1231">
      <c r="A1231" t="inlineStr">
        <is>
          <t>No</t>
        </is>
      </c>
      <c r="B1231" t="inlineStr"/>
      <c r="C1231" t="inlineStr">
        <is>
          <t>Cost</t>
        </is>
      </c>
      <c r="D1231" t="inlineStr"/>
    </row>
    <row r="1232">
      <c r="A1232" t="inlineStr">
        <is>
          <t>No</t>
        </is>
      </c>
      <c r="B1232" t="inlineStr"/>
      <c r="C1232" t="inlineStr">
        <is>
          <t>My daughter would not want me there and I'm not sure I would be good at it.</t>
        </is>
      </c>
      <c r="D1232" t="inlineStr"/>
    </row>
    <row r="1233">
      <c r="A1233" t="inlineStr">
        <is>
          <t>No</t>
        </is>
      </c>
      <c r="B1233" t="inlineStr"/>
      <c r="C1233" t="inlineStr">
        <is>
          <t>Cost and other kids at home</t>
        </is>
      </c>
      <c r="D1233" t="inlineStr"/>
    </row>
    <row r="1234">
      <c r="A1234" t="inlineStr">
        <is>
          <t>No</t>
        </is>
      </c>
      <c r="B1234" t="inlineStr"/>
      <c r="C1234" t="inlineStr">
        <is>
          <t>Work and home responsibilities</t>
        </is>
      </c>
      <c r="D1234" t="inlineStr"/>
    </row>
    <row r="1235">
      <c r="A1235" t="inlineStr"/>
      <c r="B1235" t="inlineStr"/>
      <c r="C1235" t="inlineStr"/>
      <c r="D1235" t="inlineStr"/>
    </row>
    <row r="1236">
      <c r="A1236" t="inlineStr">
        <is>
          <t>No</t>
        </is>
      </c>
      <c r="B1236" t="inlineStr"/>
      <c r="C1236" t="inlineStr"/>
      <c r="D1236" t="inlineStr"/>
    </row>
    <row r="1237">
      <c r="A1237" t="inlineStr">
        <is>
          <t>No</t>
        </is>
      </c>
      <c r="B1237" t="inlineStr"/>
      <c r="C1237" t="inlineStr">
        <is>
          <t xml:space="preserve">Cost and I want me child to have an individual experience without me. </t>
        </is>
      </c>
      <c r="D1237" t="inlineStr"/>
    </row>
    <row r="1238">
      <c r="A1238" t="inlineStr">
        <is>
          <t>No</t>
        </is>
      </c>
      <c r="B1238" t="inlineStr"/>
      <c r="C1238" t="inlineStr">
        <is>
          <t>Price</t>
        </is>
      </c>
      <c r="D1238" t="inlineStr"/>
    </row>
    <row r="1239">
      <c r="A1239" t="inlineStr">
        <is>
          <t>Maybe</t>
        </is>
      </c>
      <c r="B1239" t="inlineStr"/>
      <c r="C1239" t="inlineStr"/>
      <c r="D1239" t="inlineStr">
        <is>
          <t xml:space="preserve">I tried to be a parent builder when we signed up but there was a mess up in the process and all our choices were gone. So I figured it wasn’t meant to be this time. </t>
        </is>
      </c>
    </row>
    <row r="1240">
      <c r="A1240" t="inlineStr">
        <is>
          <t>No</t>
        </is>
      </c>
      <c r="B1240" t="inlineStr"/>
      <c r="C1240" t="inlineStr">
        <is>
          <t>Husband is going</t>
        </is>
      </c>
      <c r="D1240" t="inlineStr"/>
    </row>
    <row r="1241">
      <c r="A1241" t="inlineStr">
        <is>
          <t>No</t>
        </is>
      </c>
      <c r="B1241" t="inlineStr"/>
      <c r="C1241" t="inlineStr">
        <is>
          <t xml:space="preserve">Want my kid to be independent </t>
        </is>
      </c>
      <c r="D1241" t="inlineStr"/>
    </row>
    <row r="1242">
      <c r="A1242" t="inlineStr">
        <is>
          <t>No</t>
        </is>
      </c>
      <c r="B1242" t="inlineStr"/>
      <c r="C1242" t="inlineStr">
        <is>
          <t>Letting my kids experience something on their own.</t>
        </is>
      </c>
      <c r="D1242" t="inlineStr"/>
    </row>
    <row r="1243">
      <c r="A1243" t="inlineStr">
        <is>
          <t>No</t>
        </is>
      </c>
      <c r="B1243" t="inlineStr"/>
      <c r="C1243" t="inlineStr">
        <is>
          <t xml:space="preserve">Time and money </t>
        </is>
      </c>
      <c r="D1243" t="inlineStr"/>
    </row>
    <row r="1244">
      <c r="A1244" t="inlineStr">
        <is>
          <t>No</t>
        </is>
      </c>
      <c r="B1244" t="inlineStr"/>
      <c r="C1244" t="inlineStr"/>
      <c r="D1244" t="inlineStr"/>
    </row>
    <row r="1245">
      <c r="A1245" t="inlineStr">
        <is>
          <t>Yes</t>
        </is>
      </c>
      <c r="B1245" t="inlineStr">
        <is>
          <t>I love the opportunity to serve people and see new places</t>
        </is>
      </c>
      <c r="C1245" t="inlineStr"/>
      <c r="D1245" t="inlineStr"/>
    </row>
    <row r="1246">
      <c r="A1246" t="inlineStr">
        <is>
          <t>No</t>
        </is>
      </c>
      <c r="B1246" t="inlineStr"/>
      <c r="C1246" t="inlineStr"/>
      <c r="D1246" t="inlineStr"/>
    </row>
    <row r="1247">
      <c r="A1247" t="inlineStr"/>
      <c r="B1247" t="inlineStr"/>
      <c r="C1247" t="inlineStr"/>
      <c r="D1247" t="inlineStr"/>
    </row>
    <row r="1248">
      <c r="A1248" t="inlineStr"/>
      <c r="B1248" t="inlineStr"/>
      <c r="C1248" t="inlineStr"/>
      <c r="D1248" t="inlineStr"/>
    </row>
    <row r="1249">
      <c r="A1249" t="inlineStr">
        <is>
          <t>No</t>
        </is>
      </c>
      <c r="B1249" t="inlineStr"/>
      <c r="C1249" t="inlineStr">
        <is>
          <t>My daughter wanted to go alone</t>
        </is>
      </c>
      <c r="D1249" t="inlineStr"/>
    </row>
    <row r="1250">
      <c r="A1250" t="inlineStr">
        <is>
          <t>No</t>
        </is>
      </c>
      <c r="B1250" t="inlineStr"/>
      <c r="C1250" t="inlineStr">
        <is>
          <t>cost and time</t>
        </is>
      </c>
      <c r="D1250" t="inlineStr"/>
    </row>
    <row r="1251">
      <c r="A1251" t="inlineStr">
        <is>
          <t>No</t>
        </is>
      </c>
      <c r="B1251" t="inlineStr"/>
      <c r="C1251" t="inlineStr">
        <is>
          <t>$$$$$</t>
        </is>
      </c>
      <c r="D1251" t="inlineStr"/>
    </row>
    <row r="1252">
      <c r="A1252" t="inlineStr">
        <is>
          <t>No</t>
        </is>
      </c>
      <c r="B1252" t="inlineStr"/>
      <c r="C1252" t="inlineStr">
        <is>
          <t>Cost and I want my younger child to go next</t>
        </is>
      </c>
      <c r="D1252" t="inlineStr"/>
    </row>
    <row r="1253">
      <c r="A1253" t="inlineStr">
        <is>
          <t>No</t>
        </is>
      </c>
      <c r="B1253" t="inlineStr"/>
      <c r="C1253" t="inlineStr">
        <is>
          <t>Time, want my builder to have her own experience</t>
        </is>
      </c>
      <c r="D1253" t="inlineStr"/>
    </row>
    <row r="1254">
      <c r="A1254" t="inlineStr">
        <is>
          <t>No</t>
        </is>
      </c>
      <c r="B1254" t="inlineStr"/>
      <c r="C1254" t="inlineStr">
        <is>
          <t>Money</t>
        </is>
      </c>
      <c r="D1254" t="inlineStr"/>
    </row>
    <row r="1255">
      <c r="A1255" t="inlineStr">
        <is>
          <t>No</t>
        </is>
      </c>
      <c r="B1255" t="inlineStr"/>
      <c r="C1255" t="inlineStr">
        <is>
          <t xml:space="preserve">Price </t>
        </is>
      </c>
      <c r="D1255" t="inlineStr"/>
    </row>
    <row r="1256">
      <c r="A1256" t="inlineStr">
        <is>
          <t>No</t>
        </is>
      </c>
      <c r="B1256" t="inlineStr"/>
      <c r="C1256" t="inlineStr">
        <is>
          <t>Not interested</t>
        </is>
      </c>
      <c r="D1256" t="inlineStr"/>
    </row>
    <row r="1257">
      <c r="A1257" t="inlineStr">
        <is>
          <t>Maybe</t>
        </is>
      </c>
      <c r="B1257" t="inlineStr"/>
      <c r="C1257" t="inlineStr"/>
      <c r="D1257" t="inlineStr">
        <is>
          <t xml:space="preserve">Having more time to go. We had a super busy summer this year. </t>
        </is>
      </c>
    </row>
    <row r="1258">
      <c r="A1258" t="inlineStr">
        <is>
          <t>No</t>
        </is>
      </c>
      <c r="B1258" t="inlineStr"/>
      <c r="C1258" t="inlineStr">
        <is>
          <t xml:space="preserve">I have other kids at home. </t>
        </is>
      </c>
      <c r="D1258" t="inlineStr"/>
    </row>
    <row r="1259">
      <c r="A1259" t="inlineStr">
        <is>
          <t>Yes</t>
        </is>
      </c>
      <c r="B1259" t="inlineStr">
        <is>
          <t>son</t>
        </is>
      </c>
      <c r="C1259" t="inlineStr"/>
      <c r="D1259" t="inlineStr"/>
    </row>
    <row r="1260">
      <c r="A1260" t="inlineStr"/>
      <c r="B1260" t="inlineStr"/>
      <c r="C1260" t="inlineStr"/>
      <c r="D1260" t="inlineStr"/>
    </row>
    <row r="1261">
      <c r="A1261" t="inlineStr"/>
      <c r="B1261" t="inlineStr"/>
      <c r="C1261" t="inlineStr"/>
      <c r="D1261" t="inlineStr"/>
    </row>
    <row r="1262">
      <c r="A1262" t="inlineStr">
        <is>
          <t>No</t>
        </is>
      </c>
      <c r="B1262" t="inlineStr"/>
      <c r="C1262" t="inlineStr">
        <is>
          <t>Cost</t>
        </is>
      </c>
      <c r="D1262" t="inlineStr"/>
    </row>
    <row r="1263">
      <c r="A1263" t="inlineStr">
        <is>
          <t>Yes</t>
        </is>
      </c>
      <c r="B1263" t="inlineStr">
        <is>
          <t xml:space="preserve">Late to sign my son up so it was necessary. </t>
        </is>
      </c>
      <c r="C1263" t="inlineStr"/>
      <c r="D1263" t="inlineStr"/>
    </row>
    <row r="1264">
      <c r="A1264" t="inlineStr">
        <is>
          <t>No</t>
        </is>
      </c>
      <c r="B1264" t="inlineStr"/>
      <c r="C1264" t="inlineStr">
        <is>
          <t xml:space="preserve">We wanted our son to have the experience on his own. He is great and will be so much fun on the trip and we wanted to have him have something of his own.  </t>
        </is>
      </c>
      <c r="D1264" t="inlineStr"/>
    </row>
    <row r="1265">
      <c r="A1265" t="inlineStr">
        <is>
          <t>Yes</t>
        </is>
      </c>
      <c r="B1265" t="inlineStr">
        <is>
          <t>Wanted to do something with my daughter</t>
        </is>
      </c>
      <c r="C1265" t="inlineStr"/>
      <c r="D1265" t="inlineStr"/>
    </row>
    <row r="1266">
      <c r="A1266" t="inlineStr">
        <is>
          <t>Yes</t>
        </is>
      </c>
      <c r="B1266" t="inlineStr">
        <is>
          <t>My daughter really wanted me to go.</t>
        </is>
      </c>
      <c r="C1266" t="inlineStr"/>
      <c r="D1266" t="inlineStr"/>
    </row>
    <row r="1267">
      <c r="A1267" t="inlineStr">
        <is>
          <t>No</t>
        </is>
      </c>
      <c r="B1267" t="inlineStr"/>
      <c r="C1267" t="inlineStr">
        <is>
          <t>Does not work for my life situation at this time</t>
        </is>
      </c>
      <c r="D1267" t="inlineStr"/>
    </row>
    <row r="1268">
      <c r="A1268" t="inlineStr">
        <is>
          <t>No</t>
        </is>
      </c>
      <c r="B1268" t="inlineStr"/>
      <c r="C1268" t="inlineStr">
        <is>
          <t>Space</t>
        </is>
      </c>
      <c r="D1268" t="inlineStr"/>
    </row>
    <row r="1269">
      <c r="A1269" t="inlineStr">
        <is>
          <t>No</t>
        </is>
      </c>
      <c r="B1269" t="inlineStr"/>
      <c r="C1269" t="inlineStr">
        <is>
          <t>My daughter’s preference to have her own experience.</t>
        </is>
      </c>
      <c r="D1269" t="inlineStr"/>
    </row>
    <row r="1270">
      <c r="A1270" t="inlineStr">
        <is>
          <t>Yes</t>
        </is>
      </c>
      <c r="B1270" t="inlineStr">
        <is>
          <t>I have done 2 other humanitarian trips with another organization and my other daughters. I was excited to be apart of another one with my daughter Esmee</t>
        </is>
      </c>
      <c r="C1270" t="inlineStr"/>
      <c r="D1270" t="inlineStr"/>
    </row>
    <row r="1271">
      <c r="A1271" t="inlineStr">
        <is>
          <t>Maybe</t>
        </is>
      </c>
      <c r="B1271" t="inlineStr"/>
      <c r="C1271" t="inlineStr"/>
      <c r="D1271" t="inlineStr">
        <is>
          <t>I would love to go, but I would rather made sure there is money for one of my kids to go</t>
        </is>
      </c>
    </row>
    <row r="1272">
      <c r="A1272" t="inlineStr">
        <is>
          <t>No</t>
        </is>
      </c>
      <c r="B1272" t="inlineStr"/>
      <c r="C1272" t="inlineStr">
        <is>
          <t>Child didn't want me to go.</t>
        </is>
      </c>
      <c r="D1272" t="inlineStr"/>
    </row>
    <row r="1273">
      <c r="A1273" t="inlineStr">
        <is>
          <t>No</t>
        </is>
      </c>
      <c r="B1273" t="inlineStr"/>
      <c r="C1273" t="inlineStr">
        <is>
          <t>Time away from younger kids</t>
        </is>
      </c>
      <c r="D1273" t="inlineStr"/>
    </row>
    <row r="1274">
      <c r="A1274" t="inlineStr">
        <is>
          <t>No</t>
        </is>
      </c>
      <c r="B1274" t="inlineStr"/>
      <c r="C1274" t="inlineStr">
        <is>
          <t>Couldn’t leave family for that long again. I might come next year.</t>
        </is>
      </c>
      <c r="D1274" t="inlineStr"/>
    </row>
    <row r="1275">
      <c r="A1275" t="inlineStr">
        <is>
          <t>No</t>
        </is>
      </c>
      <c r="B1275" t="inlineStr"/>
      <c r="C1275" t="inlineStr">
        <is>
          <t>Younger kids at home</t>
        </is>
      </c>
      <c r="D1275" t="inlineStr"/>
    </row>
    <row r="1276">
      <c r="A1276" t="inlineStr">
        <is>
          <t>No</t>
        </is>
      </c>
      <c r="B1276" t="inlineStr"/>
      <c r="C1276" t="inlineStr">
        <is>
          <t>My daughter wanted to go on her own</t>
        </is>
      </c>
      <c r="D1276" t="inlineStr"/>
    </row>
    <row r="1277">
      <c r="A1277" t="inlineStr">
        <is>
          <t>No</t>
        </is>
      </c>
      <c r="B1277" t="inlineStr"/>
      <c r="C1277" t="inlineStr">
        <is>
          <t>work</t>
        </is>
      </c>
      <c r="D1277" t="inlineStr"/>
    </row>
    <row r="1278">
      <c r="A1278" t="inlineStr">
        <is>
          <t>No</t>
        </is>
      </c>
      <c r="B1278" t="inlineStr"/>
      <c r="C1278" t="inlineStr"/>
      <c r="D1278" t="inlineStr"/>
    </row>
    <row r="1279">
      <c r="A1279" t="inlineStr"/>
      <c r="B1279" t="inlineStr"/>
      <c r="C1279" t="inlineStr"/>
      <c r="D1279" t="inlineStr"/>
    </row>
    <row r="1280">
      <c r="A1280" t="inlineStr">
        <is>
          <t>No</t>
        </is>
      </c>
      <c r="B1280" t="inlineStr"/>
      <c r="C1280" t="inlineStr">
        <is>
          <t xml:space="preserve">Unable to take time off work. </t>
        </is>
      </c>
      <c r="D1280" t="inlineStr"/>
    </row>
    <row r="1281">
      <c r="A1281" t="inlineStr"/>
      <c r="B1281" t="inlineStr"/>
      <c r="C1281" t="inlineStr"/>
      <c r="D1281" t="inlineStr"/>
    </row>
    <row r="1282">
      <c r="A1282" t="inlineStr">
        <is>
          <t>No</t>
        </is>
      </c>
      <c r="B1282" t="inlineStr"/>
      <c r="C1282" t="inlineStr"/>
      <c r="D1282" t="inlineStr"/>
    </row>
    <row r="1283">
      <c r="A1283" t="inlineStr">
        <is>
          <t>No</t>
        </is>
      </c>
      <c r="B1283" t="inlineStr"/>
      <c r="C1283" t="inlineStr"/>
      <c r="D1283" t="inlineStr"/>
    </row>
    <row r="1284">
      <c r="A1284" t="inlineStr"/>
      <c r="B1284" t="inlineStr"/>
      <c r="C1284" t="inlineStr"/>
      <c r="D1284" t="inlineStr"/>
    </row>
    <row r="1285">
      <c r="A1285" t="inlineStr"/>
      <c r="B1285" t="inlineStr"/>
      <c r="C1285" t="inlineStr"/>
      <c r="D1285" t="inlineStr"/>
    </row>
    <row r="1286">
      <c r="A1286" t="inlineStr">
        <is>
          <t>No</t>
        </is>
      </c>
      <c r="B1286" t="inlineStr"/>
      <c r="C1286" t="inlineStr">
        <is>
          <t xml:space="preserve">Wife went last year. Was great! Sometimes point of trip is for kids go experience new. </t>
        </is>
      </c>
      <c r="D1286" t="inlineStr"/>
    </row>
    <row r="1287">
      <c r="A1287" t="inlineStr"/>
      <c r="B1287" t="inlineStr"/>
      <c r="C1287" t="inlineStr"/>
      <c r="D1287" t="inlineStr"/>
    </row>
    <row r="1288">
      <c r="A1288" t="inlineStr"/>
      <c r="B1288" t="inlineStr"/>
      <c r="C1288" t="inlineStr"/>
      <c r="D1288" t="inlineStr"/>
    </row>
    <row r="1289">
      <c r="A1289" t="inlineStr">
        <is>
          <t>No</t>
        </is>
      </c>
      <c r="B1289" t="inlineStr"/>
      <c r="C1289" t="inlineStr">
        <is>
          <t xml:space="preserve">Money </t>
        </is>
      </c>
      <c r="D1289" t="inlineStr"/>
    </row>
    <row r="1290">
      <c r="A1290" t="inlineStr"/>
      <c r="B1290" t="inlineStr"/>
      <c r="C1290" t="inlineStr"/>
      <c r="D1290" t="inlineStr"/>
    </row>
    <row r="1291">
      <c r="A1291" t="inlineStr"/>
      <c r="B1291" t="inlineStr"/>
      <c r="C1291" t="inlineStr"/>
      <c r="D1291" t="inlineStr"/>
    </row>
    <row r="1292">
      <c r="A1292" t="inlineStr">
        <is>
          <t>No</t>
        </is>
      </c>
      <c r="B1292" t="inlineStr"/>
      <c r="C1292" t="inlineStr"/>
      <c r="D1292" t="inlineStr"/>
    </row>
    <row r="1293">
      <c r="A1293" t="inlineStr">
        <is>
          <t>No</t>
        </is>
      </c>
      <c r="B1293" t="inlineStr"/>
      <c r="C1293" t="inlineStr"/>
      <c r="D1293" t="inlineStr"/>
    </row>
    <row r="1294">
      <c r="A1294" t="inlineStr"/>
      <c r="B1294" t="inlineStr"/>
      <c r="C1294" t="inlineStr"/>
      <c r="D1294" t="inlineStr"/>
    </row>
    <row r="1295">
      <c r="A1295" t="inlineStr">
        <is>
          <t>No</t>
        </is>
      </c>
      <c r="B1295" t="inlineStr"/>
      <c r="C1295" t="inlineStr"/>
      <c r="D1295" t="inlineStr"/>
    </row>
    <row r="1296">
      <c r="A1296" t="inlineStr">
        <is>
          <t>No</t>
        </is>
      </c>
      <c r="B1296" t="inlineStr"/>
      <c r="C1296" t="inlineStr"/>
      <c r="D1296" t="inlineStr"/>
    </row>
    <row r="1297">
      <c r="A1297" t="inlineStr"/>
      <c r="B1297" t="inlineStr"/>
      <c r="C1297" t="inlineStr"/>
      <c r="D1297" t="inlineStr"/>
    </row>
    <row r="1298">
      <c r="A1298" t="inlineStr"/>
      <c r="B1298" t="inlineStr"/>
      <c r="C1298" t="inlineStr"/>
      <c r="D1298" t="inlineStr"/>
    </row>
    <row r="1299">
      <c r="A1299" t="inlineStr">
        <is>
          <t>No</t>
        </is>
      </c>
      <c r="B1299" t="inlineStr"/>
      <c r="C1299" t="inlineStr"/>
      <c r="D1299" t="inlineStr"/>
    </row>
    <row r="1300">
      <c r="A1300" t="inlineStr">
        <is>
          <t>No</t>
        </is>
      </c>
      <c r="B1300" t="inlineStr"/>
      <c r="C1300" t="inlineStr">
        <is>
          <t>time away from work</t>
        </is>
      </c>
      <c r="D1300" t="inlineStr"/>
    </row>
    <row r="1301">
      <c r="A1301" t="inlineStr">
        <is>
          <t>No</t>
        </is>
      </c>
      <c r="B1301" t="inlineStr"/>
      <c r="C1301" t="inlineStr"/>
      <c r="D1301" t="inlineStr"/>
    </row>
    <row r="1302">
      <c r="A1302" t="inlineStr">
        <is>
          <t>No</t>
        </is>
      </c>
      <c r="B1302" t="inlineStr"/>
      <c r="C1302" t="inlineStr">
        <is>
          <t>Finances</t>
        </is>
      </c>
      <c r="D1302" t="inlineStr"/>
    </row>
    <row r="1303">
      <c r="A1303" t="inlineStr">
        <is>
          <t>No</t>
        </is>
      </c>
      <c r="B1303" t="inlineStr"/>
      <c r="C1303" t="inlineStr"/>
      <c r="D1303" t="inlineStr"/>
    </row>
    <row r="1304">
      <c r="A1304" t="inlineStr">
        <is>
          <t>No</t>
        </is>
      </c>
      <c r="B1304" t="inlineStr"/>
      <c r="C1304" t="inlineStr">
        <is>
          <t>My child said absolutely no, I was not welcome with him.</t>
        </is>
      </c>
      <c r="D1304" t="inlineStr"/>
    </row>
    <row r="1305">
      <c r="A1305" t="inlineStr"/>
      <c r="B1305" t="inlineStr"/>
      <c r="C1305" t="inlineStr"/>
      <c r="D1305" t="inlineStr"/>
    </row>
    <row r="1306">
      <c r="A1306" t="inlineStr">
        <is>
          <t>No</t>
        </is>
      </c>
      <c r="B1306" t="inlineStr"/>
      <c r="C1306" t="inlineStr"/>
      <c r="D1306" t="inlineStr"/>
    </row>
    <row r="1307">
      <c r="A1307" t="inlineStr"/>
      <c r="B1307" t="inlineStr"/>
      <c r="C1307" t="inlineStr"/>
      <c r="D1307" t="inlineStr"/>
    </row>
    <row r="1308">
      <c r="A1308" t="inlineStr">
        <is>
          <t>No</t>
        </is>
      </c>
      <c r="B1308" t="inlineStr"/>
      <c r="C1308" t="inlineStr">
        <is>
          <t>I felt my child would have a better exp without a parent there</t>
        </is>
      </c>
      <c r="D1308" t="inlineStr"/>
    </row>
    <row r="1309">
      <c r="A1309" t="inlineStr">
        <is>
          <t>No</t>
        </is>
      </c>
      <c r="B1309" t="inlineStr"/>
      <c r="C1309" t="inlineStr">
        <is>
          <t>Money</t>
        </is>
      </c>
      <c r="D1309" t="inlineStr"/>
    </row>
    <row r="1310">
      <c r="A1310" t="inlineStr"/>
      <c r="B1310" t="inlineStr"/>
      <c r="C1310" t="inlineStr"/>
      <c r="D1310" t="inlineStr"/>
    </row>
    <row r="1311">
      <c r="A1311" t="inlineStr"/>
      <c r="B1311" t="inlineStr"/>
      <c r="C1311" t="inlineStr"/>
      <c r="D1311" t="inlineStr"/>
    </row>
    <row r="1312">
      <c r="A1312" t="inlineStr"/>
      <c r="B1312" t="inlineStr"/>
      <c r="C1312" t="inlineStr"/>
      <c r="D1312" t="inlineStr"/>
    </row>
    <row r="1313">
      <c r="A1313" t="inlineStr"/>
      <c r="B1313" t="inlineStr"/>
      <c r="C1313" t="inlineStr"/>
      <c r="D1313" t="inlineStr"/>
    </row>
    <row r="1314">
      <c r="A1314" t="inlineStr"/>
      <c r="B1314" t="inlineStr"/>
      <c r="C1314" t="inlineStr"/>
      <c r="D1314" t="inlineStr"/>
    </row>
    <row r="1315">
      <c r="A1315" t="inlineStr">
        <is>
          <t>No</t>
        </is>
      </c>
      <c r="B1315" t="inlineStr"/>
      <c r="C1315" t="inlineStr">
        <is>
          <t xml:space="preserve">Can’t take time from work. </t>
        </is>
      </c>
      <c r="D1315" t="inlineStr"/>
    </row>
    <row r="1316">
      <c r="A1316" t="inlineStr">
        <is>
          <t>Maybe</t>
        </is>
      </c>
      <c r="B1316" t="inlineStr"/>
      <c r="C1316" t="inlineStr"/>
      <c r="D1316" t="inlineStr">
        <is>
          <t>Cost</t>
        </is>
      </c>
    </row>
  </sheetData>
  <autoFilter ref="A1:D131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190"/>
  <sheetViews>
    <sheetView workbookViewId="0">
      <pane ySplit="1" topLeftCell="A2" activePane="bottomLeft" state="frozen"/>
      <selection pane="bottomLeft" activeCell="A1" sqref="A1"/>
    </sheetView>
  </sheetViews>
  <sheetFormatPr baseColWidth="8" defaultRowHeight="15"/>
  <cols>
    <col width="10" customWidth="1" min="1" max="1"/>
    <col width="40" customWidth="1" min="2" max="2"/>
    <col width="30" customWidth="1" min="3" max="3"/>
    <col width="35" customWidth="1" min="4" max="4"/>
    <col width="40" customWidth="1" min="5" max="5"/>
    <col width="30" customWidth="1" min="6" max="6"/>
    <col width="35" customWidth="1" min="7" max="7"/>
    <col width="40" customWidth="1" min="8" max="8"/>
  </cols>
  <sheetData>
    <row r="1">
      <c r="A1" s="13" t="inlineStr">
        <is>
          <t>Status</t>
        </is>
      </c>
      <c r="B1" s="13" t="inlineStr">
        <is>
          <t>Reason To Go</t>
        </is>
      </c>
      <c r="C1" s="13" t="inlineStr">
        <is>
          <t>Reason To Go - Category</t>
        </is>
      </c>
      <c r="D1" s="13" t="inlineStr">
        <is>
          <t>Reason To Go - All Tags</t>
        </is>
      </c>
      <c r="E1" s="13" t="inlineStr">
        <is>
          <t>Reason Not To Go</t>
        </is>
      </c>
      <c r="F1" s="13" t="inlineStr">
        <is>
          <t>Reason Not To Go - Category</t>
        </is>
      </c>
      <c r="G1" s="13" t="inlineStr">
        <is>
          <t>Reason Not To Go - All Tags</t>
        </is>
      </c>
      <c r="H1" s="13" t="inlineStr">
        <is>
          <t>What Would Help</t>
        </is>
      </c>
    </row>
    <row r="2">
      <c r="A2" t="inlineStr">
        <is>
          <t>No</t>
        </is>
      </c>
      <c r="B2" t="inlineStr"/>
      <c r="C2" t="inlineStr"/>
      <c r="D2" t="inlineStr"/>
      <c r="E2" t="inlineStr">
        <is>
          <t>Good for my son to go without me.</t>
        </is>
      </c>
      <c r="F2" t="inlineStr">
        <is>
          <t>Wants Child to Have Independent Experience</t>
        </is>
      </c>
      <c r="G2" t="inlineStr">
        <is>
          <t>Wants Child to Have Independent Experience</t>
        </is>
      </c>
      <c r="H2" t="inlineStr"/>
    </row>
    <row r="3">
      <c r="A3" t="inlineStr">
        <is>
          <t>No</t>
        </is>
      </c>
      <c r="B3" t="inlineStr"/>
      <c r="C3" t="inlineStr"/>
      <c r="D3" t="inlineStr"/>
      <c r="E3" t="inlineStr">
        <is>
          <t>Confidence in my kid</t>
        </is>
      </c>
      <c r="F3" t="inlineStr">
        <is>
          <t>Wants Child to Have Independent Experience</t>
        </is>
      </c>
      <c r="G3" t="inlineStr">
        <is>
          <t>Wants Child to Have Independent Experience</t>
        </is>
      </c>
      <c r="H3" t="inlineStr"/>
    </row>
    <row r="4">
      <c r="A4" t="inlineStr">
        <is>
          <t>No</t>
        </is>
      </c>
      <c r="B4" t="inlineStr"/>
      <c r="C4" t="inlineStr"/>
      <c r="D4" t="inlineStr"/>
      <c r="E4" t="inlineStr">
        <is>
          <t>Not needed</t>
        </is>
      </c>
      <c r="F4" t="inlineStr">
        <is>
          <t>Not Needed</t>
        </is>
      </c>
      <c r="G4" t="inlineStr">
        <is>
          <t>Not Needed</t>
        </is>
      </c>
      <c r="H4" t="inlineStr"/>
    </row>
    <row r="5">
      <c r="A5" t="inlineStr">
        <is>
          <t>No</t>
        </is>
      </c>
      <c r="B5" t="inlineStr"/>
      <c r="C5" t="inlineStr"/>
      <c r="D5" t="inlineStr"/>
      <c r="E5" t="inlineStr">
        <is>
          <t>I still have younger children to save for.</t>
        </is>
      </c>
      <c r="F5" t="inlineStr">
        <is>
          <t>Other Kids / Family at Home</t>
        </is>
      </c>
      <c r="G5" t="inlineStr">
        <is>
          <t>Other Kids / Family at Home</t>
        </is>
      </c>
      <c r="H5" t="inlineStr"/>
    </row>
    <row r="6">
      <c r="A6" t="inlineStr">
        <is>
          <t>No</t>
        </is>
      </c>
      <c r="B6" t="inlineStr"/>
      <c r="C6" t="inlineStr"/>
      <c r="D6" t="inlineStr"/>
      <c r="E6" t="inlineStr">
        <is>
          <t>I think it is better for him</t>
        </is>
      </c>
      <c r="F6" t="inlineStr">
        <is>
          <t>Wants Child to Have Independent Experience</t>
        </is>
      </c>
      <c r="G6" t="inlineStr">
        <is>
          <t>Wants Child to Have Independent Experience</t>
        </is>
      </c>
      <c r="H6" t="inlineStr"/>
    </row>
    <row r="7">
      <c r="A7" t="inlineStr">
        <is>
          <t>No</t>
        </is>
      </c>
      <c r="B7" t="inlineStr"/>
      <c r="C7" t="inlineStr"/>
      <c r="D7" t="inlineStr"/>
      <c r="E7" t="inlineStr">
        <is>
          <t>Want my son to have his own experience</t>
        </is>
      </c>
      <c r="F7" t="inlineStr">
        <is>
          <t>Wants Child to Have Independent Experience</t>
        </is>
      </c>
      <c r="G7" t="inlineStr">
        <is>
          <t>Wants Child to Have Independent Experience</t>
        </is>
      </c>
      <c r="H7" t="inlineStr"/>
    </row>
    <row r="8">
      <c r="A8" t="inlineStr">
        <is>
          <t>Yes</t>
        </is>
      </c>
      <c r="B8" t="inlineStr">
        <is>
          <t>I love teenagers, people in other cultures, and I love travel.</t>
        </is>
      </c>
      <c r="C8" t="inlineStr">
        <is>
          <t>Love of Travel / Culture</t>
        </is>
      </c>
      <c r="D8" t="inlineStr">
        <is>
          <t>Love of Travel / Culture</t>
        </is>
      </c>
      <c r="E8" t="inlineStr"/>
      <c r="F8" t="inlineStr"/>
      <c r="G8" t="inlineStr"/>
      <c r="H8" t="inlineStr"/>
    </row>
    <row r="9">
      <c r="A9" t="inlineStr">
        <is>
          <t>Yes</t>
        </is>
      </c>
      <c r="B9" t="inlineStr">
        <is>
          <t>My husband wanted someone to go with our daughter, but I also wanted to experience this piece of heaven. I love teenagers!</t>
        </is>
      </c>
      <c r="C9" t="inlineStr">
        <is>
          <t>Wanted Shared Experience with Child</t>
        </is>
      </c>
      <c r="D9" t="inlineStr">
        <is>
          <t>Wanted Shared Experience with Child</t>
        </is>
      </c>
      <c r="E9" t="inlineStr"/>
      <c r="F9" t="inlineStr"/>
      <c r="G9" t="inlineStr"/>
      <c r="H9" t="inlineStr"/>
    </row>
    <row r="10">
      <c r="A10" t="inlineStr">
        <is>
          <t>No</t>
        </is>
      </c>
      <c r="B10" t="inlineStr"/>
      <c r="C10" t="inlineStr"/>
      <c r="D10" t="inlineStr"/>
      <c r="E10" t="inlineStr">
        <is>
          <t>The cost. Would have loved to go as a parent but it just wasn't in our budget</t>
        </is>
      </c>
      <c r="F10" t="inlineStr">
        <is>
          <t>Cost / Finances</t>
        </is>
      </c>
      <c r="G10" t="inlineStr">
        <is>
          <t>Cost / Finances</t>
        </is>
      </c>
      <c r="H10" t="inlineStr"/>
    </row>
    <row r="11">
      <c r="A11" t="inlineStr">
        <is>
          <t>No</t>
        </is>
      </c>
      <c r="B11" t="inlineStr"/>
      <c r="C11" t="inlineStr"/>
      <c r="D11" t="inlineStr"/>
      <c r="E11" t="inlineStr">
        <is>
          <t>Friends with experience</t>
        </is>
      </c>
      <c r="F11" t="inlineStr">
        <is>
          <t>Wants Child to Have Independent Experience</t>
        </is>
      </c>
      <c r="G11" t="inlineStr">
        <is>
          <t>Wants Child to Have Independent Experience</t>
        </is>
      </c>
      <c r="H11" t="inlineStr"/>
    </row>
    <row r="12">
      <c r="A12" t="inlineStr">
        <is>
          <t>Yes</t>
        </is>
      </c>
      <c r="B12" t="inlineStr">
        <is>
          <t>Could go with my son</t>
        </is>
      </c>
      <c r="C12" t="inlineStr">
        <is>
          <t>Other / Uncategorized</t>
        </is>
      </c>
      <c r="D12" t="inlineStr"/>
      <c r="E12" t="inlineStr"/>
      <c r="F12" t="inlineStr"/>
      <c r="G12" t="inlineStr"/>
      <c r="H12" t="inlineStr"/>
    </row>
    <row r="13">
      <c r="A13" t="inlineStr">
        <is>
          <t>No</t>
        </is>
      </c>
      <c r="B13" t="inlineStr"/>
      <c r="C13" t="inlineStr"/>
      <c r="D13" t="inlineStr"/>
      <c r="E13" t="inlineStr">
        <is>
          <t>Time away from work</t>
        </is>
      </c>
      <c r="F13" t="inlineStr">
        <is>
          <t>Work Schedule / Time Off</t>
        </is>
      </c>
      <c r="G13" t="inlineStr">
        <is>
          <t>Work Schedule / Time Off</t>
        </is>
      </c>
      <c r="H13" t="inlineStr"/>
    </row>
    <row r="14">
      <c r="A14" t="inlineStr">
        <is>
          <t>No</t>
        </is>
      </c>
      <c r="B14" t="inlineStr"/>
      <c r="C14" t="inlineStr"/>
      <c r="D14" t="inlineStr"/>
      <c r="E14" t="inlineStr">
        <is>
          <t>Thought my daughter would have a better experience with out me</t>
        </is>
      </c>
      <c r="F14" t="inlineStr">
        <is>
          <t>Wants Child to Have Independent Experience</t>
        </is>
      </c>
      <c r="G14" t="inlineStr">
        <is>
          <t>Wants Child to Have Independent Experience</t>
        </is>
      </c>
      <c r="H14" t="inlineStr"/>
    </row>
    <row r="15">
      <c r="A15" t="inlineStr">
        <is>
          <t>No</t>
        </is>
      </c>
      <c r="B15" t="inlineStr"/>
      <c r="C15" t="inlineStr"/>
      <c r="D15" t="inlineStr"/>
      <c r="E15" t="inlineStr"/>
      <c r="F15" t="inlineStr"/>
      <c r="G15" t="inlineStr"/>
      <c r="H15" t="inlineStr"/>
    </row>
    <row r="16">
      <c r="A16" t="inlineStr">
        <is>
          <t>No</t>
        </is>
      </c>
      <c r="B16" t="inlineStr"/>
      <c r="C16" t="inlineStr"/>
      <c r="D16" t="inlineStr"/>
      <c r="E16" t="inlineStr"/>
      <c r="F16" t="inlineStr"/>
      <c r="G16" t="inlineStr"/>
      <c r="H16" t="inlineStr"/>
    </row>
    <row r="17">
      <c r="A17" t="inlineStr">
        <is>
          <t>No</t>
        </is>
      </c>
      <c r="B17" t="inlineStr"/>
      <c r="C17" t="inlineStr"/>
      <c r="D17" t="inlineStr"/>
      <c r="E17" t="inlineStr">
        <is>
          <t>Our son needs an independent experience.</t>
        </is>
      </c>
      <c r="F17" t="inlineStr">
        <is>
          <t>Wants Child to Have Independent Experience</t>
        </is>
      </c>
      <c r="G17" t="inlineStr">
        <is>
          <t>Wants Child to Have Independent Experience</t>
        </is>
      </c>
      <c r="H17" t="inlineStr"/>
    </row>
    <row r="18">
      <c r="A18" t="inlineStr">
        <is>
          <t>No</t>
        </is>
      </c>
      <c r="B18" t="inlineStr"/>
      <c r="C18" t="inlineStr"/>
      <c r="D18" t="inlineStr"/>
      <c r="E18" t="inlineStr">
        <is>
          <t>Money</t>
        </is>
      </c>
      <c r="F18" t="inlineStr">
        <is>
          <t>Cost / Finances</t>
        </is>
      </c>
      <c r="G18" t="inlineStr">
        <is>
          <t>Cost / Finances</t>
        </is>
      </c>
      <c r="H18" t="inlineStr"/>
    </row>
    <row r="19">
      <c r="A19" t="inlineStr">
        <is>
          <t>No</t>
        </is>
      </c>
      <c r="B19" t="inlineStr"/>
      <c r="C19" t="inlineStr"/>
      <c r="D19" t="inlineStr"/>
      <c r="E19" t="inlineStr">
        <is>
          <t>I have 4 other kiddos at home that need me</t>
        </is>
      </c>
      <c r="F19" t="inlineStr">
        <is>
          <t>Other Kids / Family at Home</t>
        </is>
      </c>
      <c r="G19" t="inlineStr">
        <is>
          <t>Other Kids / Family at Home</t>
        </is>
      </c>
      <c r="H19" t="inlineStr"/>
    </row>
    <row r="20">
      <c r="A20" t="inlineStr">
        <is>
          <t>No</t>
        </is>
      </c>
      <c r="B20" t="inlineStr"/>
      <c r="C20" t="inlineStr"/>
      <c r="D20" t="inlineStr"/>
      <c r="E20" t="inlineStr">
        <is>
          <t>cost</t>
        </is>
      </c>
      <c r="F20" t="inlineStr">
        <is>
          <t>Cost / Finances</t>
        </is>
      </c>
      <c r="G20" t="inlineStr">
        <is>
          <t>Cost / Finances</t>
        </is>
      </c>
      <c r="H20" t="inlineStr"/>
    </row>
    <row r="21">
      <c r="A21" t="inlineStr">
        <is>
          <t>No</t>
        </is>
      </c>
      <c r="B21" t="inlineStr"/>
      <c r="C21" t="inlineStr"/>
      <c r="D21" t="inlineStr"/>
      <c r="E21" t="inlineStr">
        <is>
          <t>my daughter does not want me to go</t>
        </is>
      </c>
      <c r="F21" t="inlineStr">
        <is>
          <t>Child Didn't Want Parent to Come</t>
        </is>
      </c>
      <c r="G21" t="inlineStr">
        <is>
          <t>Child Didn't Want Parent to Come</t>
        </is>
      </c>
      <c r="H21" t="inlineStr"/>
    </row>
    <row r="22">
      <c r="A22" t="inlineStr">
        <is>
          <t>No</t>
        </is>
      </c>
      <c r="B22" t="inlineStr"/>
      <c r="C22" t="inlineStr"/>
      <c r="D22" t="inlineStr"/>
      <c r="E22" t="inlineStr">
        <is>
          <t>Wanted my son to go alone</t>
        </is>
      </c>
      <c r="F22" t="inlineStr">
        <is>
          <t>Wants Child to Have Independent Experience</t>
        </is>
      </c>
      <c r="G22" t="inlineStr">
        <is>
          <t>Wants Child to Have Independent Experience</t>
        </is>
      </c>
      <c r="H22" t="inlineStr"/>
    </row>
    <row r="23">
      <c r="A23" t="inlineStr">
        <is>
          <t>No</t>
        </is>
      </c>
      <c r="B23" t="inlineStr"/>
      <c r="C23" t="inlineStr"/>
      <c r="D23" t="inlineStr"/>
      <c r="E23" t="inlineStr"/>
      <c r="F23" t="inlineStr"/>
      <c r="G23" t="inlineStr"/>
      <c r="H23" t="inlineStr"/>
    </row>
    <row r="24">
      <c r="A24" t="inlineStr">
        <is>
          <t>Yes</t>
        </is>
      </c>
      <c r="B24" t="inlineStr">
        <is>
          <t>My daughter asked me ro go</t>
        </is>
      </c>
      <c r="C24" t="inlineStr">
        <is>
          <t>Child/Spouse Asked Them to Go</t>
        </is>
      </c>
      <c r="D24" t="inlineStr">
        <is>
          <t>Child/Spouse Asked Them to Go</t>
        </is>
      </c>
      <c r="E24" t="inlineStr"/>
      <c r="F24" t="inlineStr"/>
      <c r="G24" t="inlineStr"/>
      <c r="H24" t="inlineStr"/>
    </row>
    <row r="25">
      <c r="A25" t="inlineStr">
        <is>
          <t>No</t>
        </is>
      </c>
      <c r="B25" t="inlineStr"/>
      <c r="C25" t="inlineStr"/>
      <c r="D25" t="inlineStr"/>
      <c r="E25" t="inlineStr">
        <is>
          <t>I want to fill up my time with something fun that makes me happy and is productive. I am also excited to experience the beauty of OBX</t>
        </is>
      </c>
      <c r="F25" t="inlineStr">
        <is>
          <t>Work Schedule / Time Off</t>
        </is>
      </c>
      <c r="G25" t="inlineStr">
        <is>
          <t>Work Schedule / Time Off; Wants Child to Have Independent Experience</t>
        </is>
      </c>
      <c r="H25" t="inlineStr"/>
    </row>
    <row r="26">
      <c r="A26" t="inlineStr">
        <is>
          <t>No</t>
        </is>
      </c>
      <c r="B26" t="inlineStr"/>
      <c r="C26" t="inlineStr"/>
      <c r="D26" t="inlineStr"/>
      <c r="E26" t="inlineStr">
        <is>
          <t>My job and time off. I would really love to go another year.</t>
        </is>
      </c>
      <c r="F26" t="inlineStr">
        <is>
          <t>Work Schedule / Time Off</t>
        </is>
      </c>
      <c r="G26" t="inlineStr">
        <is>
          <t>Work Schedule / Time Off</t>
        </is>
      </c>
      <c r="H26" t="inlineStr"/>
    </row>
    <row r="27">
      <c r="A27" t="inlineStr">
        <is>
          <t>No</t>
        </is>
      </c>
      <c r="B27" t="inlineStr"/>
      <c r="C27" t="inlineStr"/>
      <c r="D27" t="inlineStr"/>
      <c r="E27" t="inlineStr">
        <is>
          <t>I wanted my daughter to have this experience on her own. I wanted her to rely on her group rather than me, to help her build stronger connections with other builders &amp; the trip leaders.</t>
        </is>
      </c>
      <c r="F27" t="inlineStr">
        <is>
          <t>Wants Child to Have Independent Experience</t>
        </is>
      </c>
      <c r="G27" t="inlineStr">
        <is>
          <t>Wants Child to Have Independent Experience; Other Life Commitment</t>
        </is>
      </c>
      <c r="H27" t="inlineStr"/>
    </row>
    <row r="28">
      <c r="A28" t="inlineStr">
        <is>
          <t>No</t>
        </is>
      </c>
      <c r="B28" t="inlineStr"/>
      <c r="C28" t="inlineStr"/>
      <c r="D28" t="inlineStr"/>
      <c r="E28" t="inlineStr">
        <is>
          <t>Younger kids at home</t>
        </is>
      </c>
      <c r="F28" t="inlineStr">
        <is>
          <t>Other Kids / Family at Home</t>
        </is>
      </c>
      <c r="G28" t="inlineStr">
        <is>
          <t>Other Kids / Family at Home</t>
        </is>
      </c>
      <c r="H28" t="inlineStr"/>
    </row>
    <row r="29">
      <c r="A29" t="inlineStr">
        <is>
          <t>No</t>
        </is>
      </c>
      <c r="B29" t="inlineStr"/>
      <c r="C29" t="inlineStr"/>
      <c r="D29" t="inlineStr"/>
      <c r="E29" t="inlineStr">
        <is>
          <t>Daughter asked me not to go</t>
        </is>
      </c>
      <c r="F29" t="inlineStr">
        <is>
          <t>Child Didn't Want Parent to Come</t>
        </is>
      </c>
      <c r="G29" t="inlineStr">
        <is>
          <t>Child Didn't Want Parent to Come</t>
        </is>
      </c>
      <c r="H29" t="inlineStr"/>
    </row>
    <row r="30">
      <c r="A30" t="inlineStr">
        <is>
          <t>No</t>
        </is>
      </c>
      <c r="B30" t="inlineStr"/>
      <c r="C30" t="inlineStr"/>
      <c r="D30" t="inlineStr"/>
      <c r="E30" t="inlineStr">
        <is>
          <t>I really wanted to go, my son was cool with me going, but the Spirit said he needed to do this without me.</t>
        </is>
      </c>
      <c r="F30" t="inlineStr">
        <is>
          <t>Wants Child to Have Independent Experience</t>
        </is>
      </c>
      <c r="G30" t="inlineStr">
        <is>
          <t>Wants Child to Have Independent Experience</t>
        </is>
      </c>
      <c r="H30" t="inlineStr"/>
    </row>
    <row r="31">
      <c r="A31" t="inlineStr">
        <is>
          <t>No</t>
        </is>
      </c>
      <c r="B31" t="inlineStr"/>
      <c r="C31" t="inlineStr"/>
      <c r="D31" t="inlineStr"/>
      <c r="E31" t="inlineStr">
        <is>
          <t>Work schedule is not compatible with the HXP schedule.</t>
        </is>
      </c>
      <c r="F31" t="inlineStr">
        <is>
          <t>Work Schedule / Time Off</t>
        </is>
      </c>
      <c r="G31" t="inlineStr">
        <is>
          <t>Work Schedule / Time Off</t>
        </is>
      </c>
      <c r="H31" t="inlineStr"/>
    </row>
    <row r="32">
      <c r="A32" t="inlineStr">
        <is>
          <t>No</t>
        </is>
      </c>
      <c r="B32" t="inlineStr"/>
      <c r="C32" t="inlineStr"/>
      <c r="D32" t="inlineStr"/>
      <c r="E32" t="inlineStr">
        <is>
          <t>Cost &amp; time away from other kids, also excited for my son to do this without me</t>
        </is>
      </c>
      <c r="F32" t="inlineStr">
        <is>
          <t>Cost / Finances</t>
        </is>
      </c>
      <c r="G32" t="inlineStr">
        <is>
          <t>Cost / Finances; Work Schedule / Time Off; Other Kids / Family at Home; Wants Child to Have Independent Experience</t>
        </is>
      </c>
      <c r="H32" t="inlineStr"/>
    </row>
    <row r="33">
      <c r="A33" t="inlineStr">
        <is>
          <t>Maybe</t>
        </is>
      </c>
      <c r="B33" t="inlineStr"/>
      <c r="C33" t="inlineStr"/>
      <c r="D33" t="inlineStr"/>
      <c r="E33" t="inlineStr"/>
      <c r="F33" t="inlineStr"/>
      <c r="G33" t="inlineStr"/>
      <c r="H33" t="inlineStr">
        <is>
          <t>Cost</t>
        </is>
      </c>
    </row>
    <row r="34">
      <c r="A34" t="inlineStr">
        <is>
          <t>No</t>
        </is>
      </c>
      <c r="B34" t="inlineStr"/>
      <c r="C34" t="inlineStr"/>
      <c r="D34" t="inlineStr"/>
      <c r="E34" t="inlineStr">
        <is>
          <t>Private time for him</t>
        </is>
      </c>
      <c r="F34" t="inlineStr">
        <is>
          <t>Work Schedule / Time Off</t>
        </is>
      </c>
      <c r="G34" t="inlineStr">
        <is>
          <t>Work Schedule / Time Off</t>
        </is>
      </c>
      <c r="H34" t="inlineStr"/>
    </row>
    <row r="35">
      <c r="A35" t="inlineStr">
        <is>
          <t>No</t>
        </is>
      </c>
      <c r="B35" t="inlineStr"/>
      <c r="C35" t="inlineStr"/>
      <c r="D35" t="inlineStr"/>
      <c r="E35" t="inlineStr">
        <is>
          <t>Work obligations</t>
        </is>
      </c>
      <c r="F35" t="inlineStr">
        <is>
          <t>Work Schedule / Time Off</t>
        </is>
      </c>
      <c r="G35" t="inlineStr">
        <is>
          <t>Work Schedule / Time Off</t>
        </is>
      </c>
      <c r="H35" t="inlineStr"/>
    </row>
    <row r="36">
      <c r="A36" t="inlineStr">
        <is>
          <t>No</t>
        </is>
      </c>
      <c r="B36" t="inlineStr"/>
      <c r="C36" t="inlineStr"/>
      <c r="D36" t="inlineStr"/>
      <c r="E36" t="inlineStr">
        <is>
          <t>My child wanted to go on her own.</t>
        </is>
      </c>
      <c r="F36" t="inlineStr">
        <is>
          <t>Wants Child to Have Independent Experience</t>
        </is>
      </c>
      <c r="G36" t="inlineStr">
        <is>
          <t>Wants Child to Have Independent Experience</t>
        </is>
      </c>
      <c r="H36" t="inlineStr"/>
    </row>
    <row r="37">
      <c r="A37" t="inlineStr">
        <is>
          <t>Yes</t>
        </is>
      </c>
      <c r="B37" t="inlineStr">
        <is>
          <t>Previous trips</t>
        </is>
      </c>
      <c r="C37" t="inlineStr">
        <is>
          <t>Previous Positive Experience</t>
        </is>
      </c>
      <c r="D37" t="inlineStr">
        <is>
          <t>Previous Positive Experience</t>
        </is>
      </c>
      <c r="E37" t="inlineStr"/>
      <c r="F37" t="inlineStr"/>
      <c r="G37" t="inlineStr"/>
      <c r="H37" t="inlineStr"/>
    </row>
    <row r="38">
      <c r="A38" t="inlineStr">
        <is>
          <t>No</t>
        </is>
      </c>
      <c r="B38" t="inlineStr"/>
      <c r="C38" t="inlineStr"/>
      <c r="D38" t="inlineStr"/>
      <c r="E38" t="inlineStr">
        <is>
          <t>Time/ son coming home from a mission</t>
        </is>
      </c>
      <c r="F38" t="inlineStr">
        <is>
          <t>Work Schedule / Time Off</t>
        </is>
      </c>
      <c r="G38" t="inlineStr">
        <is>
          <t>Work Schedule / Time Off; Other Life Commitment</t>
        </is>
      </c>
      <c r="H38" t="inlineStr"/>
    </row>
    <row r="39">
      <c r="A39" t="inlineStr">
        <is>
          <t>Yes</t>
        </is>
      </c>
      <c r="B39" t="inlineStr">
        <is>
          <t>I have been before and love it.</t>
        </is>
      </c>
      <c r="C39" t="inlineStr">
        <is>
          <t>Previous Positive Experience</t>
        </is>
      </c>
      <c r="D39" t="inlineStr">
        <is>
          <t>Previous Positive Experience</t>
        </is>
      </c>
      <c r="E39" t="inlineStr"/>
      <c r="F39" t="inlineStr"/>
      <c r="G39" t="inlineStr"/>
      <c r="H39" t="inlineStr"/>
    </row>
    <row r="40">
      <c r="A40" t="inlineStr">
        <is>
          <t>Yes</t>
        </is>
      </c>
      <c r="B40" t="inlineStr">
        <is>
          <t>The Q&amp;A night</t>
        </is>
      </c>
      <c r="C40" t="inlineStr">
        <is>
          <t>Trust in the HXP Program</t>
        </is>
      </c>
      <c r="D40" t="inlineStr">
        <is>
          <t>Trust in the HXP Program</t>
        </is>
      </c>
      <c r="E40" t="inlineStr"/>
      <c r="F40" t="inlineStr"/>
      <c r="G40" t="inlineStr"/>
      <c r="H40" t="inlineStr"/>
    </row>
    <row r="41">
      <c r="A41" t="inlineStr">
        <is>
          <t>No</t>
        </is>
      </c>
      <c r="B41" t="inlineStr"/>
      <c r="C41" t="inlineStr"/>
      <c r="D41" t="inlineStr"/>
      <c r="E41" t="inlineStr">
        <is>
          <t>My husband is going as the male parent builder</t>
        </is>
      </c>
      <c r="F41" t="inlineStr">
        <is>
          <t>Another Family Member Going Instead</t>
        </is>
      </c>
      <c r="G41" t="inlineStr">
        <is>
          <t>Another Family Member Going Instead</t>
        </is>
      </c>
      <c r="H41" t="inlineStr"/>
    </row>
    <row r="42">
      <c r="A42" t="inlineStr">
        <is>
          <t>No</t>
        </is>
      </c>
      <c r="B42" t="inlineStr"/>
      <c r="C42" t="inlineStr"/>
      <c r="D42" t="inlineStr"/>
      <c r="E42" t="inlineStr">
        <is>
          <t>Time and money</t>
        </is>
      </c>
      <c r="F42" t="inlineStr">
        <is>
          <t>Cost / Finances</t>
        </is>
      </c>
      <c r="G42" t="inlineStr">
        <is>
          <t>Cost / Finances; Work Schedule / Time Off</t>
        </is>
      </c>
      <c r="H42" t="inlineStr"/>
    </row>
    <row r="43">
      <c r="A43" t="inlineStr">
        <is>
          <t>No</t>
        </is>
      </c>
      <c r="B43" t="inlineStr"/>
      <c r="C43" t="inlineStr"/>
      <c r="D43" t="inlineStr"/>
      <c r="E43" t="inlineStr"/>
      <c r="F43" t="inlineStr"/>
      <c r="G43" t="inlineStr"/>
      <c r="H43" t="inlineStr"/>
    </row>
    <row r="44">
      <c r="A44" t="inlineStr">
        <is>
          <t>No</t>
        </is>
      </c>
      <c r="B44" t="inlineStr"/>
      <c r="C44" t="inlineStr"/>
      <c r="D44" t="inlineStr"/>
      <c r="E44" t="inlineStr">
        <is>
          <t>Just the timing with life and having other kids at home.</t>
        </is>
      </c>
      <c r="F44" t="inlineStr">
        <is>
          <t>Work Schedule / Time Off</t>
        </is>
      </c>
      <c r="G44" t="inlineStr">
        <is>
          <t>Work Schedule / Time Off; Other Kids / Family at Home</t>
        </is>
      </c>
      <c r="H44" t="inlineStr"/>
    </row>
    <row r="45">
      <c r="A45" t="inlineStr">
        <is>
          <t>No</t>
        </is>
      </c>
      <c r="B45" t="inlineStr"/>
      <c r="C45" t="inlineStr"/>
      <c r="D45" t="inlineStr"/>
      <c r="E45" t="inlineStr">
        <is>
          <t>Other kids at home.</t>
        </is>
      </c>
      <c r="F45" t="inlineStr">
        <is>
          <t>Other Kids / Family at Home</t>
        </is>
      </c>
      <c r="G45" t="inlineStr">
        <is>
          <t>Other Kids / Family at Home</t>
        </is>
      </c>
      <c r="H45" t="inlineStr"/>
    </row>
    <row r="46">
      <c r="A46" t="inlineStr">
        <is>
          <t>No</t>
        </is>
      </c>
      <c r="B46" t="inlineStr"/>
      <c r="C46" t="inlineStr"/>
      <c r="D46" t="inlineStr"/>
      <c r="E46" t="inlineStr">
        <is>
          <t>I want my son To have this experience alone.</t>
        </is>
      </c>
      <c r="F46" t="inlineStr">
        <is>
          <t>Wants Child to Have Independent Experience</t>
        </is>
      </c>
      <c r="G46" t="inlineStr">
        <is>
          <t>Wants Child to Have Independent Experience</t>
        </is>
      </c>
      <c r="H46" t="inlineStr"/>
    </row>
    <row r="47">
      <c r="A47" t="inlineStr">
        <is>
          <t>No</t>
        </is>
      </c>
      <c r="B47" t="inlineStr"/>
      <c r="C47" t="inlineStr"/>
      <c r="D47" t="inlineStr"/>
      <c r="E47" t="inlineStr">
        <is>
          <t>Wanted my son to be on his own</t>
        </is>
      </c>
      <c r="F47" t="inlineStr">
        <is>
          <t>Wants Child to Have Independent Experience</t>
        </is>
      </c>
      <c r="G47" t="inlineStr">
        <is>
          <t>Wants Child to Have Independent Experience</t>
        </is>
      </c>
      <c r="H47" t="inlineStr"/>
    </row>
    <row r="48">
      <c r="A48" t="inlineStr">
        <is>
          <t>Maybe</t>
        </is>
      </c>
      <c r="B48" t="inlineStr"/>
      <c r="C48" t="inlineStr"/>
      <c r="D48" t="inlineStr"/>
      <c r="E48" t="inlineStr"/>
      <c r="F48" t="inlineStr"/>
      <c r="G48" t="inlineStr"/>
      <c r="H48" t="inlineStr">
        <is>
          <t>If it was less expensive</t>
        </is>
      </c>
    </row>
    <row r="49">
      <c r="A49" t="inlineStr">
        <is>
          <t>No</t>
        </is>
      </c>
      <c r="B49" t="inlineStr"/>
      <c r="C49" t="inlineStr"/>
      <c r="D49" t="inlineStr"/>
      <c r="E49" t="inlineStr">
        <is>
          <t>I wanted my daughter to have an experience where she needed to learn to rely on herself instead of her parents</t>
        </is>
      </c>
      <c r="F49" t="inlineStr">
        <is>
          <t>Wants Child to Have Independent Experience</t>
        </is>
      </c>
      <c r="G49" t="inlineStr">
        <is>
          <t>Wants Child to Have Independent Experience</t>
        </is>
      </c>
      <c r="H49" t="inlineStr"/>
    </row>
    <row r="50">
      <c r="A50" t="inlineStr">
        <is>
          <t>No</t>
        </is>
      </c>
      <c r="B50" t="inlineStr"/>
      <c r="C50" t="inlineStr"/>
      <c r="D50" t="inlineStr"/>
      <c r="E50" t="inlineStr">
        <is>
          <t>$$, otherwise, I'd love to go. We could only afford for our youth to go.</t>
        </is>
      </c>
      <c r="F50" t="inlineStr">
        <is>
          <t>Cost / Finances</t>
        </is>
      </c>
      <c r="G50" t="inlineStr">
        <is>
          <t>Cost / Finances</t>
        </is>
      </c>
      <c r="H50" t="inlineStr"/>
    </row>
    <row r="51">
      <c r="A51" t="inlineStr">
        <is>
          <t>No</t>
        </is>
      </c>
      <c r="B51" t="inlineStr"/>
      <c r="C51" t="inlineStr"/>
      <c r="D51" t="inlineStr"/>
      <c r="E51" t="inlineStr">
        <is>
          <t>I want my son to have an independent experience away from parents.</t>
        </is>
      </c>
      <c r="F51" t="inlineStr">
        <is>
          <t>Wants Child to Have Independent Experience</t>
        </is>
      </c>
      <c r="G51" t="inlineStr">
        <is>
          <t>Wants Child to Have Independent Experience</t>
        </is>
      </c>
      <c r="H51" t="inlineStr"/>
    </row>
    <row r="52">
      <c r="A52" t="inlineStr">
        <is>
          <t>No</t>
        </is>
      </c>
      <c r="B52" t="inlineStr"/>
      <c r="C52" t="inlineStr"/>
      <c r="D52" t="inlineStr"/>
      <c r="E52" t="inlineStr"/>
      <c r="F52" t="inlineStr"/>
      <c r="G52" t="inlineStr"/>
      <c r="H52" t="inlineStr"/>
    </row>
    <row r="53">
      <c r="A53" t="inlineStr">
        <is>
          <t>No</t>
        </is>
      </c>
      <c r="B53" t="inlineStr"/>
      <c r="C53" t="inlineStr"/>
      <c r="D53" t="inlineStr"/>
      <c r="E53" t="inlineStr">
        <is>
          <t>My husband and I have both been trip builders before. Our son wanted the experience of going without parents :)</t>
        </is>
      </c>
      <c r="F53" t="inlineStr">
        <is>
          <t>Wants Child to Have Independent Experience</t>
        </is>
      </c>
      <c r="G53" t="inlineStr">
        <is>
          <t>Wants Child to Have Independent Experience</t>
        </is>
      </c>
      <c r="H53" t="inlineStr"/>
    </row>
    <row r="54">
      <c r="A54" t="inlineStr">
        <is>
          <t>No</t>
        </is>
      </c>
      <c r="B54" t="inlineStr"/>
      <c r="C54" t="inlineStr"/>
      <c r="D54" t="inlineStr"/>
      <c r="E54" t="inlineStr">
        <is>
          <t>This is my son's experience. He always has his parents in tow on church functions.</t>
        </is>
      </c>
      <c r="F54" t="inlineStr">
        <is>
          <t>Wants Child to Have Independent Experience</t>
        </is>
      </c>
      <c r="G54" t="inlineStr">
        <is>
          <t>Wants Child to Have Independent Experience</t>
        </is>
      </c>
      <c r="H54" t="inlineStr"/>
    </row>
    <row r="55">
      <c r="A55" t="inlineStr">
        <is>
          <t>No</t>
        </is>
      </c>
      <c r="B55" t="inlineStr"/>
      <c r="C55" t="inlineStr"/>
      <c r="D55" t="inlineStr"/>
      <c r="E55" t="inlineStr">
        <is>
          <t>My child wanted to go alone</t>
        </is>
      </c>
      <c r="F55" t="inlineStr">
        <is>
          <t>Wants Child to Have Independent Experience</t>
        </is>
      </c>
      <c r="G55" t="inlineStr">
        <is>
          <t>Wants Child to Have Independent Experience</t>
        </is>
      </c>
      <c r="H55" t="inlineStr"/>
    </row>
    <row r="56">
      <c r="A56" t="inlineStr">
        <is>
          <t>No</t>
        </is>
      </c>
      <c r="B56" t="inlineStr"/>
      <c r="C56" t="inlineStr"/>
      <c r="D56" t="inlineStr"/>
      <c r="E56" t="inlineStr">
        <is>
          <t>My child</t>
        </is>
      </c>
      <c r="F56" t="inlineStr">
        <is>
          <t>Family's Own Choice (No Elaboration)</t>
        </is>
      </c>
      <c r="G56" t="inlineStr">
        <is>
          <t>Family's Own Choice (No Elaboration)</t>
        </is>
      </c>
      <c r="H56" t="inlineStr"/>
    </row>
    <row r="57">
      <c r="A57" t="inlineStr">
        <is>
          <t>No</t>
        </is>
      </c>
      <c r="B57" t="inlineStr"/>
      <c r="C57" t="inlineStr"/>
      <c r="D57" t="inlineStr"/>
      <c r="E57" t="inlineStr">
        <is>
          <t>I think my daughter was excited to do this on her own - without her dad or I having to be part of it.</t>
        </is>
      </c>
      <c r="F57" t="inlineStr">
        <is>
          <t>Wants Child to Have Independent Experience</t>
        </is>
      </c>
      <c r="G57" t="inlineStr">
        <is>
          <t>Wants Child to Have Independent Experience</t>
        </is>
      </c>
      <c r="H57" t="inlineStr"/>
    </row>
    <row r="58">
      <c r="A58" t="inlineStr">
        <is>
          <t>No</t>
        </is>
      </c>
      <c r="B58" t="inlineStr"/>
      <c r="C58" t="inlineStr"/>
      <c r="D58" t="inlineStr"/>
      <c r="E58" t="inlineStr">
        <is>
          <t>Timing &amp; cost</t>
        </is>
      </c>
      <c r="F58" t="inlineStr">
        <is>
          <t>Cost / Finances</t>
        </is>
      </c>
      <c r="G58" t="inlineStr">
        <is>
          <t>Cost / Finances; Work Schedule / Time Off</t>
        </is>
      </c>
      <c r="H58" t="inlineStr"/>
    </row>
    <row r="59">
      <c r="A59" t="inlineStr">
        <is>
          <t>No</t>
        </is>
      </c>
      <c r="B59" t="inlineStr"/>
      <c r="C59" t="inlineStr"/>
      <c r="D59" t="inlineStr"/>
      <c r="E59" t="inlineStr">
        <is>
          <t>The expense</t>
        </is>
      </c>
      <c r="F59" t="inlineStr">
        <is>
          <t>Cost / Finances</t>
        </is>
      </c>
      <c r="G59" t="inlineStr">
        <is>
          <t>Cost / Finances</t>
        </is>
      </c>
      <c r="H59" t="inlineStr"/>
    </row>
    <row r="60">
      <c r="A60" t="inlineStr">
        <is>
          <t>No</t>
        </is>
      </c>
      <c r="B60" t="inlineStr"/>
      <c r="C60" t="inlineStr"/>
      <c r="D60" t="inlineStr"/>
      <c r="E60" t="inlineStr">
        <is>
          <t>My daughter really wanted to have an independent experience and go on her own.</t>
        </is>
      </c>
      <c r="F60" t="inlineStr">
        <is>
          <t>Wants Child to Have Independent Experience</t>
        </is>
      </c>
      <c r="G60" t="inlineStr">
        <is>
          <t>Wants Child to Have Independent Experience</t>
        </is>
      </c>
      <c r="H60" t="inlineStr"/>
    </row>
    <row r="61">
      <c r="A61" t="inlineStr">
        <is>
          <t>No</t>
        </is>
      </c>
      <c r="B61" t="inlineStr"/>
      <c r="C61" t="inlineStr"/>
      <c r="D61" t="inlineStr"/>
      <c r="E61" t="inlineStr">
        <is>
          <t>Wanting to let my son have his own experience</t>
        </is>
      </c>
      <c r="F61" t="inlineStr">
        <is>
          <t>Wants Child to Have Independent Experience</t>
        </is>
      </c>
      <c r="G61" t="inlineStr">
        <is>
          <t>Wants Child to Have Independent Experience</t>
        </is>
      </c>
      <c r="H61" t="inlineStr"/>
    </row>
    <row r="62">
      <c r="A62" t="inlineStr">
        <is>
          <t>No</t>
        </is>
      </c>
      <c r="B62" t="inlineStr"/>
      <c r="C62" t="inlineStr"/>
      <c r="D62" t="inlineStr"/>
      <c r="E62" t="inlineStr">
        <is>
          <t>Time and money</t>
        </is>
      </c>
      <c r="F62" t="inlineStr">
        <is>
          <t>Cost / Finances</t>
        </is>
      </c>
      <c r="G62" t="inlineStr">
        <is>
          <t>Cost / Finances; Work Schedule / Time Off</t>
        </is>
      </c>
      <c r="H62" t="inlineStr"/>
    </row>
    <row r="63">
      <c r="A63" t="inlineStr">
        <is>
          <t>No</t>
        </is>
      </c>
      <c r="B63" t="inlineStr"/>
      <c r="C63" t="inlineStr"/>
      <c r="D63" t="inlineStr"/>
      <c r="E63" t="inlineStr">
        <is>
          <t>Price</t>
        </is>
      </c>
      <c r="F63" t="inlineStr">
        <is>
          <t>Cost / Finances</t>
        </is>
      </c>
      <c r="G63" t="inlineStr">
        <is>
          <t>Cost / Finances</t>
        </is>
      </c>
      <c r="H63" t="inlineStr"/>
    </row>
    <row r="64">
      <c r="A64" t="inlineStr">
        <is>
          <t>No</t>
        </is>
      </c>
      <c r="B64" t="inlineStr"/>
      <c r="C64" t="inlineStr"/>
      <c r="D64" t="inlineStr"/>
      <c r="E64" t="inlineStr">
        <is>
          <t>Availability</t>
        </is>
      </c>
      <c r="F64" t="inlineStr">
        <is>
          <t>Work Schedule / Time Off</t>
        </is>
      </c>
      <c r="G64" t="inlineStr">
        <is>
          <t>Work Schedule / Time Off</t>
        </is>
      </c>
      <c r="H64" t="inlineStr"/>
    </row>
    <row r="65">
      <c r="A65" t="inlineStr">
        <is>
          <t>Maybe</t>
        </is>
      </c>
      <c r="B65" t="inlineStr"/>
      <c r="C65" t="inlineStr"/>
      <c r="D65" t="inlineStr"/>
      <c r="E65" t="inlineStr"/>
      <c r="F65" t="inlineStr"/>
      <c r="G65" t="inlineStr"/>
      <c r="H65" t="inlineStr"/>
    </row>
    <row r="66">
      <c r="A66" t="inlineStr">
        <is>
          <t>No</t>
        </is>
      </c>
      <c r="B66" t="inlineStr"/>
      <c r="C66" t="inlineStr"/>
      <c r="D66" t="inlineStr"/>
      <c r="E66" t="inlineStr"/>
      <c r="F66" t="inlineStr"/>
      <c r="G66" t="inlineStr"/>
      <c r="H66" t="inlineStr"/>
    </row>
    <row r="67">
      <c r="A67" t="inlineStr">
        <is>
          <t>No</t>
        </is>
      </c>
      <c r="B67" t="inlineStr"/>
      <c r="C67" t="inlineStr"/>
      <c r="D67" t="inlineStr"/>
      <c r="E67" t="inlineStr">
        <is>
          <t>My little kids at home.</t>
        </is>
      </c>
      <c r="F67" t="inlineStr">
        <is>
          <t>Other Kids / Family at Home</t>
        </is>
      </c>
      <c r="G67" t="inlineStr">
        <is>
          <t>Other Kids / Family at Home</t>
        </is>
      </c>
      <c r="H67" t="inlineStr"/>
    </row>
    <row r="68">
      <c r="A68" t="inlineStr">
        <is>
          <t>No</t>
        </is>
      </c>
      <c r="B68" t="inlineStr"/>
      <c r="C68" t="inlineStr"/>
      <c r="D68" t="inlineStr"/>
      <c r="E68" t="inlineStr">
        <is>
          <t>My child wanted to go alone and I have younger children</t>
        </is>
      </c>
      <c r="F68" t="inlineStr">
        <is>
          <t>Other Kids / Family at Home</t>
        </is>
      </c>
      <c r="G68" t="inlineStr">
        <is>
          <t>Other Kids / Family at Home; Wants Child to Have Independent Experience</t>
        </is>
      </c>
      <c r="H68" t="inlineStr"/>
    </row>
    <row r="69">
      <c r="A69" t="inlineStr">
        <is>
          <t>No</t>
        </is>
      </c>
      <c r="B69" t="inlineStr"/>
      <c r="C69" t="inlineStr"/>
      <c r="D69" t="inlineStr"/>
      <c r="E69" t="inlineStr">
        <is>
          <t>Time away from work and wanted son to have his own experience.</t>
        </is>
      </c>
      <c r="F69" t="inlineStr">
        <is>
          <t>Work Schedule / Time Off</t>
        </is>
      </c>
      <c r="G69" t="inlineStr">
        <is>
          <t>Work Schedule / Time Off; Wants Child to Have Independent Experience</t>
        </is>
      </c>
      <c r="H69" t="inlineStr"/>
    </row>
    <row r="70">
      <c r="A70" t="inlineStr">
        <is>
          <t>Yes</t>
        </is>
      </c>
      <c r="B70" t="inlineStr">
        <is>
          <t>My wife went with our son last year.</t>
        </is>
      </c>
      <c r="C70" t="inlineStr">
        <is>
          <t>Previous Positive Experience</t>
        </is>
      </c>
      <c r="D70" t="inlineStr">
        <is>
          <t>Previous Positive Experience</t>
        </is>
      </c>
      <c r="E70" t="inlineStr"/>
      <c r="F70" t="inlineStr"/>
      <c r="G70" t="inlineStr"/>
      <c r="H70" t="inlineStr"/>
    </row>
    <row r="71">
      <c r="A71" t="inlineStr">
        <is>
          <t>No</t>
        </is>
      </c>
      <c r="B71" t="inlineStr"/>
      <c r="C71" t="inlineStr"/>
      <c r="D71" t="inlineStr"/>
      <c r="E71" t="inlineStr">
        <is>
          <t>Wanted my daughter to have as much autonomy while on her trip.</t>
        </is>
      </c>
      <c r="F71" t="inlineStr">
        <is>
          <t>Wants Child to Have Independent Experience</t>
        </is>
      </c>
      <c r="G71" t="inlineStr">
        <is>
          <t>Wants Child to Have Independent Experience</t>
        </is>
      </c>
      <c r="H71" t="inlineStr"/>
    </row>
    <row r="72">
      <c r="A72" t="inlineStr">
        <is>
          <t>Yes</t>
        </is>
      </c>
      <c r="B72" t="inlineStr">
        <is>
          <t>Desire to spend time with my daughter doing something important, memorable and impactful.</t>
        </is>
      </c>
      <c r="C72" t="inlineStr">
        <is>
          <t>Wanted Shared Experience with Child</t>
        </is>
      </c>
      <c r="D72" t="inlineStr">
        <is>
          <t>Wanted Shared Experience with Child</t>
        </is>
      </c>
      <c r="E72" t="inlineStr"/>
      <c r="F72" t="inlineStr"/>
      <c r="G72" t="inlineStr"/>
      <c r="H72" t="inlineStr"/>
    </row>
    <row r="73">
      <c r="A73" t="inlineStr">
        <is>
          <t>No</t>
        </is>
      </c>
      <c r="B73" t="inlineStr"/>
      <c r="C73" t="inlineStr"/>
      <c r="D73" t="inlineStr"/>
      <c r="E73" t="inlineStr">
        <is>
          <t>Work obligations</t>
        </is>
      </c>
      <c r="F73" t="inlineStr">
        <is>
          <t>Work Schedule / Time Off</t>
        </is>
      </c>
      <c r="G73" t="inlineStr">
        <is>
          <t>Work Schedule / Time Off</t>
        </is>
      </c>
      <c r="H73" t="inlineStr"/>
    </row>
    <row r="74">
      <c r="A74" t="inlineStr">
        <is>
          <t>No</t>
        </is>
      </c>
      <c r="B74" t="inlineStr"/>
      <c r="C74" t="inlineStr"/>
      <c r="D74" t="inlineStr"/>
      <c r="E74" t="inlineStr">
        <is>
          <t>Work</t>
        </is>
      </c>
      <c r="F74" t="inlineStr">
        <is>
          <t>Work Schedule / Time Off</t>
        </is>
      </c>
      <c r="G74" t="inlineStr">
        <is>
          <t>Work Schedule / Time Off</t>
        </is>
      </c>
      <c r="H74" t="inlineStr"/>
    </row>
    <row r="75">
      <c r="A75" t="inlineStr">
        <is>
          <t>No</t>
        </is>
      </c>
      <c r="B75" t="inlineStr"/>
      <c r="C75" t="inlineStr"/>
      <c r="D75" t="inlineStr"/>
      <c r="E75" t="inlineStr">
        <is>
          <t>My child needed to do this without a parent</t>
        </is>
      </c>
      <c r="F75" t="inlineStr">
        <is>
          <t>Wants Child to Have Independent Experience</t>
        </is>
      </c>
      <c r="G75" t="inlineStr">
        <is>
          <t>Wants Child to Have Independent Experience</t>
        </is>
      </c>
      <c r="H75" t="inlineStr"/>
    </row>
    <row r="76">
      <c r="A76" t="inlineStr">
        <is>
          <t>No</t>
        </is>
      </c>
      <c r="B76" t="inlineStr"/>
      <c r="C76" t="inlineStr"/>
      <c r="D76" t="inlineStr"/>
      <c r="E76" t="inlineStr">
        <is>
          <t>I don't enjoy being responsible for other people's kids</t>
        </is>
      </c>
      <c r="F76" t="inlineStr">
        <is>
          <t>Not a Traveler / Personal Preference</t>
        </is>
      </c>
      <c r="G76" t="inlineStr">
        <is>
          <t>Not a Traveler / Personal Preference</t>
        </is>
      </c>
      <c r="H76" t="inlineStr"/>
    </row>
    <row r="77">
      <c r="A77" t="inlineStr">
        <is>
          <t>Yes</t>
        </is>
      </c>
      <c r="B77" t="inlineStr">
        <is>
          <t>Desire to spend time with my son and to have an adventure.</t>
        </is>
      </c>
      <c r="C77" t="inlineStr">
        <is>
          <t>Wanted Shared Experience with Child</t>
        </is>
      </c>
      <c r="D77" t="inlineStr">
        <is>
          <t>Wanted Shared Experience with Child; Love of Travel / Culture</t>
        </is>
      </c>
      <c r="E77" t="inlineStr"/>
      <c r="F77" t="inlineStr"/>
      <c r="G77" t="inlineStr"/>
      <c r="H77" t="inlineStr"/>
    </row>
    <row r="78">
      <c r="A78" t="inlineStr">
        <is>
          <t>No</t>
        </is>
      </c>
      <c r="B78" t="inlineStr"/>
      <c r="C78" t="inlineStr"/>
      <c r="D78" t="inlineStr"/>
      <c r="E78" t="inlineStr"/>
      <c r="F78" t="inlineStr"/>
      <c r="G78" t="inlineStr"/>
      <c r="H78" t="inlineStr"/>
    </row>
    <row r="79">
      <c r="A79" t="inlineStr">
        <is>
          <t>No</t>
        </is>
      </c>
      <c r="B79" t="inlineStr"/>
      <c r="C79" t="inlineStr"/>
      <c r="D79" t="inlineStr"/>
      <c r="E79" t="inlineStr">
        <is>
          <t>My daughter didn't want us to go</t>
        </is>
      </c>
      <c r="F79" t="inlineStr">
        <is>
          <t>Child Didn't Want Parent to Come</t>
        </is>
      </c>
      <c r="G79" t="inlineStr">
        <is>
          <t>Child Didn't Want Parent to Come</t>
        </is>
      </c>
      <c r="H79" t="inlineStr"/>
    </row>
    <row r="80">
      <c r="A80" t="inlineStr">
        <is>
          <t>No</t>
        </is>
      </c>
      <c r="B80" t="inlineStr"/>
      <c r="C80" t="inlineStr"/>
      <c r="D80" t="inlineStr"/>
      <c r="E80" t="inlineStr">
        <is>
          <t>Personally not adventurous and comfortable</t>
        </is>
      </c>
      <c r="F80" t="inlineStr">
        <is>
          <t>Not a Traveler / Personal Preference</t>
        </is>
      </c>
      <c r="G80" t="inlineStr">
        <is>
          <t>Not a Traveler / Personal Preference</t>
        </is>
      </c>
      <c r="H80" t="inlineStr"/>
    </row>
    <row r="81">
      <c r="A81" t="inlineStr">
        <is>
          <t>Yes</t>
        </is>
      </c>
      <c r="B81" t="inlineStr">
        <is>
          <t>I wanted my son to go, and there was not a spot for him. The spot was freed up when I agreed to go as a parent builder. And I have a brother-in-law who went as a parent builder and had nothing but fantastic things to say about his experience.</t>
        </is>
      </c>
      <c r="C81" t="inlineStr">
        <is>
          <t>Wanted Shared Experience with Child</t>
        </is>
      </c>
      <c r="D81" t="inlineStr">
        <is>
          <t>Wanted Shared Experience with Child</t>
        </is>
      </c>
      <c r="E81" t="inlineStr"/>
      <c r="F81" t="inlineStr"/>
      <c r="G81" t="inlineStr"/>
      <c r="H81" t="inlineStr"/>
    </row>
    <row r="82">
      <c r="A82" t="inlineStr">
        <is>
          <t>No</t>
        </is>
      </c>
      <c r="B82" t="inlineStr"/>
      <c r="C82" t="inlineStr"/>
      <c r="D82" t="inlineStr"/>
      <c r="E82" t="inlineStr">
        <is>
          <t>We thought it would be a better experience for him to go alone</t>
        </is>
      </c>
      <c r="F82" t="inlineStr">
        <is>
          <t>Wants Child to Have Independent Experience</t>
        </is>
      </c>
      <c r="G82" t="inlineStr">
        <is>
          <t>Wants Child to Have Independent Experience</t>
        </is>
      </c>
      <c r="H82" t="inlineStr"/>
    </row>
    <row r="83">
      <c r="A83" t="inlineStr">
        <is>
          <t>No</t>
        </is>
      </c>
      <c r="B83" t="inlineStr"/>
      <c r="C83" t="inlineStr"/>
      <c r="D83" t="inlineStr"/>
      <c r="E83" t="inlineStr">
        <is>
          <t>Big church callings have required us to always be at camps and other activities for our children. Our son needs a chance to be able to go out and experience life on his own without mom and dad there.</t>
        </is>
      </c>
      <c r="F83" t="inlineStr">
        <is>
          <t>Wants Child to Have Independent Experience</t>
        </is>
      </c>
      <c r="G83" t="inlineStr">
        <is>
          <t>Wants Child to Have Independent Experience; Other Life Commitment</t>
        </is>
      </c>
      <c r="H83" t="inlineStr"/>
    </row>
    <row r="84">
      <c r="A84" t="inlineStr">
        <is>
          <t>No</t>
        </is>
      </c>
      <c r="B84" t="inlineStr"/>
      <c r="C84" t="inlineStr"/>
      <c r="D84" t="inlineStr"/>
      <c r="E84" t="inlineStr">
        <is>
          <t>Busy schedule</t>
        </is>
      </c>
      <c r="F84" t="inlineStr">
        <is>
          <t>Work Schedule / Time Off</t>
        </is>
      </c>
      <c r="G84" t="inlineStr">
        <is>
          <t>Work Schedule / Time Off</t>
        </is>
      </c>
      <c r="H84" t="inlineStr"/>
    </row>
    <row r="85">
      <c r="A85" t="inlineStr">
        <is>
          <t>No</t>
        </is>
      </c>
      <c r="B85" t="inlineStr"/>
      <c r="C85" t="inlineStr"/>
      <c r="D85" t="inlineStr"/>
      <c r="E85" t="inlineStr">
        <is>
          <t>can't make it work with kids at home</t>
        </is>
      </c>
      <c r="F85" t="inlineStr">
        <is>
          <t>Work Schedule / Time Off</t>
        </is>
      </c>
      <c r="G85" t="inlineStr">
        <is>
          <t>Work Schedule / Time Off; Other Kids / Family at Home</t>
        </is>
      </c>
      <c r="H85" t="inlineStr"/>
    </row>
    <row r="86">
      <c r="A86" t="inlineStr">
        <is>
          <t>No</t>
        </is>
      </c>
      <c r="B86" t="inlineStr"/>
      <c r="C86" t="inlineStr"/>
      <c r="D86" t="inlineStr"/>
      <c r="E86" t="inlineStr">
        <is>
          <t>We wanted our daughter to have an experience on her own, I have been at every camp etc she has been to. :)</t>
        </is>
      </c>
      <c r="F86" t="inlineStr">
        <is>
          <t>Wants Child to Have Independent Experience</t>
        </is>
      </c>
      <c r="G86" t="inlineStr">
        <is>
          <t>Wants Child to Have Independent Experience</t>
        </is>
      </c>
      <c r="H86" t="inlineStr"/>
    </row>
    <row r="87">
      <c r="A87" t="inlineStr">
        <is>
          <t>No</t>
        </is>
      </c>
      <c r="B87" t="inlineStr"/>
      <c r="C87" t="inlineStr"/>
      <c r="D87" t="inlineStr"/>
      <c r="E87" t="inlineStr">
        <is>
          <t>Other kids at home</t>
        </is>
      </c>
      <c r="F87" t="inlineStr">
        <is>
          <t>Other Kids / Family at Home</t>
        </is>
      </c>
      <c r="G87" t="inlineStr">
        <is>
          <t>Other Kids / Family at Home</t>
        </is>
      </c>
      <c r="H87" t="inlineStr"/>
    </row>
    <row r="88">
      <c r="A88" t="inlineStr">
        <is>
          <t>No</t>
        </is>
      </c>
      <c r="B88" t="inlineStr"/>
      <c r="C88" t="inlineStr"/>
      <c r="D88" t="inlineStr"/>
      <c r="E88" t="inlineStr">
        <is>
          <t>Not the right season of my life. I still have little kids at home. I also think for my particular child she will have a better experience on her own.</t>
        </is>
      </c>
      <c r="F88" t="inlineStr">
        <is>
          <t>Other Kids / Family at Home</t>
        </is>
      </c>
      <c r="G88" t="inlineStr">
        <is>
          <t>Other Kids / Family at Home; Wants Child to Have Independent Experience</t>
        </is>
      </c>
      <c r="H88" t="inlineStr"/>
    </row>
    <row r="89">
      <c r="A89" t="inlineStr">
        <is>
          <t>No</t>
        </is>
      </c>
      <c r="B89" t="inlineStr"/>
      <c r="C89" t="inlineStr"/>
      <c r="D89" t="inlineStr"/>
      <c r="E89" t="inlineStr">
        <is>
          <t>Sibling had a great experience</t>
        </is>
      </c>
      <c r="F89" t="inlineStr">
        <is>
          <t>Other Kids / Family at Home</t>
        </is>
      </c>
      <c r="G89" t="inlineStr">
        <is>
          <t>Other Kids / Family at Home; Wants Child to Have Independent Experience</t>
        </is>
      </c>
      <c r="H89" t="inlineStr"/>
    </row>
    <row r="90">
      <c r="A90" t="inlineStr">
        <is>
          <t>No</t>
        </is>
      </c>
      <c r="B90" t="inlineStr"/>
      <c r="C90" t="inlineStr"/>
      <c r="D90" t="inlineStr"/>
      <c r="E90" t="inlineStr">
        <is>
          <t>Money. Also our child needs to learn to do things without his parents there.</t>
        </is>
      </c>
      <c r="F90" t="inlineStr">
        <is>
          <t>Cost / Finances</t>
        </is>
      </c>
      <c r="G90" t="inlineStr">
        <is>
          <t>Cost / Finances; Wants Child to Have Independent Experience</t>
        </is>
      </c>
      <c r="H90" t="inlineStr"/>
    </row>
    <row r="91">
      <c r="A91" t="inlineStr">
        <is>
          <t>No</t>
        </is>
      </c>
      <c r="B91" t="inlineStr"/>
      <c r="C91" t="inlineStr"/>
      <c r="D91" t="inlineStr"/>
      <c r="E91" t="inlineStr">
        <is>
          <t>To the parent expo? I must not have been paying attention because I didn't know about it.</t>
        </is>
      </c>
      <c r="F91" t="inlineStr">
        <is>
          <t>Not Aware It Was an Option</t>
        </is>
      </c>
      <c r="G91" t="inlineStr">
        <is>
          <t>Not Aware It Was an Option</t>
        </is>
      </c>
      <c r="H91" t="inlineStr"/>
    </row>
    <row r="92">
      <c r="A92" t="inlineStr">
        <is>
          <t>No</t>
        </is>
      </c>
      <c r="B92" t="inlineStr"/>
      <c r="C92" t="inlineStr"/>
      <c r="D92" t="inlineStr"/>
      <c r="E92" t="inlineStr">
        <is>
          <t>I want my son to learn that he can be independent of me and have his own experience</t>
        </is>
      </c>
      <c r="F92" t="inlineStr">
        <is>
          <t>Wants Child to Have Independent Experience</t>
        </is>
      </c>
      <c r="G92" t="inlineStr">
        <is>
          <t>Wants Child to Have Independent Experience</t>
        </is>
      </c>
      <c r="H92" t="inlineStr"/>
    </row>
    <row r="93">
      <c r="A93" t="inlineStr">
        <is>
          <t>No</t>
        </is>
      </c>
      <c r="B93" t="inlineStr"/>
      <c r="C93" t="inlineStr"/>
      <c r="D93" t="inlineStr"/>
      <c r="E93" t="inlineStr">
        <is>
          <t>I wanted my daughter to have an independent experience</t>
        </is>
      </c>
      <c r="F93" t="inlineStr">
        <is>
          <t>Wants Child to Have Independent Experience</t>
        </is>
      </c>
      <c r="G93" t="inlineStr">
        <is>
          <t>Wants Child to Have Independent Experience</t>
        </is>
      </c>
      <c r="H93" t="inlineStr"/>
    </row>
    <row r="94">
      <c r="A94" t="inlineStr">
        <is>
          <t>Yes</t>
        </is>
      </c>
      <c r="B94" t="inlineStr">
        <is>
          <t>My daughter wouldn't go with me</t>
        </is>
      </c>
      <c r="C94" t="inlineStr">
        <is>
          <t>Concerned About Child Going Alone / Safety</t>
        </is>
      </c>
      <c r="D94" t="inlineStr">
        <is>
          <t>Concerned About Child Going Alone / Safety</t>
        </is>
      </c>
      <c r="E94" t="inlineStr"/>
      <c r="F94" t="inlineStr"/>
      <c r="G94" t="inlineStr"/>
      <c r="H94" t="inlineStr"/>
    </row>
    <row r="95">
      <c r="A95" t="inlineStr">
        <is>
          <t>No</t>
        </is>
      </c>
      <c r="B95" t="inlineStr"/>
      <c r="C95" t="inlineStr"/>
      <c r="D95" t="inlineStr"/>
      <c r="E95" t="inlineStr">
        <is>
          <t>learning to know and serve people who are having a different life experience from us.</t>
        </is>
      </c>
      <c r="F95" t="inlineStr">
        <is>
          <t>Wants Child to Have Independent Experience</t>
        </is>
      </c>
      <c r="G95" t="inlineStr">
        <is>
          <t>Wants Child to Have Independent Experience</t>
        </is>
      </c>
      <c r="H95" t="inlineStr"/>
    </row>
    <row r="96">
      <c r="A96" t="inlineStr">
        <is>
          <t>No</t>
        </is>
      </c>
      <c r="B96" t="inlineStr"/>
      <c r="C96" t="inlineStr"/>
      <c r="D96" t="inlineStr"/>
      <c r="E96" t="inlineStr">
        <is>
          <t>cost and family responsibility at home</t>
        </is>
      </c>
      <c r="F96" t="inlineStr">
        <is>
          <t>Cost / Finances</t>
        </is>
      </c>
      <c r="G96" t="inlineStr">
        <is>
          <t>Cost / Finances; Work Schedule / Time Off</t>
        </is>
      </c>
      <c r="H96" t="inlineStr"/>
    </row>
    <row r="97">
      <c r="A97" t="inlineStr">
        <is>
          <t>No</t>
        </is>
      </c>
      <c r="B97" t="inlineStr"/>
      <c r="C97" t="inlineStr"/>
      <c r="D97" t="inlineStr"/>
      <c r="E97" t="inlineStr">
        <is>
          <t>Cost mainly. Also, we want our child to have an experience away from family.</t>
        </is>
      </c>
      <c r="F97" t="inlineStr">
        <is>
          <t>Cost / Finances</t>
        </is>
      </c>
      <c r="G97" t="inlineStr">
        <is>
          <t>Cost / Finances; Other Kids / Family at Home; Wants Child to Have Independent Experience</t>
        </is>
      </c>
      <c r="H97" t="inlineStr"/>
    </row>
    <row r="98">
      <c r="A98" t="inlineStr">
        <is>
          <t>No</t>
        </is>
      </c>
      <c r="B98" t="inlineStr"/>
      <c r="C98" t="inlineStr"/>
      <c r="D98" t="inlineStr"/>
      <c r="E98" t="inlineStr">
        <is>
          <t>My husband is going with our daughter instead</t>
        </is>
      </c>
      <c r="F98" t="inlineStr">
        <is>
          <t>Another Family Member Going Instead</t>
        </is>
      </c>
      <c r="G98" t="inlineStr">
        <is>
          <t>Another Family Member Going Instead</t>
        </is>
      </c>
      <c r="H98" t="inlineStr"/>
    </row>
    <row r="99">
      <c r="A99" t="inlineStr">
        <is>
          <t>No</t>
        </is>
      </c>
      <c r="B99" t="inlineStr"/>
      <c r="C99" t="inlineStr"/>
      <c r="D99" t="inlineStr"/>
      <c r="E99" t="inlineStr">
        <is>
          <t>Time</t>
        </is>
      </c>
      <c r="F99" t="inlineStr">
        <is>
          <t>Work Schedule / Time Off</t>
        </is>
      </c>
      <c r="G99" t="inlineStr">
        <is>
          <t>Work Schedule / Time Off</t>
        </is>
      </c>
      <c r="H99" t="inlineStr"/>
    </row>
    <row r="100">
      <c r="A100" t="inlineStr">
        <is>
          <t>No</t>
        </is>
      </c>
      <c r="B100" t="inlineStr"/>
      <c r="C100" t="inlineStr"/>
      <c r="D100" t="inlineStr"/>
      <c r="E100" t="inlineStr">
        <is>
          <t>money and time</t>
        </is>
      </c>
      <c r="F100" t="inlineStr">
        <is>
          <t>Cost / Finances</t>
        </is>
      </c>
      <c r="G100" t="inlineStr">
        <is>
          <t>Cost / Finances; Work Schedule / Time Off</t>
        </is>
      </c>
      <c r="H100" t="inlineStr"/>
    </row>
    <row r="101">
      <c r="A101" t="inlineStr">
        <is>
          <t>No</t>
        </is>
      </c>
      <c r="B101" t="inlineStr"/>
      <c r="C101" t="inlineStr"/>
      <c r="D101" t="inlineStr"/>
      <c r="E101" t="inlineStr">
        <is>
          <t>I want my son to experience being away from his parents and make connections, make decisions and be his own person on the trip.</t>
        </is>
      </c>
      <c r="F101" t="inlineStr">
        <is>
          <t>Wants Child to Have Independent Experience</t>
        </is>
      </c>
      <c r="G101" t="inlineStr">
        <is>
          <t>Wants Child to Have Independent Experience</t>
        </is>
      </c>
      <c r="H101" t="inlineStr"/>
    </row>
    <row r="102">
      <c r="A102" t="inlineStr">
        <is>
          <t>No</t>
        </is>
      </c>
      <c r="B102" t="inlineStr"/>
      <c r="C102" t="inlineStr"/>
      <c r="D102" t="inlineStr"/>
      <c r="E102" t="inlineStr">
        <is>
          <t>Too many kids back home to take care of.</t>
        </is>
      </c>
      <c r="F102" t="inlineStr">
        <is>
          <t>Other Kids / Family at Home</t>
        </is>
      </c>
      <c r="G102" t="inlineStr">
        <is>
          <t>Other Kids / Family at Home</t>
        </is>
      </c>
      <c r="H102" t="inlineStr"/>
    </row>
    <row r="103">
      <c r="A103" t="inlineStr">
        <is>
          <t>No</t>
        </is>
      </c>
      <c r="B103" t="inlineStr"/>
      <c r="C103" t="inlineStr"/>
      <c r="D103" t="inlineStr"/>
      <c r="E103" t="inlineStr">
        <is>
          <t>Time commitment, availability, and I want my son to have an experience away from me</t>
        </is>
      </c>
      <c r="F103" t="inlineStr">
        <is>
          <t>Work Schedule / Time Off</t>
        </is>
      </c>
      <c r="G103" t="inlineStr">
        <is>
          <t>Work Schedule / Time Off; Wants Child to Have Independent Experience</t>
        </is>
      </c>
      <c r="H103" t="inlineStr"/>
    </row>
    <row r="104">
      <c r="A104" t="inlineStr">
        <is>
          <t>No</t>
        </is>
      </c>
      <c r="B104" t="inlineStr"/>
      <c r="C104" t="inlineStr"/>
      <c r="D104" t="inlineStr"/>
      <c r="E104" t="inlineStr">
        <is>
          <t>Costs. My husband went before and loved it. If it wasn't so expensive I would have gone!</t>
        </is>
      </c>
      <c r="F104" t="inlineStr">
        <is>
          <t>Cost / Finances</t>
        </is>
      </c>
      <c r="G104" t="inlineStr">
        <is>
          <t>Cost / Finances; Another Family Member Going Instead</t>
        </is>
      </c>
      <c r="H104" t="inlineStr"/>
    </row>
    <row r="105">
      <c r="A105" t="inlineStr">
        <is>
          <t>No</t>
        </is>
      </c>
      <c r="B105" t="inlineStr"/>
      <c r="C105" t="inlineStr"/>
      <c r="D105" t="inlineStr"/>
      <c r="E105" t="inlineStr">
        <is>
          <t>I'm not good with teenagers</t>
        </is>
      </c>
      <c r="F105" t="inlineStr">
        <is>
          <t>Not a Traveler / Personal Preference</t>
        </is>
      </c>
      <c r="G105" t="inlineStr">
        <is>
          <t>Not a Traveler / Personal Preference</t>
        </is>
      </c>
      <c r="H105" t="inlineStr"/>
    </row>
    <row r="106">
      <c r="A106" t="inlineStr">
        <is>
          <t>No</t>
        </is>
      </c>
      <c r="B106" t="inlineStr"/>
      <c r="C106" t="inlineStr"/>
      <c r="D106" t="inlineStr"/>
      <c r="E106" t="inlineStr">
        <is>
          <t>I think the experience will be fuller without mom or dad there.</t>
        </is>
      </c>
      <c r="F106" t="inlineStr">
        <is>
          <t>Wants Child to Have Independent Experience</t>
        </is>
      </c>
      <c r="G106" t="inlineStr">
        <is>
          <t>Wants Child to Have Independent Experience</t>
        </is>
      </c>
      <c r="H106" t="inlineStr"/>
    </row>
    <row r="107">
      <c r="A107" t="inlineStr">
        <is>
          <t>Yes</t>
        </is>
      </c>
      <c r="B107" t="inlineStr">
        <is>
          <t>The destination country and the service opportunity</t>
        </is>
      </c>
      <c r="C107" t="inlineStr">
        <is>
          <t>Faith / Service Motivation</t>
        </is>
      </c>
      <c r="D107" t="inlineStr">
        <is>
          <t>Faith / Service Motivation</t>
        </is>
      </c>
      <c r="E107" t="inlineStr"/>
      <c r="F107" t="inlineStr"/>
      <c r="G107" t="inlineStr"/>
      <c r="H107" t="inlineStr"/>
    </row>
    <row r="108">
      <c r="A108" t="inlineStr">
        <is>
          <t>No</t>
        </is>
      </c>
      <c r="B108" t="inlineStr"/>
      <c r="C108" t="inlineStr"/>
      <c r="D108" t="inlineStr"/>
      <c r="E108" t="inlineStr">
        <is>
          <t>Work</t>
        </is>
      </c>
      <c r="F108" t="inlineStr">
        <is>
          <t>Work Schedule / Time Off</t>
        </is>
      </c>
      <c r="G108" t="inlineStr">
        <is>
          <t>Work Schedule / Time Off</t>
        </is>
      </c>
      <c r="H108" t="inlineStr"/>
    </row>
    <row r="109">
      <c r="A109" t="inlineStr">
        <is>
          <t>No</t>
        </is>
      </c>
      <c r="B109" t="inlineStr"/>
      <c r="C109" t="inlineStr"/>
      <c r="D109" t="inlineStr"/>
      <c r="E109" t="inlineStr">
        <is>
          <t>Money</t>
        </is>
      </c>
      <c r="F109" t="inlineStr">
        <is>
          <t>Cost / Finances</t>
        </is>
      </c>
      <c r="G109" t="inlineStr">
        <is>
          <t>Cost / Finances</t>
        </is>
      </c>
      <c r="H109" t="inlineStr"/>
    </row>
    <row r="110">
      <c r="A110" t="inlineStr">
        <is>
          <t>Maybe</t>
        </is>
      </c>
      <c r="B110" t="inlineStr"/>
      <c r="C110" t="inlineStr"/>
      <c r="D110" t="inlineStr"/>
      <c r="E110" t="inlineStr"/>
      <c r="F110" t="inlineStr"/>
      <c r="G110" t="inlineStr"/>
      <c r="H110" t="inlineStr">
        <is>
          <t>Cost and destination choice.</t>
        </is>
      </c>
    </row>
    <row r="111">
      <c r="A111" t="inlineStr">
        <is>
          <t>No</t>
        </is>
      </c>
      <c r="B111" t="inlineStr"/>
      <c r="C111" t="inlineStr"/>
      <c r="D111" t="inlineStr"/>
      <c r="E111" t="inlineStr"/>
      <c r="F111" t="inlineStr"/>
      <c r="G111" t="inlineStr"/>
      <c r="H111" t="inlineStr"/>
    </row>
    <row r="112">
      <c r="A112" t="inlineStr">
        <is>
          <t>No</t>
        </is>
      </c>
      <c r="B112" t="inlineStr"/>
      <c r="C112" t="inlineStr"/>
      <c r="D112" t="inlineStr"/>
      <c r="E112" t="inlineStr">
        <is>
          <t>Mostly financial… also wanted her to get to do something independently</t>
        </is>
      </c>
      <c r="F112" t="inlineStr">
        <is>
          <t>Cost / Finances</t>
        </is>
      </c>
      <c r="G112" t="inlineStr">
        <is>
          <t>Cost / Finances; Wants Child to Have Independent Experience</t>
        </is>
      </c>
      <c r="H112" t="inlineStr"/>
    </row>
    <row r="113">
      <c r="A113" t="inlineStr">
        <is>
          <t>No</t>
        </is>
      </c>
      <c r="B113" t="inlineStr"/>
      <c r="C113" t="inlineStr"/>
      <c r="D113" t="inlineStr"/>
      <c r="E113" t="inlineStr">
        <is>
          <t>Felt my daughter needed the chance to go out on her own</t>
        </is>
      </c>
      <c r="F113" t="inlineStr">
        <is>
          <t>Wants Child to Have Independent Experience</t>
        </is>
      </c>
      <c r="G113" t="inlineStr">
        <is>
          <t>Wants Child to Have Independent Experience</t>
        </is>
      </c>
      <c r="H113" t="inlineStr"/>
    </row>
    <row r="114">
      <c r="A114" t="inlineStr">
        <is>
          <t>Yes</t>
        </is>
      </c>
      <c r="B114" t="inlineStr">
        <is>
          <t>My sibling went. Health concerns for my child.</t>
        </is>
      </c>
      <c r="C114" t="inlineStr">
        <is>
          <t>Concerned About Child Going Alone / Safety</t>
        </is>
      </c>
      <c r="D114" t="inlineStr">
        <is>
          <t>Concerned About Child Going Alone / Safety</t>
        </is>
      </c>
      <c r="E114" t="inlineStr"/>
      <c r="F114" t="inlineStr"/>
      <c r="G114" t="inlineStr"/>
      <c r="H114" t="inlineStr"/>
    </row>
    <row r="115">
      <c r="A115" t="inlineStr">
        <is>
          <t>No</t>
        </is>
      </c>
      <c r="B115" t="inlineStr"/>
      <c r="C115" t="inlineStr"/>
      <c r="D115" t="inlineStr"/>
      <c r="E115" t="inlineStr">
        <is>
          <t>My daughter wanted this to be her experience.</t>
        </is>
      </c>
      <c r="F115" t="inlineStr">
        <is>
          <t>Wants Child to Have Independent Experience</t>
        </is>
      </c>
      <c r="G115" t="inlineStr">
        <is>
          <t>Wants Child to Have Independent Experience</t>
        </is>
      </c>
      <c r="H115" t="inlineStr"/>
    </row>
    <row r="116">
      <c r="A116" t="inlineStr">
        <is>
          <t>No</t>
        </is>
      </c>
      <c r="B116" t="inlineStr"/>
      <c r="C116" t="inlineStr"/>
      <c r="D116" t="inlineStr"/>
      <c r="E116" t="inlineStr"/>
      <c r="F116" t="inlineStr"/>
      <c r="G116" t="inlineStr"/>
      <c r="H116" t="inlineStr"/>
    </row>
    <row r="117">
      <c r="A117" t="inlineStr">
        <is>
          <t>No</t>
        </is>
      </c>
      <c r="B117" t="inlineStr"/>
      <c r="C117" t="inlineStr"/>
      <c r="D117" t="inlineStr"/>
      <c r="E117" t="inlineStr">
        <is>
          <t>I have other kids at home and too many obligations to leave</t>
        </is>
      </c>
      <c r="F117" t="inlineStr">
        <is>
          <t>Work Schedule / Time Off</t>
        </is>
      </c>
      <c r="G117" t="inlineStr">
        <is>
          <t>Work Schedule / Time Off; Other Kids / Family at Home</t>
        </is>
      </c>
      <c r="H117" t="inlineStr"/>
    </row>
    <row r="118">
      <c r="A118" t="inlineStr">
        <is>
          <t>No</t>
        </is>
      </c>
      <c r="B118" t="inlineStr"/>
      <c r="C118" t="inlineStr"/>
      <c r="D118" t="inlineStr"/>
      <c r="E118" t="inlineStr">
        <is>
          <t>cost</t>
        </is>
      </c>
      <c r="F118" t="inlineStr">
        <is>
          <t>Cost / Finances</t>
        </is>
      </c>
      <c r="G118" t="inlineStr">
        <is>
          <t>Cost / Finances</t>
        </is>
      </c>
      <c r="H118" t="inlineStr"/>
    </row>
    <row r="119">
      <c r="A119" t="inlineStr">
        <is>
          <t>No</t>
        </is>
      </c>
      <c r="B119" t="inlineStr"/>
      <c r="C119" t="inlineStr"/>
      <c r="D119" t="inlineStr"/>
      <c r="E119" t="inlineStr">
        <is>
          <t>Child wants to be independent and want to give them that opportunity.</t>
        </is>
      </c>
      <c r="F119" t="inlineStr">
        <is>
          <t>Wants Child to Have Independent Experience</t>
        </is>
      </c>
      <c r="G119" t="inlineStr">
        <is>
          <t>Wants Child to Have Independent Experience</t>
        </is>
      </c>
      <c r="H119" t="inlineStr"/>
    </row>
    <row r="120">
      <c r="A120" t="inlineStr">
        <is>
          <t>No</t>
        </is>
      </c>
      <c r="B120" t="inlineStr"/>
      <c r="C120" t="inlineStr"/>
      <c r="D120" t="inlineStr"/>
      <c r="E120" t="inlineStr"/>
      <c r="F120" t="inlineStr"/>
      <c r="G120" t="inlineStr"/>
      <c r="H120" t="inlineStr"/>
    </row>
    <row r="121">
      <c r="A121" t="inlineStr">
        <is>
          <t>No</t>
        </is>
      </c>
      <c r="B121" t="inlineStr"/>
      <c r="C121" t="inlineStr"/>
      <c r="D121" t="inlineStr"/>
      <c r="E121" t="inlineStr">
        <is>
          <t>Money.</t>
        </is>
      </c>
      <c r="F121" t="inlineStr">
        <is>
          <t>Cost / Finances</t>
        </is>
      </c>
      <c r="G121" t="inlineStr">
        <is>
          <t>Cost / Finances</t>
        </is>
      </c>
      <c r="H121" t="inlineStr"/>
    </row>
    <row r="122">
      <c r="A122" t="inlineStr">
        <is>
          <t>No</t>
        </is>
      </c>
      <c r="B122" t="inlineStr"/>
      <c r="C122" t="inlineStr"/>
      <c r="D122" t="inlineStr"/>
      <c r="E122" t="inlineStr"/>
      <c r="F122" t="inlineStr"/>
      <c r="G122" t="inlineStr"/>
      <c r="H122" t="inlineStr"/>
    </row>
    <row r="123">
      <c r="A123" t="inlineStr">
        <is>
          <t>No</t>
        </is>
      </c>
      <c r="B123" t="inlineStr"/>
      <c r="C123" t="inlineStr"/>
      <c r="D123" t="inlineStr"/>
      <c r="E123" t="inlineStr">
        <is>
          <t>Work and family responsibilities</t>
        </is>
      </c>
      <c r="F123" t="inlineStr">
        <is>
          <t>Work Schedule / Time Off</t>
        </is>
      </c>
      <c r="G123" t="inlineStr">
        <is>
          <t>Work Schedule / Time Off</t>
        </is>
      </c>
      <c r="H123" t="inlineStr"/>
    </row>
    <row r="124">
      <c r="A124" t="inlineStr">
        <is>
          <t>No</t>
        </is>
      </c>
      <c r="B124" t="inlineStr"/>
      <c r="C124" t="inlineStr"/>
      <c r="D124" t="inlineStr"/>
      <c r="E124" t="inlineStr">
        <is>
          <t>the price was the main factor</t>
        </is>
      </c>
      <c r="F124" t="inlineStr">
        <is>
          <t>Cost / Finances</t>
        </is>
      </c>
      <c r="G124" t="inlineStr">
        <is>
          <t>Cost / Finances</t>
        </is>
      </c>
      <c r="H124" t="inlineStr"/>
    </row>
    <row r="125">
      <c r="A125" t="inlineStr">
        <is>
          <t>Yes</t>
        </is>
      </c>
      <c r="B125" t="inlineStr">
        <is>
          <t>My son and wife asked me if I would like to participate as a Parent Builder... You don't say No to that kind of invitation... I was on it!</t>
        </is>
      </c>
      <c r="C125" t="inlineStr">
        <is>
          <t>Child/Spouse Asked Them to Go</t>
        </is>
      </c>
      <c r="D125" t="inlineStr">
        <is>
          <t>Child/Spouse Asked Them to Go</t>
        </is>
      </c>
      <c r="E125" t="inlineStr"/>
      <c r="F125" t="inlineStr"/>
      <c r="G125" t="inlineStr"/>
      <c r="H125" t="inlineStr"/>
    </row>
    <row r="126">
      <c r="A126" t="inlineStr">
        <is>
          <t>No</t>
        </is>
      </c>
      <c r="B126" t="inlineStr"/>
      <c r="C126" t="inlineStr"/>
      <c r="D126" t="inlineStr"/>
      <c r="E126" t="inlineStr">
        <is>
          <t>Money and letting my daughter have her own experience</t>
        </is>
      </c>
      <c r="F126" t="inlineStr">
        <is>
          <t>Cost / Finances</t>
        </is>
      </c>
      <c r="G126" t="inlineStr">
        <is>
          <t>Cost / Finances; Wants Child to Have Independent Experience</t>
        </is>
      </c>
      <c r="H126" t="inlineStr"/>
    </row>
    <row r="127">
      <c r="A127" t="inlineStr">
        <is>
          <t>Maybe</t>
        </is>
      </c>
      <c r="B127" t="inlineStr"/>
      <c r="C127" t="inlineStr"/>
      <c r="D127" t="inlineStr"/>
      <c r="E127" t="inlineStr"/>
      <c r="F127" t="inlineStr"/>
      <c r="G127" t="inlineStr"/>
      <c r="H127" t="inlineStr"/>
    </row>
    <row r="128">
      <c r="A128" t="inlineStr">
        <is>
          <t>No</t>
        </is>
      </c>
      <c r="B128" t="inlineStr"/>
      <c r="C128" t="inlineStr"/>
      <c r="D128" t="inlineStr"/>
      <c r="E128" t="inlineStr">
        <is>
          <t>My daughter didn't want me to go with her</t>
        </is>
      </c>
      <c r="F128" t="inlineStr">
        <is>
          <t>Child Didn't Want Parent to Come</t>
        </is>
      </c>
      <c r="G128" t="inlineStr">
        <is>
          <t>Child Didn't Want Parent to Come</t>
        </is>
      </c>
      <c r="H128" t="inlineStr"/>
    </row>
    <row r="129">
      <c r="A129" t="inlineStr">
        <is>
          <t>No</t>
        </is>
      </c>
      <c r="B129" t="inlineStr"/>
      <c r="C129" t="inlineStr"/>
      <c r="D129" t="inlineStr"/>
      <c r="E129" t="inlineStr">
        <is>
          <t>My daughter did not want me to go</t>
        </is>
      </c>
      <c r="F129" t="inlineStr">
        <is>
          <t>Child Didn't Want Parent to Come</t>
        </is>
      </c>
      <c r="G129" t="inlineStr">
        <is>
          <t>Child Didn't Want Parent to Come</t>
        </is>
      </c>
      <c r="H129" t="inlineStr"/>
    </row>
    <row r="130">
      <c r="A130" t="inlineStr">
        <is>
          <t>No</t>
        </is>
      </c>
      <c r="B130" t="inlineStr"/>
      <c r="C130" t="inlineStr"/>
      <c r="D130" t="inlineStr"/>
      <c r="E130" t="inlineStr">
        <is>
          <t>Mom was already full</t>
        </is>
      </c>
      <c r="F130" t="inlineStr">
        <is>
          <t>Trip / Spot Was Already Full</t>
        </is>
      </c>
      <c r="G130" t="inlineStr">
        <is>
          <t>Trip / Spot Was Already Full; Another Family Member Going Instead</t>
        </is>
      </c>
      <c r="H130" t="inlineStr"/>
    </row>
    <row r="131">
      <c r="A131" t="inlineStr">
        <is>
          <t>No</t>
        </is>
      </c>
      <c r="B131" t="inlineStr"/>
      <c r="C131" t="inlineStr"/>
      <c r="D131" t="inlineStr"/>
      <c r="E131" t="inlineStr">
        <is>
          <t>Cost of the trip was too expensive for both of us to go</t>
        </is>
      </c>
      <c r="F131" t="inlineStr">
        <is>
          <t>Cost / Finances</t>
        </is>
      </c>
      <c r="G131" t="inlineStr">
        <is>
          <t>Cost / Finances</t>
        </is>
      </c>
      <c r="H131" t="inlineStr"/>
    </row>
    <row r="132">
      <c r="A132" t="inlineStr">
        <is>
          <t>Yes</t>
        </is>
      </c>
      <c r="B132" t="inlineStr">
        <is>
          <t>I love to travel and love what HXP does to help.</t>
        </is>
      </c>
      <c r="C132" t="inlineStr">
        <is>
          <t>Love of Travel / Culture</t>
        </is>
      </c>
      <c r="D132" t="inlineStr">
        <is>
          <t>Love of Travel / Culture</t>
        </is>
      </c>
      <c r="E132" t="inlineStr"/>
      <c r="F132" t="inlineStr"/>
      <c r="G132" t="inlineStr"/>
      <c r="H132" t="inlineStr"/>
    </row>
    <row r="133">
      <c r="A133" t="inlineStr">
        <is>
          <t>No</t>
        </is>
      </c>
      <c r="B133" t="inlineStr"/>
      <c r="C133" t="inlineStr"/>
      <c r="D133" t="inlineStr"/>
      <c r="E133" t="inlineStr">
        <is>
          <t>Cost</t>
        </is>
      </c>
      <c r="F133" t="inlineStr">
        <is>
          <t>Cost / Finances</t>
        </is>
      </c>
      <c r="G133" t="inlineStr">
        <is>
          <t>Cost / Finances</t>
        </is>
      </c>
      <c r="H133" t="inlineStr"/>
    </row>
    <row r="134">
      <c r="A134" t="inlineStr">
        <is>
          <t>No</t>
        </is>
      </c>
      <c r="B134" t="inlineStr"/>
      <c r="C134" t="inlineStr"/>
      <c r="D134" t="inlineStr"/>
      <c r="E134" t="inlineStr">
        <is>
          <t>3 other kids at home</t>
        </is>
      </c>
      <c r="F134" t="inlineStr">
        <is>
          <t>Other Kids / Family at Home</t>
        </is>
      </c>
      <c r="G134" t="inlineStr">
        <is>
          <t>Other Kids / Family at Home</t>
        </is>
      </c>
      <c r="H134" t="inlineStr"/>
    </row>
    <row r="135">
      <c r="A135" t="inlineStr">
        <is>
          <t>No</t>
        </is>
      </c>
      <c r="B135" t="inlineStr"/>
      <c r="C135" t="inlineStr"/>
      <c r="D135" t="inlineStr"/>
      <c r="E135" t="inlineStr"/>
      <c r="F135" t="inlineStr"/>
      <c r="G135" t="inlineStr"/>
      <c r="H135" t="inlineStr"/>
    </row>
    <row r="136">
      <c r="A136" t="inlineStr">
        <is>
          <t>No</t>
        </is>
      </c>
      <c r="B136" t="inlineStr"/>
      <c r="C136" t="inlineStr"/>
      <c r="D136" t="inlineStr"/>
      <c r="E136" t="inlineStr">
        <is>
          <t>Additional Cost</t>
        </is>
      </c>
      <c r="F136" t="inlineStr">
        <is>
          <t>Cost / Finances</t>
        </is>
      </c>
      <c r="G136" t="inlineStr">
        <is>
          <t>Cost / Finances</t>
        </is>
      </c>
      <c r="H136" t="inlineStr"/>
    </row>
    <row r="137">
      <c r="A137" t="inlineStr">
        <is>
          <t>No</t>
        </is>
      </c>
      <c r="B137" t="inlineStr"/>
      <c r="C137" t="inlineStr"/>
      <c r="D137" t="inlineStr"/>
      <c r="E137" t="inlineStr">
        <is>
          <t>Not enough vacation time</t>
        </is>
      </c>
      <c r="F137" t="inlineStr">
        <is>
          <t>Work Schedule / Time Off</t>
        </is>
      </c>
      <c r="G137" t="inlineStr">
        <is>
          <t>Work Schedule / Time Off</t>
        </is>
      </c>
      <c r="H137" t="inlineStr"/>
    </row>
    <row r="138">
      <c r="A138" t="inlineStr">
        <is>
          <t>No</t>
        </is>
      </c>
      <c r="B138" t="inlineStr"/>
      <c r="C138" t="inlineStr"/>
      <c r="D138" t="inlineStr"/>
      <c r="E138" t="inlineStr">
        <is>
          <t>Time availability. Two working parents don't have time available off work to commit to such a big trip.</t>
        </is>
      </c>
      <c r="F138" t="inlineStr">
        <is>
          <t>Work Schedule / Time Off</t>
        </is>
      </c>
      <c r="G138" t="inlineStr">
        <is>
          <t>Work Schedule / Time Off</t>
        </is>
      </c>
      <c r="H138" t="inlineStr"/>
    </row>
    <row r="139">
      <c r="A139" t="inlineStr">
        <is>
          <t>No</t>
        </is>
      </c>
      <c r="B139" t="inlineStr"/>
      <c r="C139" t="inlineStr"/>
      <c r="D139" t="inlineStr"/>
      <c r="E139" t="inlineStr">
        <is>
          <t>Other commitments and wanting to give son space</t>
        </is>
      </c>
      <c r="F139" t="inlineStr">
        <is>
          <t>Work Schedule / Time Off</t>
        </is>
      </c>
      <c r="G139" t="inlineStr">
        <is>
          <t>Work Schedule / Time Off</t>
        </is>
      </c>
      <c r="H139" t="inlineStr"/>
    </row>
    <row r="140">
      <c r="A140" t="inlineStr">
        <is>
          <t>No</t>
        </is>
      </c>
      <c r="B140" t="inlineStr"/>
      <c r="C140" t="inlineStr"/>
      <c r="D140" t="inlineStr"/>
      <c r="E140" t="inlineStr"/>
      <c r="F140" t="inlineStr"/>
      <c r="G140" t="inlineStr"/>
      <c r="H140" t="inlineStr"/>
    </row>
    <row r="141">
      <c r="A141" t="inlineStr">
        <is>
          <t>No</t>
        </is>
      </c>
      <c r="B141" t="inlineStr"/>
      <c r="C141" t="inlineStr"/>
      <c r="D141" t="inlineStr"/>
      <c r="E141" t="inlineStr">
        <is>
          <t>Cost</t>
        </is>
      </c>
      <c r="F141" t="inlineStr">
        <is>
          <t>Cost / Finances</t>
        </is>
      </c>
      <c r="G141" t="inlineStr">
        <is>
          <t>Cost / Finances</t>
        </is>
      </c>
      <c r="H141" t="inlineStr"/>
    </row>
    <row r="142">
      <c r="A142" t="inlineStr">
        <is>
          <t>No</t>
        </is>
      </c>
      <c r="B142" t="inlineStr"/>
      <c r="C142" t="inlineStr"/>
      <c r="D142" t="inlineStr"/>
      <c r="E142" t="inlineStr">
        <is>
          <t>my child</t>
        </is>
      </c>
      <c r="F142" t="inlineStr">
        <is>
          <t>Family's Own Choice (No Elaboration)</t>
        </is>
      </c>
      <c r="G142" t="inlineStr">
        <is>
          <t>Family's Own Choice (No Elaboration)</t>
        </is>
      </c>
      <c r="H142" t="inlineStr"/>
    </row>
    <row r="143">
      <c r="A143" t="inlineStr">
        <is>
          <t>No</t>
        </is>
      </c>
      <c r="B143" t="inlineStr"/>
      <c r="C143" t="inlineStr"/>
      <c r="D143" t="inlineStr"/>
      <c r="E143" t="inlineStr">
        <is>
          <t>I have 6 younger children at home</t>
        </is>
      </c>
      <c r="F143" t="inlineStr">
        <is>
          <t>Other Kids / Family at Home</t>
        </is>
      </c>
      <c r="G143" t="inlineStr">
        <is>
          <t>Other Kids / Family at Home</t>
        </is>
      </c>
      <c r="H143" t="inlineStr"/>
    </row>
    <row r="144">
      <c r="A144" t="inlineStr">
        <is>
          <t>No</t>
        </is>
      </c>
      <c r="B144" t="inlineStr"/>
      <c r="C144" t="inlineStr"/>
      <c r="D144" t="inlineStr"/>
      <c r="E144" t="inlineStr">
        <is>
          <t>Cost</t>
        </is>
      </c>
      <c r="F144" t="inlineStr">
        <is>
          <t>Cost / Finances</t>
        </is>
      </c>
      <c r="G144" t="inlineStr">
        <is>
          <t>Cost / Finances</t>
        </is>
      </c>
      <c r="H144" t="inlineStr"/>
    </row>
    <row r="145">
      <c r="A145" t="inlineStr">
        <is>
          <t>No</t>
        </is>
      </c>
      <c r="B145" t="inlineStr"/>
      <c r="C145" t="inlineStr"/>
      <c r="D145" t="inlineStr"/>
      <c r="E145" t="inlineStr">
        <is>
          <t>Daughter wanted to go alone.</t>
        </is>
      </c>
      <c r="F145" t="inlineStr">
        <is>
          <t>Wants Child to Have Independent Experience</t>
        </is>
      </c>
      <c r="G145" t="inlineStr">
        <is>
          <t>Wants Child to Have Independent Experience</t>
        </is>
      </c>
      <c r="H145" t="inlineStr"/>
    </row>
    <row r="146">
      <c r="A146" t="inlineStr">
        <is>
          <t>Yes</t>
        </is>
      </c>
      <c r="B146" t="inlineStr">
        <is>
          <t>I'm impressed by the HXP program and know we'll be in good hands.</t>
        </is>
      </c>
      <c r="C146" t="inlineStr">
        <is>
          <t>Trust in the HXP Program</t>
        </is>
      </c>
      <c r="D146" t="inlineStr">
        <is>
          <t>Trust in the HXP Program</t>
        </is>
      </c>
      <c r="E146" t="inlineStr"/>
      <c r="F146" t="inlineStr"/>
      <c r="G146" t="inlineStr"/>
      <c r="H146" t="inlineStr"/>
    </row>
    <row r="147">
      <c r="A147" t="inlineStr">
        <is>
          <t>No</t>
        </is>
      </c>
      <c r="B147" t="inlineStr"/>
      <c r="C147" t="inlineStr"/>
      <c r="D147" t="inlineStr"/>
      <c r="E147" t="inlineStr">
        <is>
          <t>My child wouldn't want me there</t>
        </is>
      </c>
      <c r="F147" t="inlineStr">
        <is>
          <t>Child Didn't Want Parent to Come</t>
        </is>
      </c>
      <c r="G147" t="inlineStr">
        <is>
          <t>Child Didn't Want Parent to Come</t>
        </is>
      </c>
      <c r="H147" t="inlineStr"/>
    </row>
    <row r="148">
      <c r="A148" t="inlineStr">
        <is>
          <t>No</t>
        </is>
      </c>
      <c r="B148" t="inlineStr"/>
      <c r="C148" t="inlineStr"/>
      <c r="D148" t="inlineStr"/>
      <c r="E148" t="inlineStr">
        <is>
          <t>My kids. They didn't want me to go. They wanted to experience it themselves without me getting a birds eye view.</t>
        </is>
      </c>
      <c r="F148" t="inlineStr">
        <is>
          <t>Child Didn't Want Parent to Come</t>
        </is>
      </c>
      <c r="G148" t="inlineStr">
        <is>
          <t>Child Didn't Want Parent to Come; Wants Child to Have Independent Experience</t>
        </is>
      </c>
      <c r="H148" t="inlineStr"/>
    </row>
    <row r="149">
      <c r="A149" t="inlineStr">
        <is>
          <t>No</t>
        </is>
      </c>
      <c r="B149" t="inlineStr"/>
      <c r="C149" t="inlineStr"/>
      <c r="D149" t="inlineStr"/>
      <c r="E149" t="inlineStr">
        <is>
          <t>Money and time</t>
        </is>
      </c>
      <c r="F149" t="inlineStr">
        <is>
          <t>Cost / Finances</t>
        </is>
      </c>
      <c r="G149" t="inlineStr">
        <is>
          <t>Cost / Finances; Work Schedule / Time Off</t>
        </is>
      </c>
      <c r="H149" t="inlineStr"/>
    </row>
    <row r="150">
      <c r="A150" t="inlineStr">
        <is>
          <t>No</t>
        </is>
      </c>
      <c r="B150" t="inlineStr"/>
      <c r="C150" t="inlineStr"/>
      <c r="D150" t="inlineStr"/>
      <c r="E150" t="inlineStr">
        <is>
          <t>Our daughter didn't want us to go with her =)</t>
        </is>
      </c>
      <c r="F150" t="inlineStr">
        <is>
          <t>Child Didn't Want Parent to Come</t>
        </is>
      </c>
      <c r="G150" t="inlineStr">
        <is>
          <t>Child Didn't Want Parent to Come</t>
        </is>
      </c>
      <c r="H150" t="inlineStr"/>
    </row>
    <row r="151">
      <c r="A151" t="inlineStr">
        <is>
          <t>No</t>
        </is>
      </c>
      <c r="B151" t="inlineStr"/>
      <c r="C151" t="inlineStr"/>
      <c r="D151" t="inlineStr"/>
      <c r="E151" t="inlineStr">
        <is>
          <t>schedule with work</t>
        </is>
      </c>
      <c r="F151" t="inlineStr">
        <is>
          <t>Work Schedule / Time Off</t>
        </is>
      </c>
      <c r="G151" t="inlineStr">
        <is>
          <t>Work Schedule / Time Off</t>
        </is>
      </c>
      <c r="H151" t="inlineStr"/>
    </row>
    <row r="152">
      <c r="A152" t="inlineStr">
        <is>
          <t>No</t>
        </is>
      </c>
      <c r="B152" t="inlineStr"/>
      <c r="C152" t="inlineStr"/>
      <c r="D152" t="inlineStr"/>
      <c r="E152" t="inlineStr">
        <is>
          <t>Other obligations at home</t>
        </is>
      </c>
      <c r="F152" t="inlineStr">
        <is>
          <t>Work Schedule / Time Off</t>
        </is>
      </c>
      <c r="G152" t="inlineStr">
        <is>
          <t>Work Schedule / Time Off</t>
        </is>
      </c>
      <c r="H152" t="inlineStr"/>
    </row>
    <row r="153">
      <c r="A153" t="inlineStr">
        <is>
          <t>No</t>
        </is>
      </c>
      <c r="B153" t="inlineStr"/>
      <c r="C153" t="inlineStr"/>
      <c r="D153" t="inlineStr"/>
      <c r="E153" t="inlineStr">
        <is>
          <t>Health issues, other children at home</t>
        </is>
      </c>
      <c r="F153" t="inlineStr">
        <is>
          <t>Other Kids / Family at Home</t>
        </is>
      </c>
      <c r="G153" t="inlineStr">
        <is>
          <t>Other Kids / Family at Home; Health / Physical / Age</t>
        </is>
      </c>
      <c r="H153" t="inlineStr"/>
    </row>
    <row r="154">
      <c r="A154" t="inlineStr">
        <is>
          <t>No</t>
        </is>
      </c>
      <c r="B154" t="inlineStr"/>
      <c r="C154" t="inlineStr"/>
      <c r="D154" t="inlineStr"/>
      <c r="E154" t="inlineStr">
        <is>
          <t>Time and $ and expired passport</t>
        </is>
      </c>
      <c r="F154" t="inlineStr">
        <is>
          <t>Cost / Finances</t>
        </is>
      </c>
      <c r="G154" t="inlineStr">
        <is>
          <t>Cost / Finances; Work Schedule / Time Off</t>
        </is>
      </c>
      <c r="H154" t="inlineStr"/>
    </row>
    <row r="155">
      <c r="A155" t="inlineStr">
        <is>
          <t>No</t>
        </is>
      </c>
      <c r="B155" t="inlineStr"/>
      <c r="C155" t="inlineStr"/>
      <c r="D155" t="inlineStr"/>
      <c r="E155" t="inlineStr">
        <is>
          <t>Time</t>
        </is>
      </c>
      <c r="F155" t="inlineStr">
        <is>
          <t>Work Schedule / Time Off</t>
        </is>
      </c>
      <c r="G155" t="inlineStr">
        <is>
          <t>Work Schedule / Time Off</t>
        </is>
      </c>
      <c r="H155" t="inlineStr"/>
    </row>
    <row r="156">
      <c r="A156" t="inlineStr">
        <is>
          <t>No</t>
        </is>
      </c>
      <c r="B156" t="inlineStr"/>
      <c r="C156" t="inlineStr"/>
      <c r="D156" t="inlineStr"/>
      <c r="E156" t="inlineStr">
        <is>
          <t>We think it would be great for our son to go without one of us. My older son went last year with my husband.</t>
        </is>
      </c>
      <c r="F156" t="inlineStr">
        <is>
          <t>Wants Child to Have Independent Experience</t>
        </is>
      </c>
      <c r="G156" t="inlineStr">
        <is>
          <t>Wants Child to Have Independent Experience</t>
        </is>
      </c>
      <c r="H156" t="inlineStr"/>
    </row>
    <row r="157">
      <c r="A157" t="inlineStr">
        <is>
          <t>No</t>
        </is>
      </c>
      <c r="B157" t="inlineStr"/>
      <c r="C157" t="inlineStr"/>
      <c r="D157" t="inlineStr"/>
      <c r="E157" t="inlineStr">
        <is>
          <t>Cost</t>
        </is>
      </c>
      <c r="F157" t="inlineStr">
        <is>
          <t>Cost / Finances</t>
        </is>
      </c>
      <c r="G157" t="inlineStr">
        <is>
          <t>Cost / Finances</t>
        </is>
      </c>
      <c r="H157" t="inlineStr"/>
    </row>
    <row r="158">
      <c r="A158" t="inlineStr">
        <is>
          <t>No</t>
        </is>
      </c>
      <c r="B158" t="inlineStr"/>
      <c r="C158" t="inlineStr"/>
      <c r="D158" t="inlineStr"/>
      <c r="E158" t="inlineStr">
        <is>
          <t>I'm deaf and I believe it would be difficult to communicate with the group.</t>
        </is>
      </c>
      <c r="F158" t="inlineStr">
        <is>
          <t>Health / Physical / Age</t>
        </is>
      </c>
      <c r="G158" t="inlineStr">
        <is>
          <t>Health / Physical / Age</t>
        </is>
      </c>
      <c r="H158" t="inlineStr"/>
    </row>
    <row r="159">
      <c r="A159" t="inlineStr">
        <is>
          <t>No</t>
        </is>
      </c>
      <c r="B159" t="inlineStr"/>
      <c r="C159" t="inlineStr"/>
      <c r="D159" t="inlineStr"/>
      <c r="E159" t="inlineStr"/>
      <c r="F159" t="inlineStr"/>
      <c r="G159" t="inlineStr"/>
      <c r="H159" t="inlineStr"/>
    </row>
    <row r="160">
      <c r="A160" t="inlineStr">
        <is>
          <t>No</t>
        </is>
      </c>
      <c r="B160" t="inlineStr"/>
      <c r="C160" t="inlineStr"/>
      <c r="D160" t="inlineStr"/>
      <c r="E160" t="inlineStr">
        <is>
          <t>Work obligations</t>
        </is>
      </c>
      <c r="F160" t="inlineStr">
        <is>
          <t>Work Schedule / Time Off</t>
        </is>
      </c>
      <c r="G160" t="inlineStr">
        <is>
          <t>Work Schedule / Time Off</t>
        </is>
      </c>
      <c r="H160" t="inlineStr"/>
    </row>
    <row r="161">
      <c r="A161" t="inlineStr">
        <is>
          <t>No</t>
        </is>
      </c>
      <c r="B161" t="inlineStr"/>
      <c r="C161" t="inlineStr"/>
      <c r="D161" t="inlineStr"/>
      <c r="E161" t="inlineStr">
        <is>
          <t>Can't make it.</t>
        </is>
      </c>
      <c r="F161" t="inlineStr">
        <is>
          <t>Work Schedule / Time Off</t>
        </is>
      </c>
      <c r="G161" t="inlineStr">
        <is>
          <t>Work Schedule / Time Off</t>
        </is>
      </c>
      <c r="H161" t="inlineStr"/>
    </row>
    <row r="162">
      <c r="A162" t="inlineStr">
        <is>
          <t>No</t>
        </is>
      </c>
      <c r="B162" t="inlineStr"/>
      <c r="C162" t="inlineStr"/>
      <c r="D162" t="inlineStr"/>
      <c r="E162" t="inlineStr">
        <is>
          <t>Time demands</t>
        </is>
      </c>
      <c r="F162" t="inlineStr">
        <is>
          <t>Work Schedule / Time Off</t>
        </is>
      </c>
      <c r="G162" t="inlineStr">
        <is>
          <t>Work Schedule / Time Off</t>
        </is>
      </c>
      <c r="H162" t="inlineStr"/>
    </row>
    <row r="163">
      <c r="A163" t="inlineStr">
        <is>
          <t>No</t>
        </is>
      </c>
      <c r="B163" t="inlineStr"/>
      <c r="C163" t="inlineStr"/>
      <c r="D163" t="inlineStr"/>
      <c r="E163" t="inlineStr">
        <is>
          <t>Money</t>
        </is>
      </c>
      <c r="F163" t="inlineStr">
        <is>
          <t>Cost / Finances</t>
        </is>
      </c>
      <c r="G163" t="inlineStr">
        <is>
          <t>Cost / Finances</t>
        </is>
      </c>
      <c r="H163" t="inlineStr"/>
    </row>
    <row r="164">
      <c r="A164" t="inlineStr">
        <is>
          <t>No</t>
        </is>
      </c>
      <c r="B164" t="inlineStr"/>
      <c r="C164" t="inlineStr"/>
      <c r="D164" t="inlineStr"/>
      <c r="E164" t="inlineStr">
        <is>
          <t>My son did not want me to go with him</t>
        </is>
      </c>
      <c r="F164" t="inlineStr">
        <is>
          <t>Child Didn't Want Parent to Come</t>
        </is>
      </c>
      <c r="G164" t="inlineStr">
        <is>
          <t>Child Didn't Want Parent to Come</t>
        </is>
      </c>
      <c r="H164" t="inlineStr"/>
    </row>
    <row r="165">
      <c r="A165" t="inlineStr">
        <is>
          <t>Yes</t>
        </is>
      </c>
      <c r="B165" t="inlineStr"/>
      <c r="C165" t="inlineStr"/>
      <c r="D165" t="inlineStr"/>
      <c r="E165" t="inlineStr"/>
      <c r="F165" t="inlineStr"/>
      <c r="G165" t="inlineStr"/>
      <c r="H165" t="inlineStr"/>
    </row>
    <row r="166">
      <c r="A166" t="inlineStr">
        <is>
          <t>No</t>
        </is>
      </c>
      <c r="B166" t="inlineStr"/>
      <c r="C166" t="inlineStr"/>
      <c r="D166" t="inlineStr"/>
      <c r="E166" t="inlineStr"/>
      <c r="F166" t="inlineStr"/>
      <c r="G166" t="inlineStr"/>
      <c r="H166" t="inlineStr"/>
    </row>
    <row r="167">
      <c r="A167" t="inlineStr">
        <is>
          <t>No</t>
        </is>
      </c>
      <c r="B167" t="inlineStr"/>
      <c r="C167" t="inlineStr"/>
      <c r="D167" t="inlineStr"/>
      <c r="E167" t="inlineStr">
        <is>
          <t>Work</t>
        </is>
      </c>
      <c r="F167" t="inlineStr">
        <is>
          <t>Work Schedule / Time Off</t>
        </is>
      </c>
      <c r="G167" t="inlineStr">
        <is>
          <t>Work Schedule / Time Off</t>
        </is>
      </c>
      <c r="H167" t="inlineStr"/>
    </row>
    <row r="168">
      <c r="A168" t="inlineStr">
        <is>
          <t>No</t>
        </is>
      </c>
      <c r="B168" t="inlineStr"/>
      <c r="C168" t="inlineStr"/>
      <c r="D168" t="inlineStr"/>
      <c r="E168" t="inlineStr">
        <is>
          <t>I have young children at home</t>
        </is>
      </c>
      <c r="F168" t="inlineStr">
        <is>
          <t>Other Kids / Family at Home</t>
        </is>
      </c>
      <c r="G168" t="inlineStr">
        <is>
          <t>Other Kids / Family at Home</t>
        </is>
      </c>
      <c r="H168" t="inlineStr"/>
    </row>
    <row r="169">
      <c r="A169" t="inlineStr">
        <is>
          <t>No</t>
        </is>
      </c>
      <c r="B169" t="inlineStr"/>
      <c r="C169" t="inlineStr"/>
      <c r="D169" t="inlineStr"/>
      <c r="E169" t="inlineStr">
        <is>
          <t>Too many other kids at home that I can't leave</t>
        </is>
      </c>
      <c r="F169" t="inlineStr">
        <is>
          <t>Other Kids / Family at Home</t>
        </is>
      </c>
      <c r="G169" t="inlineStr">
        <is>
          <t>Other Kids / Family at Home</t>
        </is>
      </c>
      <c r="H169" t="inlineStr"/>
    </row>
    <row r="170">
      <c r="A170" t="inlineStr">
        <is>
          <t>No</t>
        </is>
      </c>
      <c r="B170" t="inlineStr"/>
      <c r="C170" t="inlineStr"/>
      <c r="D170" t="inlineStr"/>
      <c r="E170" t="inlineStr">
        <is>
          <t>Let my daughter have her own experience with me</t>
        </is>
      </c>
      <c r="F170" t="inlineStr">
        <is>
          <t>Wants Child to Have Independent Experience</t>
        </is>
      </c>
      <c r="G170" t="inlineStr">
        <is>
          <t>Wants Child to Have Independent Experience</t>
        </is>
      </c>
      <c r="H170" t="inlineStr"/>
    </row>
    <row r="171">
      <c r="A171" t="inlineStr">
        <is>
          <t>No</t>
        </is>
      </c>
      <c r="B171" t="inlineStr"/>
      <c r="C171" t="inlineStr"/>
      <c r="D171" t="inlineStr"/>
      <c r="E171" t="inlineStr">
        <is>
          <t>My son did not want me to go</t>
        </is>
      </c>
      <c r="F171" t="inlineStr">
        <is>
          <t>Child Didn't Want Parent to Come</t>
        </is>
      </c>
      <c r="G171" t="inlineStr">
        <is>
          <t>Child Didn't Want Parent to Come</t>
        </is>
      </c>
      <c r="H171" t="inlineStr"/>
    </row>
    <row r="172">
      <c r="A172" t="inlineStr">
        <is>
          <t>No</t>
        </is>
      </c>
      <c r="B172" t="inlineStr"/>
      <c r="C172" t="inlineStr"/>
      <c r="D172" t="inlineStr"/>
      <c r="E172" t="inlineStr">
        <is>
          <t>Cost and I already went with another child</t>
        </is>
      </c>
      <c r="F172" t="inlineStr">
        <is>
          <t>Cost / Finances</t>
        </is>
      </c>
      <c r="G172" t="inlineStr">
        <is>
          <t>Cost / Finances; Other Kids / Family at Home</t>
        </is>
      </c>
      <c r="H172" t="inlineStr"/>
    </row>
    <row r="173">
      <c r="A173" t="inlineStr">
        <is>
          <t>No</t>
        </is>
      </c>
      <c r="B173" t="inlineStr"/>
      <c r="C173" t="inlineStr"/>
      <c r="D173" t="inlineStr"/>
      <c r="E173" t="inlineStr">
        <is>
          <t>Cost</t>
        </is>
      </c>
      <c r="F173" t="inlineStr">
        <is>
          <t>Cost / Finances</t>
        </is>
      </c>
      <c r="G173" t="inlineStr">
        <is>
          <t>Cost / Finances</t>
        </is>
      </c>
      <c r="H173" t="inlineStr"/>
    </row>
    <row r="174">
      <c r="A174" t="inlineStr">
        <is>
          <t>No</t>
        </is>
      </c>
      <c r="B174" t="inlineStr"/>
      <c r="C174" t="inlineStr"/>
      <c r="D174" t="inlineStr"/>
      <c r="E174" t="inlineStr">
        <is>
          <t>too expensive to pay for my child and myself. I also think this is a great opportunity for her to do this on her own.</t>
        </is>
      </c>
      <c r="F174" t="inlineStr">
        <is>
          <t>Cost / Finances</t>
        </is>
      </c>
      <c r="G174" t="inlineStr">
        <is>
          <t>Cost / Finances; Wants Child to Have Independent Experience</t>
        </is>
      </c>
      <c r="H174" t="inlineStr"/>
    </row>
    <row r="175">
      <c r="A175" t="inlineStr">
        <is>
          <t>No</t>
        </is>
      </c>
      <c r="B175" t="inlineStr"/>
      <c r="C175" t="inlineStr"/>
      <c r="D175" t="inlineStr"/>
      <c r="E175" t="inlineStr">
        <is>
          <t>Other obligations this year, but I hope to go in the future!</t>
        </is>
      </c>
      <c r="F175" t="inlineStr">
        <is>
          <t>Work Schedule / Time Off</t>
        </is>
      </c>
      <c r="G175" t="inlineStr">
        <is>
          <t>Work Schedule / Time Off</t>
        </is>
      </c>
      <c r="H175" t="inlineStr"/>
    </row>
    <row r="176">
      <c r="A176" t="inlineStr">
        <is>
          <t>No</t>
        </is>
      </c>
      <c r="B176" t="inlineStr"/>
      <c r="C176" t="inlineStr"/>
      <c r="D176" t="inlineStr"/>
      <c r="E176" t="inlineStr">
        <is>
          <t>I want my daughter to have an independent experience.</t>
        </is>
      </c>
      <c r="F176" t="inlineStr">
        <is>
          <t>Wants Child to Have Independent Experience</t>
        </is>
      </c>
      <c r="G176" t="inlineStr">
        <is>
          <t>Wants Child to Have Independent Experience</t>
        </is>
      </c>
      <c r="H176" t="inlineStr"/>
    </row>
    <row r="177">
      <c r="A177" t="inlineStr">
        <is>
          <t>No</t>
        </is>
      </c>
      <c r="B177" t="inlineStr"/>
      <c r="C177" t="inlineStr"/>
      <c r="D177" t="inlineStr"/>
      <c r="E177" t="inlineStr">
        <is>
          <t>I can't leave my other children.</t>
        </is>
      </c>
      <c r="F177" t="inlineStr">
        <is>
          <t>Other Kids / Family at Home</t>
        </is>
      </c>
      <c r="G177" t="inlineStr">
        <is>
          <t>Other Kids / Family at Home</t>
        </is>
      </c>
      <c r="H177" t="inlineStr"/>
    </row>
    <row r="178">
      <c r="A178" t="inlineStr">
        <is>
          <t>Maybe</t>
        </is>
      </c>
      <c r="B178" t="inlineStr"/>
      <c r="C178" t="inlineStr"/>
      <c r="D178" t="inlineStr"/>
      <c r="E178" t="inlineStr"/>
      <c r="F178" t="inlineStr"/>
      <c r="G178" t="inlineStr"/>
      <c r="H178" t="inlineStr">
        <is>
          <t>This year my son wanted to go alone. But on our way to drop him off at LAX for Fiji Nadi 1, he asked if I would go with him on a trip next year. I'm surprised he wanted me to go! So I'll definitely consider it for next year.</t>
        </is>
      </c>
    </row>
    <row r="179">
      <c r="A179" t="inlineStr">
        <is>
          <t>No</t>
        </is>
      </c>
      <c r="B179" t="inlineStr"/>
      <c r="C179" t="inlineStr"/>
      <c r="D179" t="inlineStr"/>
      <c r="E179" t="inlineStr">
        <is>
          <t>I'm not adventurous enough. I don't do well being away from home for that long. Also I want my child to have their own experience without me there.</t>
        </is>
      </c>
      <c r="F179" t="inlineStr">
        <is>
          <t>Other Kids / Family at Home</t>
        </is>
      </c>
      <c r="G179" t="inlineStr">
        <is>
          <t>Other Kids / Family at Home; Wants Child to Have Independent Experience; Not a Traveler / Personal Preference</t>
        </is>
      </c>
      <c r="H179" t="inlineStr"/>
    </row>
    <row r="180">
      <c r="A180" t="inlineStr">
        <is>
          <t>No</t>
        </is>
      </c>
      <c r="B180" t="inlineStr"/>
      <c r="C180" t="inlineStr"/>
      <c r="D180" t="inlineStr"/>
      <c r="E180" t="inlineStr">
        <is>
          <t>Expense</t>
        </is>
      </c>
      <c r="F180" t="inlineStr">
        <is>
          <t>Cost / Finances</t>
        </is>
      </c>
      <c r="G180" t="inlineStr">
        <is>
          <t>Cost / Finances</t>
        </is>
      </c>
      <c r="H180" t="inlineStr"/>
    </row>
    <row r="181">
      <c r="A181" t="inlineStr">
        <is>
          <t>No</t>
        </is>
      </c>
      <c r="B181" t="inlineStr"/>
      <c r="C181" t="inlineStr"/>
      <c r="D181" t="inlineStr"/>
      <c r="E181" t="inlineStr">
        <is>
          <t>Too busy with other kids</t>
        </is>
      </c>
      <c r="F181" t="inlineStr">
        <is>
          <t>Work Schedule / Time Off</t>
        </is>
      </c>
      <c r="G181" t="inlineStr">
        <is>
          <t>Work Schedule / Time Off; Other Kids / Family at Home</t>
        </is>
      </c>
      <c r="H181" t="inlineStr"/>
    </row>
    <row r="182">
      <c r="A182" t="inlineStr">
        <is>
          <t>No</t>
        </is>
      </c>
      <c r="B182" t="inlineStr"/>
      <c r="C182" t="inlineStr"/>
      <c r="D182" t="inlineStr"/>
      <c r="E182" t="inlineStr">
        <is>
          <t>Son didn't want me to!</t>
        </is>
      </c>
      <c r="F182" t="inlineStr">
        <is>
          <t>Child Didn't Want Parent to Come</t>
        </is>
      </c>
      <c r="G182" t="inlineStr">
        <is>
          <t>Child Didn't Want Parent to Come</t>
        </is>
      </c>
      <c r="H182" t="inlineStr"/>
    </row>
    <row r="183">
      <c r="A183" t="inlineStr">
        <is>
          <t>No</t>
        </is>
      </c>
      <c r="B183" t="inlineStr"/>
      <c r="C183" t="inlineStr"/>
      <c r="D183" t="inlineStr"/>
      <c r="E183" t="inlineStr">
        <is>
          <t>Work commitments</t>
        </is>
      </c>
      <c r="F183" t="inlineStr">
        <is>
          <t>Work Schedule / Time Off</t>
        </is>
      </c>
      <c r="G183" t="inlineStr">
        <is>
          <t>Work Schedule / Time Off</t>
        </is>
      </c>
      <c r="H183" t="inlineStr"/>
    </row>
    <row r="184">
      <c r="A184" t="inlineStr">
        <is>
          <t>No</t>
        </is>
      </c>
      <c r="B184" t="inlineStr"/>
      <c r="C184" t="inlineStr"/>
      <c r="D184" t="inlineStr"/>
      <c r="E184" t="inlineStr">
        <is>
          <t>I think it would be better for my daughter to be on her own experiencing this!</t>
        </is>
      </c>
      <c r="F184" t="inlineStr">
        <is>
          <t>Wants Child to Have Independent Experience</t>
        </is>
      </c>
      <c r="G184" t="inlineStr">
        <is>
          <t>Wants Child to Have Independent Experience</t>
        </is>
      </c>
      <c r="H184" t="inlineStr"/>
    </row>
    <row r="185">
      <c r="A185" t="inlineStr">
        <is>
          <t>No</t>
        </is>
      </c>
      <c r="B185" t="inlineStr"/>
      <c r="C185" t="inlineStr"/>
      <c r="D185" t="inlineStr"/>
      <c r="E185" t="inlineStr">
        <is>
          <t>son wanted to see how he could do being away from us in preparing for leaving on a mission next summer.</t>
        </is>
      </c>
      <c r="F185" t="inlineStr">
        <is>
          <t>Other Life Commitment</t>
        </is>
      </c>
      <c r="G185" t="inlineStr">
        <is>
          <t>Other Life Commitment</t>
        </is>
      </c>
      <c r="H185" t="inlineStr"/>
    </row>
    <row r="186">
      <c r="A186" t="inlineStr">
        <is>
          <t>Maybe</t>
        </is>
      </c>
      <c r="B186" t="inlineStr"/>
      <c r="C186" t="inlineStr"/>
      <c r="D186" t="inlineStr"/>
      <c r="E186" t="inlineStr"/>
      <c r="F186" t="inlineStr"/>
      <c r="G186" t="inlineStr"/>
      <c r="H186" t="inlineStr"/>
    </row>
    <row r="187">
      <c r="A187" t="inlineStr">
        <is>
          <t>No</t>
        </is>
      </c>
      <c r="B187" t="inlineStr"/>
      <c r="C187" t="inlineStr"/>
      <c r="D187" t="inlineStr"/>
      <c r="E187" t="inlineStr">
        <is>
          <t>Too many thing going on at home, and cost.</t>
        </is>
      </c>
      <c r="F187" t="inlineStr">
        <is>
          <t>Cost / Finances</t>
        </is>
      </c>
      <c r="G187" t="inlineStr">
        <is>
          <t>Cost / Finances</t>
        </is>
      </c>
      <c r="H187" t="inlineStr"/>
    </row>
    <row r="188">
      <c r="A188" t="inlineStr">
        <is>
          <t>No</t>
        </is>
      </c>
      <c r="B188" t="inlineStr"/>
      <c r="C188" t="inlineStr"/>
      <c r="D188" t="inlineStr"/>
      <c r="E188" t="inlineStr">
        <is>
          <t>I attended as a parent builder with my daughter in Malawi 2022. We absolutely loved it. My son wanted to go on a trip independently this time. I hope to go again sometime!</t>
        </is>
      </c>
      <c r="F188" t="inlineStr">
        <is>
          <t>Work Schedule / Time Off</t>
        </is>
      </c>
      <c r="G188" t="inlineStr">
        <is>
          <t>Work Schedule / Time Off; Wants Child to Have Independent Experience</t>
        </is>
      </c>
      <c r="H188" t="inlineStr"/>
    </row>
    <row r="189">
      <c r="A189" t="inlineStr">
        <is>
          <t>No</t>
        </is>
      </c>
      <c r="B189" t="inlineStr"/>
      <c r="C189" t="inlineStr"/>
      <c r="D189" t="inlineStr"/>
      <c r="E189" t="inlineStr">
        <is>
          <t>my son didn't ask me to go</t>
        </is>
      </c>
      <c r="F189" t="inlineStr">
        <is>
          <t>Child Didn't Want Parent to Come</t>
        </is>
      </c>
      <c r="G189" t="inlineStr">
        <is>
          <t>Child Didn't Want Parent to Come</t>
        </is>
      </c>
      <c r="H189" t="inlineStr"/>
    </row>
    <row r="190">
      <c r="A190" t="inlineStr">
        <is>
          <t>No</t>
        </is>
      </c>
      <c r="B190" t="inlineStr"/>
      <c r="C190" t="inlineStr"/>
      <c r="D190" t="inlineStr"/>
      <c r="E190" t="inlineStr">
        <is>
          <t>More kids at home.</t>
        </is>
      </c>
      <c r="F190" t="inlineStr">
        <is>
          <t>Other Kids / Family at Home</t>
        </is>
      </c>
      <c r="G190" t="inlineStr">
        <is>
          <t>Other Kids / Family at Home</t>
        </is>
      </c>
      <c r="H190" t="inlineStr"/>
    </row>
    <row r="191">
      <c r="A191" t="inlineStr">
        <is>
          <t>No</t>
        </is>
      </c>
      <c r="B191" t="inlineStr"/>
      <c r="C191" t="inlineStr"/>
      <c r="D191" t="inlineStr"/>
      <c r="E191" t="inlineStr">
        <is>
          <t>we wanted our child to be able to enjloy this experience on her own without us - we feel that she will have a much better experience being able to go and meet new people and feel independent of parental influence</t>
        </is>
      </c>
      <c r="F191" t="inlineStr">
        <is>
          <t>Wants Child to Have Independent Experience</t>
        </is>
      </c>
      <c r="G191" t="inlineStr">
        <is>
          <t>Wants Child to Have Independent Experience</t>
        </is>
      </c>
      <c r="H191" t="inlineStr"/>
    </row>
    <row r="192">
      <c r="A192" t="inlineStr">
        <is>
          <t>No</t>
        </is>
      </c>
      <c r="B192" t="inlineStr"/>
      <c r="C192" t="inlineStr"/>
      <c r="D192" t="inlineStr"/>
      <c r="E192" t="inlineStr">
        <is>
          <t>Money and time</t>
        </is>
      </c>
      <c r="F192" t="inlineStr">
        <is>
          <t>Cost / Finances</t>
        </is>
      </c>
      <c r="G192" t="inlineStr">
        <is>
          <t>Cost / Finances; Work Schedule / Time Off</t>
        </is>
      </c>
      <c r="H192" t="inlineStr"/>
    </row>
    <row r="193">
      <c r="A193" t="inlineStr">
        <is>
          <t>No</t>
        </is>
      </c>
      <c r="B193" t="inlineStr"/>
      <c r="C193" t="inlineStr"/>
      <c r="D193" t="inlineStr"/>
      <c r="E193" t="inlineStr"/>
      <c r="F193" t="inlineStr"/>
      <c r="G193" t="inlineStr"/>
      <c r="H193" t="inlineStr"/>
    </row>
    <row r="194">
      <c r="A194" t="inlineStr">
        <is>
          <t>No</t>
        </is>
      </c>
      <c r="B194" t="inlineStr"/>
      <c r="C194" t="inlineStr"/>
      <c r="D194" t="inlineStr"/>
      <c r="E194" t="inlineStr">
        <is>
          <t>I have other children at home and it is too long to leave them. My so. Also wanted an experience just for himself.</t>
        </is>
      </c>
      <c r="F194" t="inlineStr">
        <is>
          <t>Other Kids / Family at Home</t>
        </is>
      </c>
      <c r="G194" t="inlineStr">
        <is>
          <t>Other Kids / Family at Home; Wants Child to Have Independent Experience</t>
        </is>
      </c>
      <c r="H194" t="inlineStr"/>
    </row>
    <row r="195">
      <c r="A195" t="inlineStr">
        <is>
          <t>No</t>
        </is>
      </c>
      <c r="B195" t="inlineStr"/>
      <c r="C195" t="inlineStr"/>
      <c r="D195" t="inlineStr"/>
      <c r="E195" t="inlineStr">
        <is>
          <t>I wanted my daughter to have this experience on her own before she moves out of state for college in the fall. Trying her first time away from home this long in preparation for moving out of state. We will miss her greatly.</t>
        </is>
      </c>
      <c r="F195" t="inlineStr">
        <is>
          <t>Work Schedule / Time Off</t>
        </is>
      </c>
      <c r="G195" t="inlineStr">
        <is>
          <t>Work Schedule / Time Off; Other Kids / Family at Home; Wants Child to Have Independent Experience; Other Life Commitment</t>
        </is>
      </c>
      <c r="H195" t="inlineStr"/>
    </row>
    <row r="196">
      <c r="A196" t="inlineStr">
        <is>
          <t>No</t>
        </is>
      </c>
      <c r="B196" t="inlineStr"/>
      <c r="C196" t="inlineStr"/>
      <c r="D196" t="inlineStr"/>
      <c r="E196" t="inlineStr">
        <is>
          <t>Cost.</t>
        </is>
      </c>
      <c r="F196" t="inlineStr">
        <is>
          <t>Cost / Finances</t>
        </is>
      </c>
      <c r="G196" t="inlineStr">
        <is>
          <t>Cost / Finances</t>
        </is>
      </c>
      <c r="H196" t="inlineStr"/>
    </row>
    <row r="197">
      <c r="A197" t="inlineStr">
        <is>
          <t>Yes</t>
        </is>
      </c>
      <c r="B197" t="inlineStr">
        <is>
          <t>Someone at hxp and my daughter</t>
        </is>
      </c>
      <c r="C197" t="inlineStr">
        <is>
          <t>Other / Uncategorized</t>
        </is>
      </c>
      <c r="D197" t="inlineStr"/>
      <c r="E197" t="inlineStr"/>
      <c r="F197" t="inlineStr"/>
      <c r="G197" t="inlineStr"/>
      <c r="H197" t="inlineStr"/>
    </row>
    <row r="198">
      <c r="A198" t="inlineStr">
        <is>
          <t>No</t>
        </is>
      </c>
      <c r="B198" t="inlineStr"/>
      <c r="C198" t="inlineStr"/>
      <c r="D198" t="inlineStr"/>
      <c r="E198" t="inlineStr">
        <is>
          <t>Time</t>
        </is>
      </c>
      <c r="F198" t="inlineStr">
        <is>
          <t>Work Schedule / Time Off</t>
        </is>
      </c>
      <c r="G198" t="inlineStr">
        <is>
          <t>Work Schedule / Time Off</t>
        </is>
      </c>
      <c r="H198" t="inlineStr"/>
    </row>
    <row r="199">
      <c r="A199" t="inlineStr">
        <is>
          <t>No</t>
        </is>
      </c>
      <c r="B199" t="inlineStr"/>
      <c r="C199" t="inlineStr"/>
      <c r="D199" t="inlineStr"/>
      <c r="E199" t="inlineStr">
        <is>
          <t>Cost</t>
        </is>
      </c>
      <c r="F199" t="inlineStr">
        <is>
          <t>Cost / Finances</t>
        </is>
      </c>
      <c r="G199" t="inlineStr">
        <is>
          <t>Cost / Finances</t>
        </is>
      </c>
      <c r="H199" t="inlineStr"/>
    </row>
    <row r="200">
      <c r="A200" t="inlineStr">
        <is>
          <t>No</t>
        </is>
      </c>
      <c r="B200" t="inlineStr"/>
      <c r="C200" t="inlineStr"/>
      <c r="D200" t="inlineStr"/>
      <c r="E200" t="inlineStr">
        <is>
          <t>I have other children at home to care for. Also, the cost is too high for me to go as well.</t>
        </is>
      </c>
      <c r="F200" t="inlineStr">
        <is>
          <t>Cost / Finances</t>
        </is>
      </c>
      <c r="G200" t="inlineStr">
        <is>
          <t>Cost / Finances; Other Kids / Family at Home</t>
        </is>
      </c>
      <c r="H200" t="inlineStr"/>
    </row>
    <row r="201">
      <c r="A201" t="inlineStr">
        <is>
          <t>No</t>
        </is>
      </c>
      <c r="B201" t="inlineStr"/>
      <c r="C201" t="inlineStr"/>
      <c r="D201" t="inlineStr"/>
      <c r="E201" t="inlineStr">
        <is>
          <t>Our girls (we have 2 going) needed to push themselves out of their comfort zones &amp; we thought that that would not happen if we were there. They would hold back getting to know others &amp; just stick closer to us.</t>
        </is>
      </c>
      <c r="F201" t="inlineStr">
        <is>
          <t>Wants Child to Have Independent Experience</t>
        </is>
      </c>
      <c r="G201" t="inlineStr">
        <is>
          <t>Wants Child to Have Independent Experience</t>
        </is>
      </c>
      <c r="H201" t="inlineStr"/>
    </row>
    <row r="202">
      <c r="A202" t="inlineStr">
        <is>
          <t>No</t>
        </is>
      </c>
      <c r="B202" t="inlineStr"/>
      <c r="C202" t="inlineStr"/>
      <c r="D202" t="inlineStr"/>
      <c r="E202" t="inlineStr"/>
      <c r="F202" t="inlineStr"/>
      <c r="G202" t="inlineStr"/>
      <c r="H202" t="inlineStr"/>
    </row>
    <row r="203">
      <c r="A203" t="inlineStr">
        <is>
          <t>No</t>
        </is>
      </c>
      <c r="B203" t="inlineStr"/>
      <c r="C203" t="inlineStr"/>
      <c r="D203" t="inlineStr"/>
      <c r="E203" t="inlineStr">
        <is>
          <t>My child</t>
        </is>
      </c>
      <c r="F203" t="inlineStr">
        <is>
          <t>Family's Own Choice (No Elaboration)</t>
        </is>
      </c>
      <c r="G203" t="inlineStr">
        <is>
          <t>Family's Own Choice (No Elaboration)</t>
        </is>
      </c>
      <c r="H203" t="inlineStr"/>
    </row>
    <row r="204">
      <c r="A204" t="inlineStr">
        <is>
          <t>No</t>
        </is>
      </c>
      <c r="B204" t="inlineStr"/>
      <c r="C204" t="inlineStr"/>
      <c r="D204" t="inlineStr"/>
      <c r="E204" t="inlineStr">
        <is>
          <t>My child didn't really want me to go</t>
        </is>
      </c>
      <c r="F204" t="inlineStr">
        <is>
          <t>Child Didn't Want Parent to Come</t>
        </is>
      </c>
      <c r="G204" t="inlineStr">
        <is>
          <t>Child Didn't Want Parent to Come</t>
        </is>
      </c>
      <c r="H204" t="inlineStr"/>
    </row>
    <row r="205">
      <c r="A205" t="inlineStr">
        <is>
          <t>No</t>
        </is>
      </c>
      <c r="B205" t="inlineStr"/>
      <c r="C205" t="inlineStr"/>
      <c r="D205" t="inlineStr"/>
      <c r="E205" t="inlineStr">
        <is>
          <t>I have other kids at home I need to be here for</t>
        </is>
      </c>
      <c r="F205" t="inlineStr">
        <is>
          <t>Other Kids / Family at Home</t>
        </is>
      </c>
      <c r="G205" t="inlineStr">
        <is>
          <t>Other Kids / Family at Home</t>
        </is>
      </c>
      <c r="H205" t="inlineStr"/>
    </row>
    <row r="206">
      <c r="A206" t="inlineStr">
        <is>
          <t>No</t>
        </is>
      </c>
      <c r="B206" t="inlineStr"/>
      <c r="C206" t="inlineStr"/>
      <c r="D206" t="inlineStr"/>
      <c r="E206" t="inlineStr">
        <is>
          <t>Time of year</t>
        </is>
      </c>
      <c r="F206" t="inlineStr">
        <is>
          <t>Work Schedule / Time Off</t>
        </is>
      </c>
      <c r="G206" t="inlineStr">
        <is>
          <t>Work Schedule / Time Off</t>
        </is>
      </c>
      <c r="H206" t="inlineStr"/>
    </row>
    <row r="207">
      <c r="A207" t="inlineStr">
        <is>
          <t>No</t>
        </is>
      </c>
      <c r="B207" t="inlineStr"/>
      <c r="C207" t="inlineStr"/>
      <c r="D207" t="inlineStr"/>
      <c r="E207" t="inlineStr"/>
      <c r="F207" t="inlineStr"/>
      <c r="G207" t="inlineStr"/>
      <c r="H207" t="inlineStr"/>
    </row>
    <row r="208">
      <c r="A208" t="inlineStr">
        <is>
          <t>No</t>
        </is>
      </c>
      <c r="B208" t="inlineStr"/>
      <c r="C208" t="inlineStr"/>
      <c r="D208" t="inlineStr"/>
      <c r="E208" t="inlineStr">
        <is>
          <t>I have younger kids at home that need me.</t>
        </is>
      </c>
      <c r="F208" t="inlineStr">
        <is>
          <t>Other Kids / Family at Home</t>
        </is>
      </c>
      <c r="G208" t="inlineStr">
        <is>
          <t>Other Kids / Family at Home</t>
        </is>
      </c>
      <c r="H208" t="inlineStr"/>
    </row>
    <row r="209">
      <c r="A209" t="inlineStr">
        <is>
          <t>No</t>
        </is>
      </c>
      <c r="B209" t="inlineStr"/>
      <c r="C209" t="inlineStr"/>
      <c r="D209" t="inlineStr"/>
      <c r="E209" t="inlineStr">
        <is>
          <t>Physical limitations</t>
        </is>
      </c>
      <c r="F209" t="inlineStr">
        <is>
          <t>Health / Physical / Age</t>
        </is>
      </c>
      <c r="G209" t="inlineStr">
        <is>
          <t>Health / Physical / Age</t>
        </is>
      </c>
      <c r="H209" t="inlineStr"/>
    </row>
    <row r="210">
      <c r="A210" t="inlineStr">
        <is>
          <t>Yes</t>
        </is>
      </c>
      <c r="B210" t="inlineStr">
        <is>
          <t>Love HXP and what they offer</t>
        </is>
      </c>
      <c r="C210" t="inlineStr">
        <is>
          <t>Trust in the HXP Program</t>
        </is>
      </c>
      <c r="D210" t="inlineStr">
        <is>
          <t>Trust in the HXP Program</t>
        </is>
      </c>
      <c r="E210" t="inlineStr"/>
      <c r="F210" t="inlineStr"/>
      <c r="G210" t="inlineStr"/>
      <c r="H210" t="inlineStr"/>
    </row>
    <row r="211">
      <c r="A211" t="inlineStr">
        <is>
          <t>No</t>
        </is>
      </c>
      <c r="B211" t="inlineStr"/>
      <c r="C211" t="inlineStr"/>
      <c r="D211" t="inlineStr"/>
      <c r="E211" t="inlineStr"/>
      <c r="F211" t="inlineStr"/>
      <c r="G211" t="inlineStr"/>
      <c r="H211" t="inlineStr"/>
    </row>
    <row r="212">
      <c r="A212" t="inlineStr">
        <is>
          <t>No</t>
        </is>
      </c>
      <c r="B212" t="inlineStr"/>
      <c r="C212" t="inlineStr"/>
      <c r="D212" t="inlineStr"/>
      <c r="E212" t="inlineStr">
        <is>
          <t>My child wanted to go without a parent.</t>
        </is>
      </c>
      <c r="F212" t="inlineStr">
        <is>
          <t>Wants Child to Have Independent Experience</t>
        </is>
      </c>
      <c r="G212" t="inlineStr">
        <is>
          <t>Wants Child to Have Independent Experience</t>
        </is>
      </c>
      <c r="H212" t="inlineStr"/>
    </row>
    <row r="213">
      <c r="A213" t="inlineStr">
        <is>
          <t>No</t>
        </is>
      </c>
      <c r="B213" t="inlineStr"/>
      <c r="C213" t="inlineStr"/>
      <c r="D213" t="inlineStr"/>
      <c r="E213" t="inlineStr">
        <is>
          <t>Time constraints with working</t>
        </is>
      </c>
      <c r="F213" t="inlineStr">
        <is>
          <t>Work Schedule / Time Off</t>
        </is>
      </c>
      <c r="G213" t="inlineStr">
        <is>
          <t>Work Schedule / Time Off</t>
        </is>
      </c>
      <c r="H213" t="inlineStr"/>
    </row>
    <row r="214">
      <c r="A214" t="inlineStr">
        <is>
          <t>No</t>
        </is>
      </c>
      <c r="B214" t="inlineStr"/>
      <c r="C214" t="inlineStr"/>
      <c r="D214" t="inlineStr"/>
      <c r="E214" t="inlineStr">
        <is>
          <t>Money</t>
        </is>
      </c>
      <c r="F214" t="inlineStr">
        <is>
          <t>Cost / Finances</t>
        </is>
      </c>
      <c r="G214" t="inlineStr">
        <is>
          <t>Cost / Finances</t>
        </is>
      </c>
      <c r="H214" t="inlineStr"/>
    </row>
    <row r="215">
      <c r="A215" t="inlineStr">
        <is>
          <t>No</t>
        </is>
      </c>
      <c r="B215" t="inlineStr"/>
      <c r="C215" t="inlineStr"/>
      <c r="D215" t="inlineStr"/>
      <c r="E215" t="inlineStr">
        <is>
          <t>Younger kids at home</t>
        </is>
      </c>
      <c r="F215" t="inlineStr">
        <is>
          <t>Other Kids / Family at Home</t>
        </is>
      </c>
      <c r="G215" t="inlineStr">
        <is>
          <t>Other Kids / Family at Home</t>
        </is>
      </c>
      <c r="H215" t="inlineStr"/>
    </row>
    <row r="216">
      <c r="A216" t="inlineStr">
        <is>
          <t>No</t>
        </is>
      </c>
      <c r="B216" t="inlineStr"/>
      <c r="C216" t="inlineStr"/>
      <c r="D216" t="inlineStr"/>
      <c r="E216" t="inlineStr"/>
      <c r="F216" t="inlineStr"/>
      <c r="G216" t="inlineStr"/>
      <c r="H216" t="inlineStr"/>
    </row>
    <row r="217">
      <c r="A217" t="inlineStr">
        <is>
          <t>No</t>
        </is>
      </c>
      <c r="B217" t="inlineStr"/>
      <c r="C217" t="inlineStr"/>
      <c r="D217" t="inlineStr"/>
      <c r="E217" t="inlineStr">
        <is>
          <t>time commitment</t>
        </is>
      </c>
      <c r="F217" t="inlineStr">
        <is>
          <t>Work Schedule / Time Off</t>
        </is>
      </c>
      <c r="G217" t="inlineStr">
        <is>
          <t>Work Schedule / Time Off</t>
        </is>
      </c>
      <c r="H217" t="inlineStr"/>
    </row>
    <row r="218">
      <c r="A218" t="inlineStr">
        <is>
          <t>No</t>
        </is>
      </c>
      <c r="B218" t="inlineStr"/>
      <c r="C218" t="inlineStr"/>
      <c r="D218" t="inlineStr"/>
      <c r="E218" t="inlineStr">
        <is>
          <t>Our daughter really wanted to go on her own, after reading on the website why it's good to go without friends. She decided without a parent would be good too. Haha!</t>
        </is>
      </c>
      <c r="F218" t="inlineStr">
        <is>
          <t>Wants Child to Have Independent Experience</t>
        </is>
      </c>
      <c r="G218" t="inlineStr">
        <is>
          <t>Wants Child to Have Independent Experience</t>
        </is>
      </c>
      <c r="H218" t="inlineStr"/>
    </row>
    <row r="219">
      <c r="A219" t="inlineStr">
        <is>
          <t>Yes</t>
        </is>
      </c>
      <c r="B219" t="inlineStr">
        <is>
          <t>spending time with my son</t>
        </is>
      </c>
      <c r="C219" t="inlineStr">
        <is>
          <t>Wanted Shared Experience with Child</t>
        </is>
      </c>
      <c r="D219" t="inlineStr">
        <is>
          <t>Wanted Shared Experience with Child</t>
        </is>
      </c>
      <c r="E219" t="inlineStr"/>
      <c r="F219" t="inlineStr"/>
      <c r="G219" t="inlineStr"/>
      <c r="H219" t="inlineStr"/>
    </row>
    <row r="220">
      <c r="A220" t="inlineStr">
        <is>
          <t>No</t>
        </is>
      </c>
      <c r="B220" t="inlineStr"/>
      <c r="C220" t="inlineStr"/>
      <c r="D220" t="inlineStr"/>
      <c r="E220" t="inlineStr">
        <is>
          <t>Other children and church calling.</t>
        </is>
      </c>
      <c r="F220" t="inlineStr">
        <is>
          <t>Other Kids / Family at Home</t>
        </is>
      </c>
      <c r="G220" t="inlineStr">
        <is>
          <t>Other Kids / Family at Home</t>
        </is>
      </c>
      <c r="H220" t="inlineStr"/>
    </row>
    <row r="221">
      <c r="A221" t="inlineStr">
        <is>
          <t>No</t>
        </is>
      </c>
      <c r="B221" t="inlineStr"/>
      <c r="C221" t="inlineStr"/>
      <c r="D221" t="inlineStr"/>
      <c r="E221" t="inlineStr">
        <is>
          <t>Mostly because it is a trip my kids want to do with out us. And it's expensive</t>
        </is>
      </c>
      <c r="F221" t="inlineStr">
        <is>
          <t>Cost / Finances</t>
        </is>
      </c>
      <c r="G221" t="inlineStr">
        <is>
          <t>Cost / Finances; Wants Child to Have Independent Experience</t>
        </is>
      </c>
      <c r="H221" t="inlineStr"/>
    </row>
    <row r="222">
      <c r="A222" t="inlineStr">
        <is>
          <t>No</t>
        </is>
      </c>
      <c r="B222" t="inlineStr"/>
      <c r="C222" t="inlineStr"/>
      <c r="D222" t="inlineStr"/>
      <c r="E222" t="inlineStr">
        <is>
          <t>Work schedule</t>
        </is>
      </c>
      <c r="F222" t="inlineStr">
        <is>
          <t>Work Schedule / Time Off</t>
        </is>
      </c>
      <c r="G222" t="inlineStr">
        <is>
          <t>Work Schedule / Time Off</t>
        </is>
      </c>
      <c r="H222" t="inlineStr"/>
    </row>
    <row r="223">
      <c r="A223" t="inlineStr">
        <is>
          <t>No</t>
        </is>
      </c>
      <c r="B223" t="inlineStr"/>
      <c r="C223" t="inlineStr"/>
      <c r="D223" t="inlineStr"/>
      <c r="E223" t="inlineStr">
        <is>
          <t>It was full</t>
        </is>
      </c>
      <c r="F223" t="inlineStr">
        <is>
          <t>Trip / Spot Was Already Full</t>
        </is>
      </c>
      <c r="G223" t="inlineStr">
        <is>
          <t>Trip / Spot Was Already Full</t>
        </is>
      </c>
      <c r="H223" t="inlineStr"/>
    </row>
    <row r="224">
      <c r="A224" t="inlineStr">
        <is>
          <t>No</t>
        </is>
      </c>
      <c r="B224" t="inlineStr"/>
      <c r="C224" t="inlineStr"/>
      <c r="D224" t="inlineStr"/>
      <c r="E224" t="inlineStr">
        <is>
          <t>Not a huge fan of traveling.</t>
        </is>
      </c>
      <c r="F224" t="inlineStr">
        <is>
          <t>Not a Traveler / Personal Preference</t>
        </is>
      </c>
      <c r="G224" t="inlineStr">
        <is>
          <t>Not a Traveler / Personal Preference</t>
        </is>
      </c>
      <c r="H224" t="inlineStr"/>
    </row>
    <row r="225">
      <c r="A225" t="inlineStr">
        <is>
          <t>No</t>
        </is>
      </c>
      <c r="B225" t="inlineStr"/>
      <c r="C225" t="inlineStr"/>
      <c r="D225" t="inlineStr"/>
      <c r="E225" t="inlineStr">
        <is>
          <t>Cost &amp; time committment</t>
        </is>
      </c>
      <c r="F225" t="inlineStr">
        <is>
          <t>Cost / Finances</t>
        </is>
      </c>
      <c r="G225" t="inlineStr">
        <is>
          <t>Cost / Finances; Work Schedule / Time Off</t>
        </is>
      </c>
      <c r="H225" t="inlineStr"/>
    </row>
    <row r="226">
      <c r="A226" t="inlineStr">
        <is>
          <t>No</t>
        </is>
      </c>
      <c r="B226" t="inlineStr"/>
      <c r="C226" t="inlineStr"/>
      <c r="D226" t="inlineStr"/>
      <c r="E226" t="inlineStr"/>
      <c r="F226" t="inlineStr"/>
      <c r="G226" t="inlineStr"/>
      <c r="H226" t="inlineStr"/>
    </row>
    <row r="227">
      <c r="A227" t="inlineStr">
        <is>
          <t>No</t>
        </is>
      </c>
      <c r="B227" t="inlineStr"/>
      <c r="C227" t="inlineStr"/>
      <c r="D227" t="inlineStr"/>
      <c r="E227" t="inlineStr">
        <is>
          <t>Money</t>
        </is>
      </c>
      <c r="F227" t="inlineStr">
        <is>
          <t>Cost / Finances</t>
        </is>
      </c>
      <c r="G227" t="inlineStr">
        <is>
          <t>Cost / Finances</t>
        </is>
      </c>
      <c r="H227" t="inlineStr"/>
    </row>
    <row r="228">
      <c r="A228" t="inlineStr">
        <is>
          <t>No</t>
        </is>
      </c>
      <c r="B228" t="inlineStr"/>
      <c r="C228" t="inlineStr"/>
      <c r="D228" t="inlineStr"/>
      <c r="E228" t="inlineStr">
        <is>
          <t>I have other small kids so it's not feasible at this time</t>
        </is>
      </c>
      <c r="F228" t="inlineStr">
        <is>
          <t>Work Schedule / Time Off</t>
        </is>
      </c>
      <c r="G228" t="inlineStr">
        <is>
          <t>Work Schedule / Time Off</t>
        </is>
      </c>
      <c r="H228" t="inlineStr"/>
    </row>
    <row r="229">
      <c r="A229" t="inlineStr">
        <is>
          <t>No</t>
        </is>
      </c>
      <c r="B229" t="inlineStr"/>
      <c r="C229" t="inlineStr"/>
      <c r="D229" t="inlineStr"/>
      <c r="E229" t="inlineStr"/>
      <c r="F229" t="inlineStr"/>
      <c r="G229" t="inlineStr"/>
      <c r="H229" t="inlineStr"/>
    </row>
    <row r="230">
      <c r="A230" t="inlineStr">
        <is>
          <t>No</t>
        </is>
      </c>
      <c r="B230" t="inlineStr"/>
      <c r="C230" t="inlineStr"/>
      <c r="D230" t="inlineStr"/>
      <c r="E230" t="inlineStr">
        <is>
          <t>I want my kids to have an experience without their own parents there.</t>
        </is>
      </c>
      <c r="F230" t="inlineStr">
        <is>
          <t>Wants Child to Have Independent Experience</t>
        </is>
      </c>
      <c r="G230" t="inlineStr">
        <is>
          <t>Wants Child to Have Independent Experience</t>
        </is>
      </c>
      <c r="H230" t="inlineStr"/>
    </row>
    <row r="231">
      <c r="A231" t="inlineStr">
        <is>
          <t>No</t>
        </is>
      </c>
      <c r="B231" t="inlineStr"/>
      <c r="C231" t="inlineStr"/>
      <c r="D231" t="inlineStr"/>
      <c r="E231" t="inlineStr">
        <is>
          <t>Got asked last minute and had other travel plans</t>
        </is>
      </c>
      <c r="F231" t="inlineStr">
        <is>
          <t>Other Life Commitment</t>
        </is>
      </c>
      <c r="G231" t="inlineStr">
        <is>
          <t>Other Life Commitment</t>
        </is>
      </c>
      <c r="H231" t="inlineStr"/>
    </row>
    <row r="232">
      <c r="A232" t="inlineStr">
        <is>
          <t>No</t>
        </is>
      </c>
      <c r="B232" t="inlineStr"/>
      <c r="C232" t="inlineStr"/>
      <c r="D232" t="inlineStr"/>
      <c r="E232" t="inlineStr">
        <is>
          <t>My son didn't want me to. He wanted his own experience. 🤣</t>
        </is>
      </c>
      <c r="F232" t="inlineStr">
        <is>
          <t>Child Didn't Want Parent to Come</t>
        </is>
      </c>
      <c r="G232" t="inlineStr">
        <is>
          <t>Child Didn't Want Parent to Come; Wants Child to Have Independent Experience</t>
        </is>
      </c>
      <c r="H232" t="inlineStr"/>
    </row>
    <row r="233">
      <c r="A233" t="inlineStr">
        <is>
          <t>Yes</t>
        </is>
      </c>
      <c r="B233" t="inlineStr">
        <is>
          <t>Having this experience to share with my daughter</t>
        </is>
      </c>
      <c r="C233" t="inlineStr">
        <is>
          <t>Wanted Shared Experience with Child</t>
        </is>
      </c>
      <c r="D233" t="inlineStr">
        <is>
          <t>Wanted Shared Experience with Child</t>
        </is>
      </c>
      <c r="E233" t="inlineStr"/>
      <c r="F233" t="inlineStr"/>
      <c r="G233" t="inlineStr"/>
      <c r="H233" t="inlineStr"/>
    </row>
    <row r="234">
      <c r="A234" t="inlineStr">
        <is>
          <t>No</t>
        </is>
      </c>
      <c r="B234" t="inlineStr"/>
      <c r="C234" t="inlineStr"/>
      <c r="D234" t="inlineStr"/>
      <c r="E234" t="inlineStr">
        <is>
          <t>My son's independece</t>
        </is>
      </c>
      <c r="F234" t="inlineStr">
        <is>
          <t>Wants Child to Have Independent Experience</t>
        </is>
      </c>
      <c r="G234" t="inlineStr">
        <is>
          <t>Wants Child to Have Independent Experience</t>
        </is>
      </c>
      <c r="H234" t="inlineStr"/>
    </row>
    <row r="235">
      <c r="A235" t="inlineStr">
        <is>
          <t>No</t>
        </is>
      </c>
      <c r="B235" t="inlineStr"/>
      <c r="C235" t="inlineStr"/>
      <c r="D235" t="inlineStr"/>
      <c r="E235" t="inlineStr">
        <is>
          <t>Time</t>
        </is>
      </c>
      <c r="F235" t="inlineStr">
        <is>
          <t>Work Schedule / Time Off</t>
        </is>
      </c>
      <c r="G235" t="inlineStr">
        <is>
          <t>Work Schedule / Time Off</t>
        </is>
      </c>
      <c r="H235" t="inlineStr"/>
    </row>
    <row r="236">
      <c r="A236" t="inlineStr">
        <is>
          <t>Yes</t>
        </is>
      </c>
      <c r="B236" t="inlineStr">
        <is>
          <t>Previous children went on HXP</t>
        </is>
      </c>
      <c r="C236" t="inlineStr">
        <is>
          <t>Previous Positive Experience</t>
        </is>
      </c>
      <c r="D236" t="inlineStr">
        <is>
          <t>Previous Positive Experience</t>
        </is>
      </c>
      <c r="E236" t="inlineStr"/>
      <c r="F236" t="inlineStr"/>
      <c r="G236" t="inlineStr"/>
      <c r="H236" t="inlineStr"/>
    </row>
    <row r="237">
      <c r="A237" t="inlineStr">
        <is>
          <t>No</t>
        </is>
      </c>
      <c r="B237" t="inlineStr"/>
      <c r="C237" t="inlineStr"/>
      <c r="D237" t="inlineStr"/>
      <c r="E237" t="inlineStr">
        <is>
          <t>Children at home.</t>
        </is>
      </c>
      <c r="F237" t="inlineStr">
        <is>
          <t>Other Kids / Family at Home</t>
        </is>
      </c>
      <c r="G237" t="inlineStr">
        <is>
          <t>Other Kids / Family at Home</t>
        </is>
      </c>
      <c r="H237" t="inlineStr"/>
    </row>
    <row r="238">
      <c r="A238" t="inlineStr">
        <is>
          <t>No</t>
        </is>
      </c>
      <c r="B238" t="inlineStr"/>
      <c r="C238" t="inlineStr"/>
      <c r="D238" t="inlineStr"/>
      <c r="E238" t="inlineStr">
        <is>
          <t>I've done it before and it was awesome. But I can't afford it.</t>
        </is>
      </c>
      <c r="F238" t="inlineStr">
        <is>
          <t>Cost / Finances</t>
        </is>
      </c>
      <c r="G238" t="inlineStr">
        <is>
          <t>Cost / Finances</t>
        </is>
      </c>
      <c r="H238" t="inlineStr"/>
    </row>
    <row r="239">
      <c r="A239" t="inlineStr">
        <is>
          <t>No</t>
        </is>
      </c>
      <c r="B239" t="inlineStr"/>
      <c r="C239" t="inlineStr"/>
      <c r="D239" t="inlineStr"/>
      <c r="E239" t="inlineStr">
        <is>
          <t>You her son at home</t>
        </is>
      </c>
      <c r="F239" t="inlineStr">
        <is>
          <t>Other Kids / Family at Home</t>
        </is>
      </c>
      <c r="G239" t="inlineStr">
        <is>
          <t>Other Kids / Family at Home</t>
        </is>
      </c>
      <c r="H239" t="inlineStr"/>
    </row>
    <row r="240">
      <c r="A240" t="inlineStr">
        <is>
          <t>Yes</t>
        </is>
      </c>
      <c r="B240" t="inlineStr">
        <is>
          <t>Daughter/cause</t>
        </is>
      </c>
      <c r="C240" t="inlineStr">
        <is>
          <t>Other / Uncategorized</t>
        </is>
      </c>
      <c r="D240" t="inlineStr"/>
      <c r="E240" t="inlineStr"/>
      <c r="F240" t="inlineStr"/>
      <c r="G240" t="inlineStr"/>
      <c r="H240" t="inlineStr"/>
    </row>
    <row r="241">
      <c r="A241" t="inlineStr">
        <is>
          <t>No</t>
        </is>
      </c>
      <c r="B241" t="inlineStr"/>
      <c r="C241" t="inlineStr"/>
      <c r="D241" t="inlineStr"/>
      <c r="E241" t="inlineStr">
        <is>
          <t>Cost</t>
        </is>
      </c>
      <c r="F241" t="inlineStr">
        <is>
          <t>Cost / Finances</t>
        </is>
      </c>
      <c r="G241" t="inlineStr">
        <is>
          <t>Cost / Finances</t>
        </is>
      </c>
      <c r="H241" t="inlineStr"/>
    </row>
    <row r="242">
      <c r="A242" t="inlineStr">
        <is>
          <t>No</t>
        </is>
      </c>
      <c r="B242" t="inlineStr"/>
      <c r="C242" t="inlineStr"/>
      <c r="D242" t="inlineStr"/>
      <c r="E242" t="inlineStr">
        <is>
          <t>Time</t>
        </is>
      </c>
      <c r="F242" t="inlineStr">
        <is>
          <t>Work Schedule / Time Off</t>
        </is>
      </c>
      <c r="G242" t="inlineStr">
        <is>
          <t>Work Schedule / Time Off</t>
        </is>
      </c>
      <c r="H242" t="inlineStr"/>
    </row>
    <row r="243">
      <c r="A243" t="inlineStr">
        <is>
          <t>No</t>
        </is>
      </c>
      <c r="B243" t="inlineStr"/>
      <c r="C243" t="inlineStr"/>
      <c r="D243" t="inlineStr"/>
      <c r="E243" t="inlineStr">
        <is>
          <t>Let me child go alone</t>
        </is>
      </c>
      <c r="F243" t="inlineStr">
        <is>
          <t>Wants Child to Have Independent Experience</t>
        </is>
      </c>
      <c r="G243" t="inlineStr">
        <is>
          <t>Wants Child to Have Independent Experience</t>
        </is>
      </c>
      <c r="H243" t="inlineStr"/>
    </row>
    <row r="244">
      <c r="A244" t="inlineStr">
        <is>
          <t>No</t>
        </is>
      </c>
      <c r="B244" t="inlineStr"/>
      <c r="C244" t="inlineStr"/>
      <c r="D244" t="inlineStr"/>
      <c r="E244" t="inlineStr">
        <is>
          <t>Location</t>
        </is>
      </c>
      <c r="F244" t="inlineStr">
        <is>
          <t>Other / Uncategorized</t>
        </is>
      </c>
      <c r="G244" t="inlineStr"/>
      <c r="H244" t="inlineStr"/>
    </row>
    <row r="245">
      <c r="A245" t="inlineStr">
        <is>
          <t>No</t>
        </is>
      </c>
      <c r="B245" t="inlineStr"/>
      <c r="C245" t="inlineStr"/>
      <c r="D245" t="inlineStr"/>
      <c r="E245" t="inlineStr">
        <is>
          <t>Our daughter didn't want a parent to go</t>
        </is>
      </c>
      <c r="F245" t="inlineStr">
        <is>
          <t>Child Didn't Want Parent to Come</t>
        </is>
      </c>
      <c r="G245" t="inlineStr">
        <is>
          <t>Child Didn't Want Parent to Come</t>
        </is>
      </c>
      <c r="H245" t="inlineStr"/>
    </row>
    <row r="246">
      <c r="A246" t="inlineStr">
        <is>
          <t>No</t>
        </is>
      </c>
      <c r="B246" t="inlineStr"/>
      <c r="C246" t="inlineStr"/>
      <c r="D246" t="inlineStr"/>
      <c r="E246" t="inlineStr">
        <is>
          <t>Time away from family and cost</t>
        </is>
      </c>
      <c r="F246" t="inlineStr">
        <is>
          <t>Cost / Finances</t>
        </is>
      </c>
      <c r="G246" t="inlineStr">
        <is>
          <t>Cost / Finances; Work Schedule / Time Off; Other Kids / Family at Home</t>
        </is>
      </c>
      <c r="H246" t="inlineStr"/>
    </row>
    <row r="247">
      <c r="A247" t="inlineStr">
        <is>
          <t>No</t>
        </is>
      </c>
      <c r="B247" t="inlineStr"/>
      <c r="C247" t="inlineStr"/>
      <c r="D247" t="inlineStr"/>
      <c r="E247" t="inlineStr">
        <is>
          <t>Time</t>
        </is>
      </c>
      <c r="F247" t="inlineStr">
        <is>
          <t>Work Schedule / Time Off</t>
        </is>
      </c>
      <c r="G247" t="inlineStr">
        <is>
          <t>Work Schedule / Time Off</t>
        </is>
      </c>
      <c r="H247" t="inlineStr"/>
    </row>
    <row r="248">
      <c r="A248" t="inlineStr">
        <is>
          <t>Yes</t>
        </is>
      </c>
      <c r="B248" t="inlineStr">
        <is>
          <t>went a few years ago with another daughter and loved it. wanted it again for this child</t>
        </is>
      </c>
      <c r="C248" t="inlineStr">
        <is>
          <t>Previous Positive Experience</t>
        </is>
      </c>
      <c r="D248" t="inlineStr">
        <is>
          <t>Previous Positive Experience</t>
        </is>
      </c>
      <c r="E248" t="inlineStr"/>
      <c r="F248" t="inlineStr"/>
      <c r="G248" t="inlineStr"/>
      <c r="H248" t="inlineStr"/>
    </row>
    <row r="249">
      <c r="A249" t="inlineStr">
        <is>
          <t>No</t>
        </is>
      </c>
      <c r="B249" t="inlineStr"/>
      <c r="C249" t="inlineStr"/>
      <c r="D249" t="inlineStr"/>
      <c r="E249" t="inlineStr">
        <is>
          <t>My granddaughter went to Thailand last year so we wanted Drake to have the experience too.</t>
        </is>
      </c>
      <c r="F249" t="inlineStr">
        <is>
          <t>Wants Child to Have Independent Experience</t>
        </is>
      </c>
      <c r="G249" t="inlineStr">
        <is>
          <t>Wants Child to Have Independent Experience</t>
        </is>
      </c>
      <c r="H249" t="inlineStr"/>
    </row>
    <row r="250">
      <c r="A250" t="inlineStr">
        <is>
          <t>Yes</t>
        </is>
      </c>
      <c r="B250" t="inlineStr">
        <is>
          <t>My daughter, and my sister-in-law went as a parent builder last year.</t>
        </is>
      </c>
      <c r="C250" t="inlineStr">
        <is>
          <t>Previous Positive Experience</t>
        </is>
      </c>
      <c r="D250" t="inlineStr">
        <is>
          <t>Previous Positive Experience</t>
        </is>
      </c>
      <c r="E250" t="inlineStr"/>
      <c r="F250" t="inlineStr"/>
      <c r="G250" t="inlineStr"/>
      <c r="H250" t="inlineStr"/>
    </row>
    <row r="251">
      <c r="A251" t="inlineStr">
        <is>
          <t>Yes</t>
        </is>
      </c>
      <c r="B251" t="inlineStr">
        <is>
          <t>Knowing past parent builders, chance to spend time with my daughter (busy/demanding job) and a chance to return to my mission</t>
        </is>
      </c>
      <c r="C251" t="inlineStr">
        <is>
          <t>Wanted Shared Experience with Child</t>
        </is>
      </c>
      <c r="D251" t="inlineStr">
        <is>
          <t>Wanted Shared Experience with Child; Faith / Service Motivation</t>
        </is>
      </c>
      <c r="E251" t="inlineStr"/>
      <c r="F251" t="inlineStr"/>
      <c r="G251" t="inlineStr"/>
      <c r="H251" t="inlineStr"/>
    </row>
    <row r="252">
      <c r="A252" t="inlineStr">
        <is>
          <t>No</t>
        </is>
      </c>
      <c r="B252" t="inlineStr"/>
      <c r="C252" t="inlineStr"/>
      <c r="D252" t="inlineStr"/>
      <c r="E252" t="inlineStr"/>
      <c r="F252" t="inlineStr"/>
      <c r="G252" t="inlineStr"/>
      <c r="H252" t="inlineStr"/>
    </row>
    <row r="253">
      <c r="A253" t="inlineStr">
        <is>
          <t>No</t>
        </is>
      </c>
      <c r="B253" t="inlineStr"/>
      <c r="C253" t="inlineStr"/>
      <c r="D253" t="inlineStr"/>
      <c r="E253" t="inlineStr">
        <is>
          <t>My child didn't really want me to go. She wanted to experience it on her own!</t>
        </is>
      </c>
      <c r="F253" t="inlineStr">
        <is>
          <t>Child Didn't Want Parent to Come</t>
        </is>
      </c>
      <c r="G253" t="inlineStr">
        <is>
          <t>Child Didn't Want Parent to Come; Wants Child to Have Independent Experience</t>
        </is>
      </c>
      <c r="H253" t="inlineStr"/>
    </row>
    <row r="254">
      <c r="A254" t="inlineStr">
        <is>
          <t>No</t>
        </is>
      </c>
      <c r="B254" t="inlineStr"/>
      <c r="C254" t="inlineStr"/>
      <c r="D254" t="inlineStr"/>
      <c r="E254" t="inlineStr">
        <is>
          <t>Time, money, and other kids at home</t>
        </is>
      </c>
      <c r="F254" t="inlineStr">
        <is>
          <t>Cost / Finances</t>
        </is>
      </c>
      <c r="G254" t="inlineStr">
        <is>
          <t>Cost / Finances; Work Schedule / Time Off; Other Kids / Family at Home</t>
        </is>
      </c>
      <c r="H254" t="inlineStr"/>
    </row>
    <row r="255">
      <c r="A255" t="inlineStr">
        <is>
          <t>No</t>
        </is>
      </c>
      <c r="B255" t="inlineStr"/>
      <c r="C255" t="inlineStr"/>
      <c r="D255" t="inlineStr"/>
      <c r="E255" t="inlineStr">
        <is>
          <t>Only the price</t>
        </is>
      </c>
      <c r="F255" t="inlineStr">
        <is>
          <t>Cost / Finances</t>
        </is>
      </c>
      <c r="G255" t="inlineStr">
        <is>
          <t>Cost / Finances</t>
        </is>
      </c>
      <c r="H255" t="inlineStr"/>
    </row>
    <row r="256">
      <c r="A256" t="inlineStr">
        <is>
          <t>No</t>
        </is>
      </c>
      <c r="B256" t="inlineStr"/>
      <c r="C256" t="inlineStr"/>
      <c r="D256" t="inlineStr"/>
      <c r="E256" t="inlineStr"/>
      <c r="F256" t="inlineStr"/>
      <c r="G256" t="inlineStr"/>
      <c r="H256" t="inlineStr"/>
    </row>
    <row r="257">
      <c r="A257" t="inlineStr">
        <is>
          <t>No</t>
        </is>
      </c>
      <c r="B257" t="inlineStr"/>
      <c r="C257" t="inlineStr"/>
      <c r="D257" t="inlineStr"/>
      <c r="E257" t="inlineStr">
        <is>
          <t>My son wants to do it on his own, and the cost.</t>
        </is>
      </c>
      <c r="F257" t="inlineStr">
        <is>
          <t>Cost / Finances</t>
        </is>
      </c>
      <c r="G257" t="inlineStr">
        <is>
          <t>Cost / Finances; Wants Child to Have Independent Experience</t>
        </is>
      </c>
      <c r="H257" t="inlineStr"/>
    </row>
    <row r="258">
      <c r="A258" t="inlineStr">
        <is>
          <t>No</t>
        </is>
      </c>
      <c r="B258" t="inlineStr"/>
      <c r="C258" t="inlineStr"/>
      <c r="D258" t="inlineStr"/>
      <c r="E258" t="inlineStr">
        <is>
          <t>other obligations at this time</t>
        </is>
      </c>
      <c r="F258" t="inlineStr">
        <is>
          <t>Work Schedule / Time Off</t>
        </is>
      </c>
      <c r="G258" t="inlineStr">
        <is>
          <t>Work Schedule / Time Off</t>
        </is>
      </c>
      <c r="H258" t="inlineStr"/>
    </row>
    <row r="259">
      <c r="A259" t="inlineStr">
        <is>
          <t>No</t>
        </is>
      </c>
      <c r="B259" t="inlineStr"/>
      <c r="C259" t="inlineStr"/>
      <c r="D259" t="inlineStr"/>
      <c r="E259" t="inlineStr">
        <is>
          <t>Other Children at Home</t>
        </is>
      </c>
      <c r="F259" t="inlineStr">
        <is>
          <t>Other Kids / Family at Home</t>
        </is>
      </c>
      <c r="G259" t="inlineStr">
        <is>
          <t>Other Kids / Family at Home</t>
        </is>
      </c>
      <c r="H259" t="inlineStr"/>
    </row>
    <row r="260">
      <c r="A260" t="inlineStr">
        <is>
          <t>No</t>
        </is>
      </c>
      <c r="B260" t="inlineStr"/>
      <c r="C260" t="inlineStr"/>
      <c r="D260" t="inlineStr"/>
      <c r="E260" t="inlineStr">
        <is>
          <t>I couldn't leave my family</t>
        </is>
      </c>
      <c r="F260" t="inlineStr">
        <is>
          <t>Other Kids / Family at Home</t>
        </is>
      </c>
      <c r="G260" t="inlineStr">
        <is>
          <t>Other Kids / Family at Home</t>
        </is>
      </c>
      <c r="H260" t="inlineStr"/>
    </row>
    <row r="261">
      <c r="A261" t="inlineStr">
        <is>
          <t>No</t>
        </is>
      </c>
      <c r="B261" t="inlineStr"/>
      <c r="C261" t="inlineStr"/>
      <c r="D261" t="inlineStr"/>
      <c r="E261" t="inlineStr">
        <is>
          <t>I wanted my daughter to have the experience of going and not knowing anyone</t>
        </is>
      </c>
      <c r="F261" t="inlineStr">
        <is>
          <t>Wants Child to Have Independent Experience</t>
        </is>
      </c>
      <c r="G261" t="inlineStr">
        <is>
          <t>Wants Child to Have Independent Experience</t>
        </is>
      </c>
      <c r="H261" t="inlineStr"/>
    </row>
    <row r="262">
      <c r="A262" t="inlineStr">
        <is>
          <t>No</t>
        </is>
      </c>
      <c r="B262" t="inlineStr"/>
      <c r="C262" t="inlineStr"/>
      <c r="D262" t="inlineStr"/>
      <c r="E262" t="inlineStr">
        <is>
          <t>Have younger kids at home</t>
        </is>
      </c>
      <c r="F262" t="inlineStr">
        <is>
          <t>Other Kids / Family at Home</t>
        </is>
      </c>
      <c r="G262" t="inlineStr">
        <is>
          <t>Other Kids / Family at Home</t>
        </is>
      </c>
      <c r="H262" t="inlineStr"/>
    </row>
    <row r="263">
      <c r="A263" t="inlineStr">
        <is>
          <t>No</t>
        </is>
      </c>
      <c r="B263" t="inlineStr"/>
      <c r="C263" t="inlineStr"/>
      <c r="D263" t="inlineStr"/>
      <c r="E263" t="inlineStr">
        <is>
          <t>Time off work</t>
        </is>
      </c>
      <c r="F263" t="inlineStr">
        <is>
          <t>Work Schedule / Time Off</t>
        </is>
      </c>
      <c r="G263" t="inlineStr">
        <is>
          <t>Work Schedule / Time Off</t>
        </is>
      </c>
      <c r="H263" t="inlineStr"/>
    </row>
    <row r="264">
      <c r="A264" t="inlineStr">
        <is>
          <t>No</t>
        </is>
      </c>
      <c r="B264" t="inlineStr"/>
      <c r="C264" t="inlineStr"/>
      <c r="D264" t="inlineStr"/>
      <c r="E264" t="inlineStr">
        <is>
          <t>My wife is going. I don't have enough time off from work to be able to go.</t>
        </is>
      </c>
      <c r="F264" t="inlineStr">
        <is>
          <t>Work Schedule / Time Off</t>
        </is>
      </c>
      <c r="G264" t="inlineStr">
        <is>
          <t>Work Schedule / Time Off; Another Family Member Going Instead</t>
        </is>
      </c>
      <c r="H264" t="inlineStr"/>
    </row>
    <row r="265">
      <c r="A265" t="inlineStr">
        <is>
          <t>No</t>
        </is>
      </c>
      <c r="B265" t="inlineStr"/>
      <c r="C265" t="inlineStr"/>
      <c r="D265" t="inlineStr"/>
      <c r="E265" t="inlineStr">
        <is>
          <t>Time commitment with small children at home</t>
        </is>
      </c>
      <c r="F265" t="inlineStr">
        <is>
          <t>Work Schedule / Time Off</t>
        </is>
      </c>
      <c r="G265" t="inlineStr">
        <is>
          <t>Work Schedule / Time Off; Other Kids / Family at Home</t>
        </is>
      </c>
      <c r="H265" t="inlineStr"/>
    </row>
    <row r="266">
      <c r="A266" t="inlineStr">
        <is>
          <t>Yes</t>
        </is>
      </c>
      <c r="B266" t="inlineStr">
        <is>
          <t>Location and HXP asked me.</t>
        </is>
      </c>
      <c r="C266" t="inlineStr">
        <is>
          <t>Child/Spouse Asked Them to Go</t>
        </is>
      </c>
      <c r="D266" t="inlineStr">
        <is>
          <t>Child/Spouse Asked Them to Go</t>
        </is>
      </c>
      <c r="E266" t="inlineStr"/>
      <c r="F266" t="inlineStr"/>
      <c r="G266" t="inlineStr"/>
      <c r="H266" t="inlineStr"/>
    </row>
    <row r="267">
      <c r="A267" t="inlineStr">
        <is>
          <t>No</t>
        </is>
      </c>
      <c r="B267" t="inlineStr"/>
      <c r="C267" t="inlineStr"/>
      <c r="D267" t="inlineStr"/>
      <c r="E267" t="inlineStr">
        <is>
          <t>I want my child to have their own experience.</t>
        </is>
      </c>
      <c r="F267" t="inlineStr">
        <is>
          <t>Wants Child to Have Independent Experience</t>
        </is>
      </c>
      <c r="G267" t="inlineStr">
        <is>
          <t>Wants Child to Have Independent Experience</t>
        </is>
      </c>
      <c r="H267" t="inlineStr"/>
    </row>
    <row r="268">
      <c r="A268" t="inlineStr">
        <is>
          <t>Yes</t>
        </is>
      </c>
      <c r="B268" t="inlineStr">
        <is>
          <t>My son asked me to go</t>
        </is>
      </c>
      <c r="C268" t="inlineStr">
        <is>
          <t>Child/Spouse Asked Them to Go</t>
        </is>
      </c>
      <c r="D268" t="inlineStr">
        <is>
          <t>Child/Spouse Asked Them to Go</t>
        </is>
      </c>
      <c r="E268" t="inlineStr"/>
      <c r="F268" t="inlineStr"/>
      <c r="G268" t="inlineStr"/>
      <c r="H268" t="inlineStr"/>
    </row>
    <row r="269">
      <c r="A269" t="inlineStr">
        <is>
          <t>Yes</t>
        </is>
      </c>
      <c r="B269" t="inlineStr">
        <is>
          <t>I've heard great things from our neighbors who've taken their kids on trips. I really wanted our children to have amazing experiences too.</t>
        </is>
      </c>
      <c r="C269" t="inlineStr">
        <is>
          <t>Wanted Shared Experience with Child</t>
        </is>
      </c>
      <c r="D269" t="inlineStr">
        <is>
          <t>Wanted Shared Experience with Child</t>
        </is>
      </c>
      <c r="E269" t="inlineStr"/>
      <c r="F269" t="inlineStr"/>
      <c r="G269" t="inlineStr"/>
      <c r="H269" t="inlineStr"/>
    </row>
    <row r="270">
      <c r="A270" t="inlineStr">
        <is>
          <t>No</t>
        </is>
      </c>
      <c r="B270" t="inlineStr"/>
      <c r="C270" t="inlineStr"/>
      <c r="D270" t="inlineStr"/>
      <c r="E270" t="inlineStr">
        <is>
          <t>My daughter needs the experience without me. But I would love to go!</t>
        </is>
      </c>
      <c r="F270" t="inlineStr">
        <is>
          <t>Wants Child to Have Independent Experience</t>
        </is>
      </c>
      <c r="G270" t="inlineStr">
        <is>
          <t>Wants Child to Have Independent Experience</t>
        </is>
      </c>
      <c r="H270" t="inlineStr"/>
    </row>
    <row r="271">
      <c r="A271" t="inlineStr">
        <is>
          <t>No</t>
        </is>
      </c>
      <c r="B271" t="inlineStr"/>
      <c r="C271" t="inlineStr"/>
      <c r="D271" t="inlineStr"/>
      <c r="E271" t="inlineStr">
        <is>
          <t>Cost, no significant discount to attend as a Parent Builder</t>
        </is>
      </c>
      <c r="F271" t="inlineStr">
        <is>
          <t>Cost / Finances</t>
        </is>
      </c>
      <c r="G271" t="inlineStr">
        <is>
          <t>Cost / Finances</t>
        </is>
      </c>
      <c r="H271" t="inlineStr"/>
    </row>
    <row r="272">
      <c r="A272" t="inlineStr">
        <is>
          <t>Yes</t>
        </is>
      </c>
      <c r="B272" t="inlineStr">
        <is>
          <t>Child was worried about traveling alone</t>
        </is>
      </c>
      <c r="C272" t="inlineStr">
        <is>
          <t>Love of Travel / Culture</t>
        </is>
      </c>
      <c r="D272" t="inlineStr">
        <is>
          <t>Love of Travel / Culture</t>
        </is>
      </c>
      <c r="E272" t="inlineStr"/>
      <c r="F272" t="inlineStr"/>
      <c r="G272" t="inlineStr"/>
      <c r="H272" t="inlineStr"/>
    </row>
    <row r="273">
      <c r="A273" t="inlineStr">
        <is>
          <t>No</t>
        </is>
      </c>
      <c r="B273" t="inlineStr"/>
      <c r="C273" t="inlineStr"/>
      <c r="D273" t="inlineStr"/>
      <c r="E273" t="inlineStr">
        <is>
          <t>I have other children and obligations.</t>
        </is>
      </c>
      <c r="F273" t="inlineStr">
        <is>
          <t>Work Schedule / Time Off</t>
        </is>
      </c>
      <c r="G273" t="inlineStr">
        <is>
          <t>Work Schedule / Time Off; Other Kids / Family at Home</t>
        </is>
      </c>
      <c r="H273" t="inlineStr"/>
    </row>
    <row r="274">
      <c r="A274" t="inlineStr">
        <is>
          <t>No</t>
        </is>
      </c>
      <c r="B274" t="inlineStr"/>
      <c r="C274" t="inlineStr"/>
      <c r="D274" t="inlineStr"/>
      <c r="E274" t="inlineStr">
        <is>
          <t>Son is graduating</t>
        </is>
      </c>
      <c r="F274" t="inlineStr">
        <is>
          <t>Other Life Commitment</t>
        </is>
      </c>
      <c r="G274" t="inlineStr">
        <is>
          <t>Other Life Commitment</t>
        </is>
      </c>
      <c r="H274" t="inlineStr"/>
    </row>
    <row r="275">
      <c r="A275" t="inlineStr">
        <is>
          <t>No</t>
        </is>
      </c>
      <c r="B275" t="inlineStr"/>
      <c r="C275" t="inlineStr"/>
      <c r="D275" t="inlineStr"/>
      <c r="E275" t="inlineStr"/>
      <c r="F275" t="inlineStr"/>
      <c r="G275" t="inlineStr"/>
      <c r="H275" t="inlineStr"/>
    </row>
    <row r="276">
      <c r="A276" t="inlineStr">
        <is>
          <t>Yes</t>
        </is>
      </c>
      <c r="B276" t="inlineStr">
        <is>
          <t>My daughter and her excitement for the trip</t>
        </is>
      </c>
      <c r="C276" t="inlineStr">
        <is>
          <t>Wanted Shared Experience with Child</t>
        </is>
      </c>
      <c r="D276" t="inlineStr">
        <is>
          <t>Wanted Shared Experience with Child</t>
        </is>
      </c>
      <c r="E276" t="inlineStr"/>
      <c r="F276" t="inlineStr"/>
      <c r="G276" t="inlineStr"/>
      <c r="H276" t="inlineStr"/>
    </row>
    <row r="277">
      <c r="A277" t="inlineStr">
        <is>
          <t>No</t>
        </is>
      </c>
      <c r="B277" t="inlineStr"/>
      <c r="C277" t="inlineStr"/>
      <c r="D277" t="inlineStr"/>
      <c r="E277" t="inlineStr">
        <is>
          <t>I went before and it's just too long to be away from work and disconnected at this phase of life and my career.</t>
        </is>
      </c>
      <c r="F277" t="inlineStr">
        <is>
          <t>Work Schedule / Time Off</t>
        </is>
      </c>
      <c r="G277" t="inlineStr">
        <is>
          <t>Work Schedule / Time Off</t>
        </is>
      </c>
      <c r="H277" t="inlineStr"/>
    </row>
    <row r="278">
      <c r="A278" t="inlineStr">
        <is>
          <t>No</t>
        </is>
      </c>
      <c r="B278" t="inlineStr"/>
      <c r="C278" t="inlineStr"/>
      <c r="D278" t="inlineStr"/>
      <c r="E278" t="inlineStr">
        <is>
          <t>Child wanted individual trip, cost</t>
        </is>
      </c>
      <c r="F278" t="inlineStr">
        <is>
          <t>Cost / Finances</t>
        </is>
      </c>
      <c r="G278" t="inlineStr">
        <is>
          <t>Cost / Finances</t>
        </is>
      </c>
      <c r="H278" t="inlineStr"/>
    </row>
    <row r="279">
      <c r="A279" t="inlineStr">
        <is>
          <t>No</t>
        </is>
      </c>
      <c r="B279" t="inlineStr"/>
      <c r="C279" t="inlineStr"/>
      <c r="D279" t="inlineStr"/>
      <c r="E279" t="inlineStr">
        <is>
          <t>Builder needs experience away from family and friends.</t>
        </is>
      </c>
      <c r="F279" t="inlineStr">
        <is>
          <t>Other Kids / Family at Home</t>
        </is>
      </c>
      <c r="G279" t="inlineStr">
        <is>
          <t>Other Kids / Family at Home; Wants Child to Have Independent Experience</t>
        </is>
      </c>
      <c r="H279" t="inlineStr"/>
    </row>
    <row r="280">
      <c r="A280" t="inlineStr">
        <is>
          <t>Yes</t>
        </is>
      </c>
      <c r="B280" t="inlineStr">
        <is>
          <t>I really wanted to go with my son and have a great experience serving with him in another part of the world. I wished we had made it a priority to go last year so I could go with another younger son this year. We have neighbors that have taken their kids on multiple trips and they've spoken highly of it.</t>
        </is>
      </c>
      <c r="C280" t="inlineStr">
        <is>
          <t>Wanted Shared Experience with Child</t>
        </is>
      </c>
      <c r="D280" t="inlineStr">
        <is>
          <t>Wanted Shared Experience with Child; Previous Positive Experience</t>
        </is>
      </c>
      <c r="E280" t="inlineStr"/>
      <c r="F280" t="inlineStr"/>
      <c r="G280" t="inlineStr"/>
      <c r="H280" t="inlineStr"/>
    </row>
    <row r="281">
      <c r="A281" t="inlineStr">
        <is>
          <t>No</t>
        </is>
      </c>
      <c r="B281" t="inlineStr"/>
      <c r="C281" t="inlineStr"/>
      <c r="D281" t="inlineStr"/>
      <c r="E281" t="inlineStr">
        <is>
          <t>My child didn't want me to 😂</t>
        </is>
      </c>
      <c r="F281" t="inlineStr">
        <is>
          <t>Child Didn't Want Parent to Come</t>
        </is>
      </c>
      <c r="G281" t="inlineStr">
        <is>
          <t>Child Didn't Want Parent to Come</t>
        </is>
      </c>
      <c r="H281" t="inlineStr"/>
    </row>
    <row r="282">
      <c r="A282" t="inlineStr">
        <is>
          <t>No</t>
        </is>
      </c>
      <c r="B282" t="inlineStr"/>
      <c r="C282" t="inlineStr"/>
      <c r="D282" t="inlineStr"/>
      <c r="E282" t="inlineStr"/>
      <c r="F282" t="inlineStr"/>
      <c r="G282" t="inlineStr"/>
      <c r="H282" t="inlineStr"/>
    </row>
    <row r="283">
      <c r="A283" t="inlineStr">
        <is>
          <t>No</t>
        </is>
      </c>
      <c r="B283" t="inlineStr"/>
      <c r="C283" t="inlineStr"/>
      <c r="D283" t="inlineStr"/>
      <c r="E283" t="inlineStr">
        <is>
          <t>Cousins that have gone.</t>
        </is>
      </c>
      <c r="F283" t="inlineStr">
        <is>
          <t>Another Family Member Going Instead</t>
        </is>
      </c>
      <c r="G283" t="inlineStr">
        <is>
          <t>Another Family Member Going Instead</t>
        </is>
      </c>
      <c r="H283" t="inlineStr"/>
    </row>
    <row r="284">
      <c r="A284" t="inlineStr">
        <is>
          <t>No</t>
        </is>
      </c>
      <c r="B284" t="inlineStr"/>
      <c r="C284" t="inlineStr"/>
      <c r="D284" t="inlineStr"/>
      <c r="E284" t="inlineStr">
        <is>
          <t>My son wanted to sign up on his own and have the experience without his parents-even though he loves us and we are the coolest :)</t>
        </is>
      </c>
      <c r="F284" t="inlineStr">
        <is>
          <t>Wants Child to Have Independent Experience</t>
        </is>
      </c>
      <c r="G284" t="inlineStr">
        <is>
          <t>Wants Child to Have Independent Experience</t>
        </is>
      </c>
      <c r="H284" t="inlineStr"/>
    </row>
    <row r="285">
      <c r="A285" t="inlineStr">
        <is>
          <t>No</t>
        </is>
      </c>
      <c r="B285" t="inlineStr"/>
      <c r="C285" t="inlineStr"/>
      <c r="D285" t="inlineStr"/>
      <c r="E285" t="inlineStr">
        <is>
          <t>My son wanted to sign up with his friend and they didn't want their parents going-even though we are the best! Also, I had already committed to be in charge of the food at our Stake YW camp which is the same time..</t>
        </is>
      </c>
      <c r="F285" t="inlineStr">
        <is>
          <t>Work Schedule / Time Off</t>
        </is>
      </c>
      <c r="G285" t="inlineStr">
        <is>
          <t>Work Schedule / Time Off</t>
        </is>
      </c>
      <c r="H285" t="inlineStr"/>
    </row>
    <row r="286">
      <c r="A286" t="inlineStr">
        <is>
          <t>No</t>
        </is>
      </c>
      <c r="B286" t="inlineStr"/>
      <c r="C286" t="inlineStr"/>
      <c r="D286" t="inlineStr"/>
      <c r="E286" t="inlineStr">
        <is>
          <t>My daughter really wanted to do this trip independent of anyone familiar</t>
        </is>
      </c>
      <c r="F286" t="inlineStr">
        <is>
          <t>Wants Child to Have Independent Experience</t>
        </is>
      </c>
      <c r="G286" t="inlineStr">
        <is>
          <t>Wants Child to Have Independent Experience</t>
        </is>
      </c>
      <c r="H286" t="inlineStr"/>
    </row>
    <row r="287">
      <c r="A287" t="inlineStr">
        <is>
          <t>No</t>
        </is>
      </c>
      <c r="B287" t="inlineStr"/>
      <c r="C287" t="inlineStr"/>
      <c r="D287" t="inlineStr"/>
      <c r="E287" t="inlineStr"/>
      <c r="F287" t="inlineStr"/>
      <c r="G287" t="inlineStr"/>
      <c r="H287" t="inlineStr"/>
    </row>
    <row r="288">
      <c r="A288" t="inlineStr">
        <is>
          <t>No</t>
        </is>
      </c>
      <c r="B288" t="inlineStr"/>
      <c r="C288" t="inlineStr"/>
      <c r="D288" t="inlineStr"/>
      <c r="E288" t="inlineStr"/>
      <c r="F288" t="inlineStr"/>
      <c r="G288" t="inlineStr"/>
      <c r="H288" t="inlineStr"/>
    </row>
    <row r="289">
      <c r="A289" t="inlineStr">
        <is>
          <t>No</t>
        </is>
      </c>
      <c r="B289" t="inlineStr"/>
      <c r="C289" t="inlineStr"/>
      <c r="D289" t="inlineStr"/>
      <c r="E289" t="inlineStr"/>
      <c r="F289" t="inlineStr"/>
      <c r="G289" t="inlineStr"/>
      <c r="H289" t="inlineStr"/>
    </row>
    <row r="290">
      <c r="A290" t="inlineStr">
        <is>
          <t>No</t>
        </is>
      </c>
      <c r="B290" t="inlineStr"/>
      <c r="C290" t="inlineStr"/>
      <c r="D290" t="inlineStr"/>
      <c r="E290" t="inlineStr">
        <is>
          <t>Wanted him to have an experience away from home without us</t>
        </is>
      </c>
      <c r="F290" t="inlineStr">
        <is>
          <t>Other Kids / Family at Home</t>
        </is>
      </c>
      <c r="G290" t="inlineStr">
        <is>
          <t>Other Kids / Family at Home; Wants Child to Have Independent Experience</t>
        </is>
      </c>
      <c r="H290" t="inlineStr"/>
    </row>
    <row r="291">
      <c r="A291" t="inlineStr">
        <is>
          <t>No</t>
        </is>
      </c>
      <c r="B291" t="inlineStr"/>
      <c r="C291" t="inlineStr"/>
      <c r="D291" t="inlineStr"/>
      <c r="E291" t="inlineStr">
        <is>
          <t>This is a trip Kate wants to go on by herself- I think it will be more meaningful to go alone.</t>
        </is>
      </c>
      <c r="F291" t="inlineStr">
        <is>
          <t>Child Didn't Want Parent to Come</t>
        </is>
      </c>
      <c r="G291" t="inlineStr">
        <is>
          <t>Child Didn't Want Parent to Come; Wants Child to Have Independent Experience</t>
        </is>
      </c>
      <c r="H291" t="inlineStr"/>
    </row>
    <row r="292">
      <c r="A292" t="inlineStr">
        <is>
          <t>No</t>
        </is>
      </c>
      <c r="B292" t="inlineStr"/>
      <c r="C292" t="inlineStr"/>
      <c r="D292" t="inlineStr"/>
      <c r="E292" t="inlineStr">
        <is>
          <t>My daughter wanted to do it on her own.</t>
        </is>
      </c>
      <c r="F292" t="inlineStr">
        <is>
          <t>Wants Child to Have Independent Experience</t>
        </is>
      </c>
      <c r="G292" t="inlineStr">
        <is>
          <t>Wants Child to Have Independent Experience</t>
        </is>
      </c>
      <c r="H292" t="inlineStr"/>
    </row>
    <row r="293">
      <c r="A293" t="inlineStr">
        <is>
          <t>No</t>
        </is>
      </c>
      <c r="B293" t="inlineStr"/>
      <c r="C293" t="inlineStr"/>
      <c r="D293" t="inlineStr"/>
      <c r="E293" t="inlineStr">
        <is>
          <t>To allow my daughter to have her own experience</t>
        </is>
      </c>
      <c r="F293" t="inlineStr">
        <is>
          <t>Wants Child to Have Independent Experience</t>
        </is>
      </c>
      <c r="G293" t="inlineStr">
        <is>
          <t>Wants Child to Have Independent Experience</t>
        </is>
      </c>
      <c r="H293" t="inlineStr"/>
    </row>
    <row r="294">
      <c r="A294" t="inlineStr">
        <is>
          <t>No</t>
        </is>
      </c>
      <c r="B294" t="inlineStr"/>
      <c r="C294" t="inlineStr"/>
      <c r="D294" t="inlineStr"/>
      <c r="E294" t="inlineStr">
        <is>
          <t>Price and time away</t>
        </is>
      </c>
      <c r="F294" t="inlineStr">
        <is>
          <t>Cost / Finances</t>
        </is>
      </c>
      <c r="G294" t="inlineStr">
        <is>
          <t>Cost / Finances; Work Schedule / Time Off</t>
        </is>
      </c>
      <c r="H294" t="inlineStr"/>
    </row>
    <row r="295">
      <c r="A295" t="inlineStr">
        <is>
          <t>No</t>
        </is>
      </c>
      <c r="B295" t="inlineStr"/>
      <c r="C295" t="inlineStr"/>
      <c r="D295" t="inlineStr"/>
      <c r="E295" t="inlineStr">
        <is>
          <t>I went last year and don't have the time this year.</t>
        </is>
      </c>
      <c r="F295" t="inlineStr">
        <is>
          <t>Work Schedule / Time Off</t>
        </is>
      </c>
      <c r="G295" t="inlineStr">
        <is>
          <t>Work Schedule / Time Off</t>
        </is>
      </c>
      <c r="H295" t="inlineStr"/>
    </row>
    <row r="296">
      <c r="A296" t="inlineStr">
        <is>
          <t>No</t>
        </is>
      </c>
      <c r="B296" t="inlineStr"/>
      <c r="C296" t="inlineStr"/>
      <c r="D296" t="inlineStr"/>
      <c r="E296" t="inlineStr">
        <is>
          <t>Past kids experience</t>
        </is>
      </c>
      <c r="F296" t="inlineStr">
        <is>
          <t>Wants Child to Have Independent Experience</t>
        </is>
      </c>
      <c r="G296" t="inlineStr">
        <is>
          <t>Wants Child to Have Independent Experience</t>
        </is>
      </c>
      <c r="H296" t="inlineStr"/>
    </row>
    <row r="297">
      <c r="A297" t="inlineStr">
        <is>
          <t>No</t>
        </is>
      </c>
      <c r="B297" t="inlineStr"/>
      <c r="C297" t="inlineStr"/>
      <c r="D297" t="inlineStr"/>
      <c r="E297" t="inlineStr">
        <is>
          <t>I would really like to go in the future. I am sending 3 teens this year. Finance is a part of why I am not going. And then it would be tough for me to get off work that long this year. But hopefully next year.</t>
        </is>
      </c>
      <c r="F297" t="inlineStr">
        <is>
          <t>Cost / Finances</t>
        </is>
      </c>
      <c r="G297" t="inlineStr">
        <is>
          <t>Cost / Finances; Work Schedule / Time Off</t>
        </is>
      </c>
      <c r="H297" t="inlineStr"/>
    </row>
    <row r="298">
      <c r="A298" t="inlineStr">
        <is>
          <t>Yes</t>
        </is>
      </c>
      <c r="B298" t="inlineStr"/>
      <c r="C298" t="inlineStr"/>
      <c r="D298" t="inlineStr"/>
      <c r="E298" t="inlineStr"/>
      <c r="F298" t="inlineStr"/>
      <c r="G298" t="inlineStr"/>
      <c r="H298" t="inlineStr"/>
    </row>
    <row r="299">
      <c r="A299" t="inlineStr">
        <is>
          <t>No</t>
        </is>
      </c>
      <c r="B299" t="inlineStr"/>
      <c r="C299" t="inlineStr"/>
      <c r="D299" t="inlineStr"/>
      <c r="E299" t="inlineStr">
        <is>
          <t>I have other children</t>
        </is>
      </c>
      <c r="F299" t="inlineStr">
        <is>
          <t>Other Kids / Family at Home</t>
        </is>
      </c>
      <c r="G299" t="inlineStr">
        <is>
          <t>Other Kids / Family at Home</t>
        </is>
      </c>
      <c r="H299" t="inlineStr"/>
    </row>
    <row r="300">
      <c r="A300" t="inlineStr">
        <is>
          <t>No</t>
        </is>
      </c>
      <c r="B300" t="inlineStr"/>
      <c r="C300" t="inlineStr"/>
      <c r="D300" t="inlineStr"/>
      <c r="E300" t="inlineStr">
        <is>
          <t>My husband is the parent builder so I need to stay home</t>
        </is>
      </c>
      <c r="F300" t="inlineStr">
        <is>
          <t>Another Family Member Going Instead</t>
        </is>
      </c>
      <c r="G300" t="inlineStr">
        <is>
          <t>Another Family Member Going Instead</t>
        </is>
      </c>
      <c r="H300" t="inlineStr"/>
    </row>
    <row r="301">
      <c r="A301" t="inlineStr">
        <is>
          <t>No</t>
        </is>
      </c>
      <c r="B301" t="inlineStr"/>
      <c r="C301" t="inlineStr"/>
      <c r="D301" t="inlineStr"/>
      <c r="E301" t="inlineStr">
        <is>
          <t>Cost</t>
        </is>
      </c>
      <c r="F301" t="inlineStr">
        <is>
          <t>Cost / Finances</t>
        </is>
      </c>
      <c r="G301" t="inlineStr">
        <is>
          <t>Cost / Finances</t>
        </is>
      </c>
      <c r="H301" t="inlineStr"/>
    </row>
    <row r="302">
      <c r="A302" t="inlineStr">
        <is>
          <t>No</t>
        </is>
      </c>
      <c r="B302" t="inlineStr"/>
      <c r="C302" t="inlineStr"/>
      <c r="D302" t="inlineStr"/>
      <c r="E302" t="inlineStr">
        <is>
          <t>wanted my child to do it on her own</t>
        </is>
      </c>
      <c r="F302" t="inlineStr">
        <is>
          <t>Wants Child to Have Independent Experience</t>
        </is>
      </c>
      <c r="G302" t="inlineStr">
        <is>
          <t>Wants Child to Have Independent Experience</t>
        </is>
      </c>
      <c r="H302" t="inlineStr"/>
    </row>
    <row r="303">
      <c r="A303" t="inlineStr">
        <is>
          <t>No</t>
        </is>
      </c>
      <c r="B303" t="inlineStr"/>
      <c r="C303" t="inlineStr"/>
      <c r="D303" t="inlineStr"/>
      <c r="E303" t="inlineStr">
        <is>
          <t>Timing. Giving my son space to meet new people.</t>
        </is>
      </c>
      <c r="F303" t="inlineStr">
        <is>
          <t>Work Schedule / Time Off</t>
        </is>
      </c>
      <c r="G303" t="inlineStr">
        <is>
          <t>Work Schedule / Time Off</t>
        </is>
      </c>
      <c r="H303" t="inlineStr"/>
    </row>
    <row r="304">
      <c r="A304" t="inlineStr">
        <is>
          <t>No</t>
        </is>
      </c>
      <c r="B304" t="inlineStr"/>
      <c r="C304" t="inlineStr"/>
      <c r="D304" t="inlineStr"/>
      <c r="E304" t="inlineStr">
        <is>
          <t>Time and money</t>
        </is>
      </c>
      <c r="F304" t="inlineStr">
        <is>
          <t>Cost / Finances</t>
        </is>
      </c>
      <c r="G304" t="inlineStr">
        <is>
          <t>Cost / Finances; Work Schedule / Time Off</t>
        </is>
      </c>
      <c r="H304" t="inlineStr"/>
    </row>
    <row r="305">
      <c r="A305" t="inlineStr">
        <is>
          <t>No</t>
        </is>
      </c>
      <c r="B305" t="inlineStr"/>
      <c r="C305" t="inlineStr"/>
      <c r="D305" t="inlineStr"/>
      <c r="E305" t="inlineStr">
        <is>
          <t>4 other needy children at home including a child with Autism. Work, cost etc.</t>
        </is>
      </c>
      <c r="F305" t="inlineStr">
        <is>
          <t>Cost / Finances</t>
        </is>
      </c>
      <c r="G305" t="inlineStr">
        <is>
          <t>Cost / Finances; Work Schedule / Time Off; Other Kids / Family at Home</t>
        </is>
      </c>
      <c r="H305" t="inlineStr"/>
    </row>
    <row r="306">
      <c r="A306" t="inlineStr">
        <is>
          <t>No</t>
        </is>
      </c>
      <c r="B306" t="inlineStr"/>
      <c r="C306" t="inlineStr"/>
      <c r="D306" t="inlineStr"/>
      <c r="E306" t="inlineStr">
        <is>
          <t>Money and time off work</t>
        </is>
      </c>
      <c r="F306" t="inlineStr">
        <is>
          <t>Cost / Finances</t>
        </is>
      </c>
      <c r="G306" t="inlineStr">
        <is>
          <t>Cost / Finances; Work Schedule / Time Off</t>
        </is>
      </c>
      <c r="H306" t="inlineStr"/>
    </row>
    <row r="307">
      <c r="A307" t="inlineStr">
        <is>
          <t>Yes</t>
        </is>
      </c>
      <c r="B307" t="inlineStr">
        <is>
          <t>Want to build a testimony building experience with Arin.</t>
        </is>
      </c>
      <c r="C307" t="inlineStr">
        <is>
          <t>Wanted Shared Experience with Child</t>
        </is>
      </c>
      <c r="D307" t="inlineStr">
        <is>
          <t>Wanted Shared Experience with Child; Faith / Service Motivation</t>
        </is>
      </c>
      <c r="E307" t="inlineStr"/>
      <c r="F307" t="inlineStr"/>
      <c r="G307" t="inlineStr"/>
      <c r="H307" t="inlineStr"/>
    </row>
    <row r="308">
      <c r="A308" t="inlineStr">
        <is>
          <t>No</t>
        </is>
      </c>
      <c r="B308" t="inlineStr"/>
      <c r="C308" t="inlineStr"/>
      <c r="D308" t="inlineStr"/>
      <c r="E308" t="inlineStr">
        <is>
          <t>Time away from my younger children</t>
        </is>
      </c>
      <c r="F308" t="inlineStr">
        <is>
          <t>Work Schedule / Time Off</t>
        </is>
      </c>
      <c r="G308" t="inlineStr">
        <is>
          <t>Work Schedule / Time Off; Other Kids / Family at Home</t>
        </is>
      </c>
      <c r="H308" t="inlineStr"/>
    </row>
    <row r="309">
      <c r="A309" t="inlineStr">
        <is>
          <t>No</t>
        </is>
      </c>
      <c r="B309" t="inlineStr"/>
      <c r="C309" t="inlineStr"/>
      <c r="D309" t="inlineStr"/>
      <c r="E309" t="inlineStr"/>
      <c r="F309" t="inlineStr"/>
      <c r="G309" t="inlineStr"/>
      <c r="H309" t="inlineStr"/>
    </row>
    <row r="310">
      <c r="A310" t="inlineStr">
        <is>
          <t>Yes</t>
        </is>
      </c>
      <c r="B310" t="inlineStr">
        <is>
          <t>Experience with my daughter before she graduates and service opportunity</t>
        </is>
      </c>
      <c r="C310" t="inlineStr">
        <is>
          <t>Wanted Shared Experience with Child</t>
        </is>
      </c>
      <c r="D310" t="inlineStr">
        <is>
          <t>Wanted Shared Experience with Child; Faith / Service Motivation</t>
        </is>
      </c>
      <c r="E310" t="inlineStr"/>
      <c r="F310" t="inlineStr"/>
      <c r="G310" t="inlineStr"/>
      <c r="H310" t="inlineStr"/>
    </row>
    <row r="311">
      <c r="A311" t="inlineStr">
        <is>
          <t>No</t>
        </is>
      </c>
      <c r="B311" t="inlineStr"/>
      <c r="C311" t="inlineStr"/>
      <c r="D311" t="inlineStr"/>
      <c r="E311" t="inlineStr">
        <is>
          <t>Other kids at home</t>
        </is>
      </c>
      <c r="F311" t="inlineStr">
        <is>
          <t>Other Kids / Family at Home</t>
        </is>
      </c>
      <c r="G311" t="inlineStr">
        <is>
          <t>Other Kids / Family at Home</t>
        </is>
      </c>
      <c r="H311" t="inlineStr"/>
    </row>
    <row r="312">
      <c r="A312" t="inlineStr">
        <is>
          <t>No</t>
        </is>
      </c>
      <c r="B312" t="inlineStr"/>
      <c r="C312" t="inlineStr"/>
      <c r="D312" t="inlineStr"/>
      <c r="E312" t="inlineStr">
        <is>
          <t>Logistics</t>
        </is>
      </c>
      <c r="F312" t="inlineStr">
        <is>
          <t>Other / Uncategorized</t>
        </is>
      </c>
      <c r="G312" t="inlineStr"/>
      <c r="H312" t="inlineStr"/>
    </row>
    <row r="313">
      <c r="A313" t="inlineStr">
        <is>
          <t>No</t>
        </is>
      </c>
      <c r="B313" t="inlineStr"/>
      <c r="C313" t="inlineStr"/>
      <c r="D313" t="inlineStr"/>
      <c r="E313" t="inlineStr">
        <is>
          <t>This was for my kids I wanted them to have "me, mom" free time.</t>
        </is>
      </c>
      <c r="F313" t="inlineStr">
        <is>
          <t>Work Schedule / Time Off</t>
        </is>
      </c>
      <c r="G313" t="inlineStr">
        <is>
          <t>Work Schedule / Time Off</t>
        </is>
      </c>
      <c r="H313" t="inlineStr"/>
    </row>
    <row r="314">
      <c r="A314" t="inlineStr">
        <is>
          <t>No</t>
        </is>
      </c>
      <c r="B314" t="inlineStr"/>
      <c r="C314" t="inlineStr"/>
      <c r="D314" t="inlineStr"/>
      <c r="E314" t="inlineStr">
        <is>
          <t>I wanted him to experience it alone</t>
        </is>
      </c>
      <c r="F314" t="inlineStr">
        <is>
          <t>Wants Child to Have Independent Experience</t>
        </is>
      </c>
      <c r="G314" t="inlineStr">
        <is>
          <t>Wants Child to Have Independent Experience</t>
        </is>
      </c>
      <c r="H314" t="inlineStr"/>
    </row>
    <row r="315">
      <c r="A315" t="inlineStr">
        <is>
          <t>No</t>
        </is>
      </c>
      <c r="B315" t="inlineStr"/>
      <c r="C315" t="inlineStr"/>
      <c r="D315" t="inlineStr"/>
      <c r="E315" t="inlineStr">
        <is>
          <t>My husband is already going with my son and we felt like two parents on his trip would be overkill and costly. Bummed because it sounds amazing!</t>
        </is>
      </c>
      <c r="F315" t="inlineStr">
        <is>
          <t>Another Family Member Going Instead</t>
        </is>
      </c>
      <c r="G315" t="inlineStr">
        <is>
          <t>Another Family Member Going Instead</t>
        </is>
      </c>
      <c r="H315" t="inlineStr"/>
    </row>
    <row r="316">
      <c r="A316" t="inlineStr">
        <is>
          <t>No</t>
        </is>
      </c>
      <c r="B316" t="inlineStr"/>
      <c r="C316" t="inlineStr"/>
      <c r="D316" t="inlineStr"/>
      <c r="E316" t="inlineStr">
        <is>
          <t>Price, length of being away from other children</t>
        </is>
      </c>
      <c r="F316" t="inlineStr">
        <is>
          <t>Cost / Finances</t>
        </is>
      </c>
      <c r="G316" t="inlineStr">
        <is>
          <t>Cost / Finances; Other Kids / Family at Home</t>
        </is>
      </c>
      <c r="H316" t="inlineStr"/>
    </row>
    <row r="317">
      <c r="A317" t="inlineStr">
        <is>
          <t>No</t>
        </is>
      </c>
      <c r="B317" t="inlineStr"/>
      <c r="C317" t="inlineStr"/>
      <c r="D317" t="inlineStr"/>
      <c r="E317" t="inlineStr">
        <is>
          <t>Other family at home</t>
        </is>
      </c>
      <c r="F317" t="inlineStr">
        <is>
          <t>Other Kids / Family at Home</t>
        </is>
      </c>
      <c r="G317" t="inlineStr">
        <is>
          <t>Other Kids / Family at Home</t>
        </is>
      </c>
      <c r="H317" t="inlineStr"/>
    </row>
    <row r="318">
      <c r="A318" t="inlineStr">
        <is>
          <t>No</t>
        </is>
      </c>
      <c r="B318" t="inlineStr"/>
      <c r="C318" t="inlineStr"/>
      <c r="D318" t="inlineStr"/>
      <c r="E318" t="inlineStr">
        <is>
          <t>Child wanted to go alone</t>
        </is>
      </c>
      <c r="F318" t="inlineStr">
        <is>
          <t>Wants Child to Have Independent Experience</t>
        </is>
      </c>
      <c r="G318" t="inlineStr">
        <is>
          <t>Wants Child to Have Independent Experience</t>
        </is>
      </c>
      <c r="H318" t="inlineStr"/>
    </row>
    <row r="319">
      <c r="A319" t="inlineStr">
        <is>
          <t>No</t>
        </is>
      </c>
      <c r="B319" t="inlineStr"/>
      <c r="C319" t="inlineStr"/>
      <c r="D319" t="inlineStr"/>
      <c r="E319" t="inlineStr">
        <is>
          <t>I wanted my child to have an experience without me so that it was special for them. I do want to go some day! I love this program so much!</t>
        </is>
      </c>
      <c r="F319" t="inlineStr">
        <is>
          <t>Wants Child to Have Independent Experience</t>
        </is>
      </c>
      <c r="G319" t="inlineStr">
        <is>
          <t>Wants Child to Have Independent Experience</t>
        </is>
      </c>
      <c r="H319" t="inlineStr"/>
    </row>
    <row r="320">
      <c r="A320" t="inlineStr">
        <is>
          <t>No</t>
        </is>
      </c>
      <c r="B320" t="inlineStr"/>
      <c r="C320" t="inlineStr"/>
      <c r="D320" t="inlineStr"/>
      <c r="E320" t="inlineStr">
        <is>
          <t>I want my kids to have an experience on their own--to know that they can do hard things without me</t>
        </is>
      </c>
      <c r="F320" t="inlineStr">
        <is>
          <t>Wants Child to Have Independent Experience</t>
        </is>
      </c>
      <c r="G320" t="inlineStr">
        <is>
          <t>Wants Child to Have Independent Experience</t>
        </is>
      </c>
      <c r="H320" t="inlineStr"/>
    </row>
    <row r="321">
      <c r="A321" t="inlineStr">
        <is>
          <t>No</t>
        </is>
      </c>
      <c r="B321" t="inlineStr"/>
      <c r="C321" t="inlineStr"/>
      <c r="D321" t="inlineStr"/>
      <c r="E321" t="inlineStr">
        <is>
          <t>my kid would hold back if I was there</t>
        </is>
      </c>
      <c r="F321" t="inlineStr">
        <is>
          <t>Wants Child to Have Independent Experience</t>
        </is>
      </c>
      <c r="G321" t="inlineStr">
        <is>
          <t>Wants Child to Have Independent Experience</t>
        </is>
      </c>
      <c r="H321" t="inlineStr"/>
    </row>
    <row r="322">
      <c r="A322" t="inlineStr">
        <is>
          <t>No</t>
        </is>
      </c>
      <c r="B322" t="inlineStr"/>
      <c r="C322" t="inlineStr"/>
      <c r="D322" t="inlineStr"/>
      <c r="E322" t="inlineStr">
        <is>
          <t>My kids think they would get more out of their trip without a parent.</t>
        </is>
      </c>
      <c r="F322" t="inlineStr">
        <is>
          <t>Wants Child to Have Independent Experience</t>
        </is>
      </c>
      <c r="G322" t="inlineStr">
        <is>
          <t>Wants Child to Have Independent Experience</t>
        </is>
      </c>
      <c r="H322" t="inlineStr"/>
    </row>
    <row r="323">
      <c r="A323" t="inlineStr">
        <is>
          <t>No</t>
        </is>
      </c>
      <c r="B323" t="inlineStr"/>
      <c r="C323" t="inlineStr"/>
      <c r="D323" t="inlineStr"/>
      <c r="E323" t="inlineStr">
        <is>
          <t>Too many other commitments right now.</t>
        </is>
      </c>
      <c r="F323" t="inlineStr">
        <is>
          <t>Work Schedule / Time Off</t>
        </is>
      </c>
      <c r="G323" t="inlineStr">
        <is>
          <t>Work Schedule / Time Off</t>
        </is>
      </c>
      <c r="H323" t="inlineStr"/>
    </row>
    <row r="324">
      <c r="A324" t="inlineStr">
        <is>
          <t>No</t>
        </is>
      </c>
      <c r="B324" t="inlineStr"/>
      <c r="C324" t="inlineStr"/>
      <c r="D324" t="inlineStr"/>
      <c r="E324" t="inlineStr">
        <is>
          <t>Cost</t>
        </is>
      </c>
      <c r="F324" t="inlineStr">
        <is>
          <t>Cost / Finances</t>
        </is>
      </c>
      <c r="G324" t="inlineStr">
        <is>
          <t>Cost / Finances</t>
        </is>
      </c>
      <c r="H324" t="inlineStr"/>
    </row>
    <row r="325">
      <c r="A325" t="inlineStr">
        <is>
          <t>No</t>
        </is>
      </c>
      <c r="B325" t="inlineStr"/>
      <c r="C325" t="inlineStr"/>
      <c r="D325" t="inlineStr"/>
      <c r="E325" t="inlineStr">
        <is>
          <t>I have 6 other kids at home right now</t>
        </is>
      </c>
      <c r="F325" t="inlineStr">
        <is>
          <t>Other Kids / Family at Home</t>
        </is>
      </c>
      <c r="G325" t="inlineStr">
        <is>
          <t>Other Kids / Family at Home</t>
        </is>
      </c>
      <c r="H325" t="inlineStr"/>
    </row>
    <row r="326">
      <c r="A326" t="inlineStr">
        <is>
          <t>No</t>
        </is>
      </c>
      <c r="B326" t="inlineStr"/>
      <c r="C326" t="inlineStr"/>
      <c r="D326" t="inlineStr"/>
      <c r="E326" t="inlineStr">
        <is>
          <t>My kids wanted to go on their own</t>
        </is>
      </c>
      <c r="F326" t="inlineStr">
        <is>
          <t>Wants Child to Have Independent Experience</t>
        </is>
      </c>
      <c r="G326" t="inlineStr">
        <is>
          <t>Wants Child to Have Independent Experience</t>
        </is>
      </c>
      <c r="H326" t="inlineStr"/>
    </row>
    <row r="327">
      <c r="A327" t="inlineStr">
        <is>
          <t>No</t>
        </is>
      </c>
      <c r="B327" t="inlineStr"/>
      <c r="C327" t="inlineStr"/>
      <c r="D327" t="inlineStr"/>
      <c r="E327" t="inlineStr">
        <is>
          <t>Other small children at home</t>
        </is>
      </c>
      <c r="F327" t="inlineStr">
        <is>
          <t>Other Kids / Family at Home</t>
        </is>
      </c>
      <c r="G327" t="inlineStr">
        <is>
          <t>Other Kids / Family at Home</t>
        </is>
      </c>
      <c r="H327" t="inlineStr"/>
    </row>
    <row r="328">
      <c r="A328" t="inlineStr">
        <is>
          <t>No</t>
        </is>
      </c>
      <c r="B328" t="inlineStr"/>
      <c r="C328" t="inlineStr"/>
      <c r="D328" t="inlineStr"/>
      <c r="E328" t="inlineStr">
        <is>
          <t>new job</t>
        </is>
      </c>
      <c r="F328" t="inlineStr">
        <is>
          <t>Work Schedule / Time Off</t>
        </is>
      </c>
      <c r="G328" t="inlineStr">
        <is>
          <t>Work Schedule / Time Off</t>
        </is>
      </c>
      <c r="H328" t="inlineStr"/>
    </row>
    <row r="329">
      <c r="A329" t="inlineStr">
        <is>
          <t>No</t>
        </is>
      </c>
      <c r="B329" t="inlineStr"/>
      <c r="C329" t="inlineStr"/>
      <c r="D329" t="inlineStr"/>
      <c r="E329" t="inlineStr">
        <is>
          <t>Want my daughter to have experience on her own</t>
        </is>
      </c>
      <c r="F329" t="inlineStr">
        <is>
          <t>Wants Child to Have Independent Experience</t>
        </is>
      </c>
      <c r="G329" t="inlineStr">
        <is>
          <t>Wants Child to Have Independent Experience</t>
        </is>
      </c>
      <c r="H329" t="inlineStr"/>
    </row>
    <row r="330">
      <c r="A330" t="inlineStr">
        <is>
          <t>No</t>
        </is>
      </c>
      <c r="B330" t="inlineStr"/>
      <c r="C330" t="inlineStr"/>
      <c r="D330" t="inlineStr"/>
      <c r="E330" t="inlineStr">
        <is>
          <t>My child did not want a parent with her this time</t>
        </is>
      </c>
      <c r="F330" t="inlineStr">
        <is>
          <t>Work Schedule / Time Off</t>
        </is>
      </c>
      <c r="G330" t="inlineStr">
        <is>
          <t>Work Schedule / Time Off; Child Didn't Want Parent to Come</t>
        </is>
      </c>
      <c r="H330" t="inlineStr"/>
    </row>
    <row r="331">
      <c r="A331" t="inlineStr">
        <is>
          <t>No</t>
        </is>
      </c>
      <c r="B331" t="inlineStr"/>
      <c r="C331" t="inlineStr"/>
      <c r="D331" t="inlineStr"/>
      <c r="E331" t="inlineStr">
        <is>
          <t>Cost</t>
        </is>
      </c>
      <c r="F331" t="inlineStr">
        <is>
          <t>Cost / Finances</t>
        </is>
      </c>
      <c r="G331" t="inlineStr">
        <is>
          <t>Cost / Finances</t>
        </is>
      </c>
      <c r="H331" t="inlineStr"/>
    </row>
    <row r="332">
      <c r="A332" t="inlineStr">
        <is>
          <t>No</t>
        </is>
      </c>
      <c r="B332" t="inlineStr"/>
      <c r="C332" t="inlineStr"/>
      <c r="D332" t="inlineStr"/>
      <c r="E332" t="inlineStr">
        <is>
          <t>I totally would have but my builder said she needed to go and prepare to do things on her own.</t>
        </is>
      </c>
      <c r="F332" t="inlineStr">
        <is>
          <t>Wants Child to Have Independent Experience</t>
        </is>
      </c>
      <c r="G332" t="inlineStr">
        <is>
          <t>Wants Child to Have Independent Experience</t>
        </is>
      </c>
      <c r="H332" t="inlineStr"/>
    </row>
    <row r="333">
      <c r="A333" t="inlineStr">
        <is>
          <t>No</t>
        </is>
      </c>
      <c r="B333" t="inlineStr"/>
      <c r="C333" t="inlineStr"/>
      <c r="D333" t="inlineStr"/>
      <c r="E333" t="inlineStr"/>
      <c r="F333" t="inlineStr"/>
      <c r="G333" t="inlineStr"/>
      <c r="H333" t="inlineStr"/>
    </row>
    <row r="334">
      <c r="A334" t="inlineStr">
        <is>
          <t>No</t>
        </is>
      </c>
      <c r="B334" t="inlineStr"/>
      <c r="C334" t="inlineStr"/>
      <c r="D334" t="inlineStr"/>
      <c r="E334" t="inlineStr">
        <is>
          <t>Time</t>
        </is>
      </c>
      <c r="F334" t="inlineStr">
        <is>
          <t>Work Schedule / Time Off</t>
        </is>
      </c>
      <c r="G334" t="inlineStr">
        <is>
          <t>Work Schedule / Time Off</t>
        </is>
      </c>
      <c r="H334" t="inlineStr"/>
    </row>
    <row r="335">
      <c r="A335" t="inlineStr">
        <is>
          <t>Yes</t>
        </is>
      </c>
      <c r="B335" t="inlineStr">
        <is>
          <t>I initially went with my older daughter as I feel it is so important that they are exposed to the world and how blessed we are to have the luxuries and life we do. I had such a wonderful experience with her I wanted to go with my younger daughter as well.</t>
        </is>
      </c>
      <c r="C335" t="inlineStr">
        <is>
          <t>Wanted Shared Experience with Child</t>
        </is>
      </c>
      <c r="D335" t="inlineStr">
        <is>
          <t>Wanted Shared Experience with Child</t>
        </is>
      </c>
      <c r="E335" t="inlineStr"/>
      <c r="F335" t="inlineStr"/>
      <c r="G335" t="inlineStr"/>
      <c r="H335" t="inlineStr"/>
    </row>
    <row r="336">
      <c r="A336" t="inlineStr">
        <is>
          <t>Yes</t>
        </is>
      </c>
      <c r="B336" t="inlineStr">
        <is>
          <t>My daughter</t>
        </is>
      </c>
      <c r="C336" t="inlineStr">
        <is>
          <t>Family Member Was the Reason (No Elaboration)</t>
        </is>
      </c>
      <c r="D336" t="inlineStr">
        <is>
          <t>Family Member Was the Reason (No Elaboration)</t>
        </is>
      </c>
      <c r="E336" t="inlineStr"/>
      <c r="F336" t="inlineStr"/>
      <c r="G336" t="inlineStr"/>
      <c r="H336" t="inlineStr"/>
    </row>
    <row r="337">
      <c r="A337" t="inlineStr">
        <is>
          <t>No</t>
        </is>
      </c>
      <c r="B337" t="inlineStr"/>
      <c r="C337" t="inlineStr"/>
      <c r="D337" t="inlineStr"/>
      <c r="E337" t="inlineStr">
        <is>
          <t>Want my kid to be on his own</t>
        </is>
      </c>
      <c r="F337" t="inlineStr">
        <is>
          <t>Wants Child to Have Independent Experience</t>
        </is>
      </c>
      <c r="G337" t="inlineStr">
        <is>
          <t>Wants Child to Have Independent Experience</t>
        </is>
      </c>
      <c r="H337" t="inlineStr"/>
    </row>
    <row r="338">
      <c r="A338" t="inlineStr">
        <is>
          <t>No</t>
        </is>
      </c>
      <c r="B338" t="inlineStr"/>
      <c r="C338" t="inlineStr"/>
      <c r="D338" t="inlineStr"/>
      <c r="E338" t="inlineStr">
        <is>
          <t>Our kids need an adventure without his parents.</t>
        </is>
      </c>
      <c r="F338" t="inlineStr">
        <is>
          <t>Wants Child to Have Independent Experience</t>
        </is>
      </c>
      <c r="G338" t="inlineStr">
        <is>
          <t>Wants Child to Have Independent Experience</t>
        </is>
      </c>
      <c r="H338" t="inlineStr"/>
    </row>
    <row r="339">
      <c r="A339" t="inlineStr">
        <is>
          <t>No</t>
        </is>
      </c>
      <c r="B339" t="inlineStr"/>
      <c r="C339" t="inlineStr"/>
      <c r="D339" t="inlineStr"/>
      <c r="E339" t="inlineStr"/>
      <c r="F339" t="inlineStr"/>
      <c r="G339" t="inlineStr"/>
      <c r="H339" t="inlineStr"/>
    </row>
    <row r="340">
      <c r="A340" t="inlineStr">
        <is>
          <t>No</t>
        </is>
      </c>
      <c r="B340" t="inlineStr"/>
      <c r="C340" t="inlineStr"/>
      <c r="D340" t="inlineStr"/>
      <c r="E340" t="inlineStr">
        <is>
          <t>She went on an HXP trip last year and loved it, so we decided to send her on another one in a warmer location.</t>
        </is>
      </c>
      <c r="F340" t="inlineStr">
        <is>
          <t>Wants Child to Have Independent Experience</t>
        </is>
      </c>
      <c r="G340" t="inlineStr">
        <is>
          <t>Wants Child to Have Independent Experience</t>
        </is>
      </c>
      <c r="H340" t="inlineStr"/>
    </row>
    <row r="341">
      <c r="A341" t="inlineStr">
        <is>
          <t>No</t>
        </is>
      </c>
      <c r="B341" t="inlineStr"/>
      <c r="C341" t="inlineStr"/>
      <c r="D341" t="inlineStr"/>
      <c r="E341" t="inlineStr">
        <is>
          <t>His sister went on an HXP trip last year and he wanted to go this year and see what it is all about. Also what a great opportunity for him to go serve others.</t>
        </is>
      </c>
      <c r="F341" t="inlineStr">
        <is>
          <t>Another Family Member Going Instead</t>
        </is>
      </c>
      <c r="G341" t="inlineStr">
        <is>
          <t>Another Family Member Going Instead</t>
        </is>
      </c>
      <c r="H341" t="inlineStr"/>
    </row>
    <row r="342">
      <c r="A342" t="inlineStr">
        <is>
          <t>No</t>
        </is>
      </c>
      <c r="B342" t="inlineStr"/>
      <c r="C342" t="inlineStr"/>
      <c r="D342" t="inlineStr"/>
      <c r="E342" t="inlineStr">
        <is>
          <t>Work and money. More important that our child go on these trips</t>
        </is>
      </c>
      <c r="F342" t="inlineStr">
        <is>
          <t>Cost / Finances</t>
        </is>
      </c>
      <c r="G342" t="inlineStr">
        <is>
          <t>Cost / Finances; Work Schedule / Time Off</t>
        </is>
      </c>
      <c r="H342" t="inlineStr"/>
    </row>
    <row r="343">
      <c r="A343" t="inlineStr">
        <is>
          <t>No</t>
        </is>
      </c>
      <c r="B343" t="inlineStr"/>
      <c r="C343" t="inlineStr"/>
      <c r="D343" t="inlineStr"/>
      <c r="E343" t="inlineStr">
        <is>
          <t>Money</t>
        </is>
      </c>
      <c r="F343" t="inlineStr">
        <is>
          <t>Cost / Finances</t>
        </is>
      </c>
      <c r="G343" t="inlineStr">
        <is>
          <t>Cost / Finances</t>
        </is>
      </c>
      <c r="H343" t="inlineStr"/>
    </row>
    <row r="344">
      <c r="A344" t="inlineStr">
        <is>
          <t>Yes</t>
        </is>
      </c>
      <c r="B344" t="inlineStr">
        <is>
          <t>Wanted to share the experience with my son</t>
        </is>
      </c>
      <c r="C344" t="inlineStr">
        <is>
          <t>Wanted Shared Experience with Child</t>
        </is>
      </c>
      <c r="D344" t="inlineStr">
        <is>
          <t>Wanted Shared Experience with Child</t>
        </is>
      </c>
      <c r="E344" t="inlineStr"/>
      <c r="F344" t="inlineStr"/>
      <c r="G344" t="inlineStr"/>
      <c r="H344" t="inlineStr"/>
    </row>
    <row r="345">
      <c r="A345" t="inlineStr">
        <is>
          <t>Yes</t>
        </is>
      </c>
      <c r="B345" t="inlineStr"/>
      <c r="C345" t="inlineStr"/>
      <c r="D345" t="inlineStr"/>
      <c r="E345" t="inlineStr"/>
      <c r="F345" t="inlineStr"/>
      <c r="G345" t="inlineStr"/>
      <c r="H345" t="inlineStr"/>
    </row>
    <row r="346">
      <c r="A346" t="inlineStr">
        <is>
          <t>Yes</t>
        </is>
      </c>
      <c r="B346" t="inlineStr">
        <is>
          <t>Past parent builder testimonials</t>
        </is>
      </c>
      <c r="C346" t="inlineStr">
        <is>
          <t>Trust in the HXP Program</t>
        </is>
      </c>
      <c r="D346" t="inlineStr">
        <is>
          <t>Trust in the HXP Program</t>
        </is>
      </c>
      <c r="E346" t="inlineStr"/>
      <c r="F346" t="inlineStr"/>
      <c r="G346" t="inlineStr"/>
      <c r="H346" t="inlineStr"/>
    </row>
    <row r="347">
      <c r="A347" t="inlineStr">
        <is>
          <t>No</t>
        </is>
      </c>
      <c r="B347" t="inlineStr"/>
      <c r="C347" t="inlineStr"/>
      <c r="D347" t="inlineStr"/>
      <c r="E347" t="inlineStr">
        <is>
          <t>Money, time</t>
        </is>
      </c>
      <c r="F347" t="inlineStr">
        <is>
          <t>Cost / Finances</t>
        </is>
      </c>
      <c r="G347" t="inlineStr">
        <is>
          <t>Cost / Finances; Work Schedule / Time Off</t>
        </is>
      </c>
      <c r="H347" t="inlineStr"/>
    </row>
    <row r="348">
      <c r="A348" t="inlineStr">
        <is>
          <t>Yes</t>
        </is>
      </c>
      <c r="B348" t="inlineStr">
        <is>
          <t>Don't want to send 14 year old alone to meet up</t>
        </is>
      </c>
      <c r="C348" t="inlineStr">
        <is>
          <t>Concerned About Child Going Alone / Safety</t>
        </is>
      </c>
      <c r="D348" t="inlineStr">
        <is>
          <t>Concerned About Child Going Alone / Safety</t>
        </is>
      </c>
      <c r="E348" t="inlineStr"/>
      <c r="F348" t="inlineStr"/>
      <c r="G348" t="inlineStr"/>
      <c r="H348" t="inlineStr"/>
    </row>
    <row r="349">
      <c r="A349" t="inlineStr">
        <is>
          <t>No</t>
        </is>
      </c>
      <c r="B349" t="inlineStr"/>
      <c r="C349" t="inlineStr"/>
      <c r="D349" t="inlineStr"/>
      <c r="E349" t="inlineStr">
        <is>
          <t>They already had both parent builders needed.</t>
        </is>
      </c>
      <c r="F349" t="inlineStr">
        <is>
          <t>Trip / Spot Was Already Full</t>
        </is>
      </c>
      <c r="G349" t="inlineStr">
        <is>
          <t>Trip / Spot Was Already Full</t>
        </is>
      </c>
      <c r="H349" t="inlineStr"/>
    </row>
    <row r="350">
      <c r="A350" t="inlineStr">
        <is>
          <t>No</t>
        </is>
      </c>
      <c r="B350" t="inlineStr"/>
      <c r="C350" t="inlineStr"/>
      <c r="D350" t="inlineStr"/>
      <c r="E350" t="inlineStr">
        <is>
          <t>Cost and amount of time</t>
        </is>
      </c>
      <c r="F350" t="inlineStr">
        <is>
          <t>Cost / Finances</t>
        </is>
      </c>
      <c r="G350" t="inlineStr">
        <is>
          <t>Cost / Finances; Work Schedule / Time Off</t>
        </is>
      </c>
      <c r="H350" t="inlineStr"/>
    </row>
    <row r="351">
      <c r="A351" t="inlineStr">
        <is>
          <t>No</t>
        </is>
      </c>
      <c r="B351" t="inlineStr"/>
      <c r="C351" t="inlineStr"/>
      <c r="D351" t="inlineStr"/>
      <c r="E351" t="inlineStr">
        <is>
          <t>Cost and wanting my child to have an independent experience</t>
        </is>
      </c>
      <c r="F351" t="inlineStr">
        <is>
          <t>Cost / Finances</t>
        </is>
      </c>
      <c r="G351" t="inlineStr">
        <is>
          <t>Cost / Finances; Wants Child to Have Independent Experience</t>
        </is>
      </c>
      <c r="H351" t="inlineStr"/>
    </row>
    <row r="352">
      <c r="A352" t="inlineStr">
        <is>
          <t>No</t>
        </is>
      </c>
      <c r="B352" t="inlineStr"/>
      <c r="C352" t="inlineStr"/>
      <c r="D352" t="inlineStr"/>
      <c r="E352" t="inlineStr">
        <is>
          <t>Time/ cost/ availability</t>
        </is>
      </c>
      <c r="F352" t="inlineStr">
        <is>
          <t>Cost / Finances</t>
        </is>
      </c>
      <c r="G352" t="inlineStr">
        <is>
          <t>Cost / Finances; Work Schedule / Time Off</t>
        </is>
      </c>
      <c r="H352" t="inlineStr"/>
    </row>
    <row r="353">
      <c r="A353" t="inlineStr">
        <is>
          <t>Yes</t>
        </is>
      </c>
      <c r="B353" t="inlineStr">
        <is>
          <t>Wanted to have this kind of experience with my kids</t>
        </is>
      </c>
      <c r="C353" t="inlineStr">
        <is>
          <t>Wanted Shared Experience with Child</t>
        </is>
      </c>
      <c r="D353" t="inlineStr">
        <is>
          <t>Wanted Shared Experience with Child</t>
        </is>
      </c>
      <c r="E353" t="inlineStr"/>
      <c r="F353" t="inlineStr"/>
      <c r="G353" t="inlineStr"/>
      <c r="H353" t="inlineStr"/>
    </row>
    <row r="354">
      <c r="A354" t="inlineStr">
        <is>
          <t>No</t>
        </is>
      </c>
      <c r="B354" t="inlineStr"/>
      <c r="C354" t="inlineStr"/>
      <c r="D354" t="inlineStr"/>
      <c r="E354" t="inlineStr">
        <is>
          <t>Opportunity for child to grow on own</t>
        </is>
      </c>
      <c r="F354" t="inlineStr">
        <is>
          <t>Wants Child to Have Independent Experience</t>
        </is>
      </c>
      <c r="G354" t="inlineStr">
        <is>
          <t>Wants Child to Have Independent Experience</t>
        </is>
      </c>
      <c r="H354" t="inlineStr"/>
    </row>
    <row r="355">
      <c r="A355" t="inlineStr">
        <is>
          <t>No</t>
        </is>
      </c>
      <c r="B355" t="inlineStr"/>
      <c r="C355" t="inlineStr"/>
      <c r="D355" t="inlineStr"/>
      <c r="E355" t="inlineStr"/>
      <c r="F355" t="inlineStr"/>
      <c r="G355" t="inlineStr"/>
      <c r="H355" t="inlineStr"/>
    </row>
    <row r="356">
      <c r="A356" t="inlineStr">
        <is>
          <t>No</t>
        </is>
      </c>
      <c r="B356" t="inlineStr"/>
      <c r="C356" t="inlineStr"/>
      <c r="D356" t="inlineStr"/>
      <c r="E356" t="inlineStr">
        <is>
          <t>She doesn't want me to. Wants to be a big girl :)</t>
        </is>
      </c>
      <c r="F356" t="inlineStr">
        <is>
          <t>Child Didn't Want Parent to Come</t>
        </is>
      </c>
      <c r="G356" t="inlineStr">
        <is>
          <t>Child Didn't Want Parent to Come</t>
        </is>
      </c>
      <c r="H356" t="inlineStr"/>
    </row>
    <row r="357">
      <c r="A357" t="inlineStr">
        <is>
          <t>Maybe</t>
        </is>
      </c>
      <c r="B357" t="inlineStr"/>
      <c r="C357" t="inlineStr"/>
      <c r="D357" t="inlineStr"/>
      <c r="E357" t="inlineStr"/>
      <c r="F357" t="inlineStr"/>
      <c r="G357" t="inlineStr"/>
      <c r="H357" t="inlineStr">
        <is>
          <t>Help with the expense</t>
        </is>
      </c>
    </row>
    <row r="358">
      <c r="A358" t="inlineStr">
        <is>
          <t>No</t>
        </is>
      </c>
      <c r="B358" t="inlineStr"/>
      <c r="C358" t="inlineStr"/>
      <c r="D358" t="inlineStr"/>
      <c r="E358" t="inlineStr">
        <is>
          <t>Cost</t>
        </is>
      </c>
      <c r="F358" t="inlineStr">
        <is>
          <t>Cost / Finances</t>
        </is>
      </c>
      <c r="G358" t="inlineStr">
        <is>
          <t>Cost / Finances</t>
        </is>
      </c>
      <c r="H358" t="inlineStr"/>
    </row>
    <row r="359">
      <c r="A359" t="inlineStr">
        <is>
          <t>Yes</t>
        </is>
      </c>
      <c r="B359" t="inlineStr">
        <is>
          <t>My youth</t>
        </is>
      </c>
      <c r="C359" t="inlineStr">
        <is>
          <t>Family Member Was the Reason (No Elaboration)</t>
        </is>
      </c>
      <c r="D359" t="inlineStr">
        <is>
          <t>Family Member Was the Reason (No Elaboration)</t>
        </is>
      </c>
      <c r="E359" t="inlineStr"/>
      <c r="F359" t="inlineStr"/>
      <c r="G359" t="inlineStr"/>
      <c r="H359" t="inlineStr"/>
    </row>
    <row r="360">
      <c r="A360" t="inlineStr">
        <is>
          <t>No</t>
        </is>
      </c>
      <c r="B360" t="inlineStr"/>
      <c r="C360" t="inlineStr"/>
      <c r="D360" t="inlineStr"/>
      <c r="E360" t="inlineStr">
        <is>
          <t>My child wanted to go on her own</t>
        </is>
      </c>
      <c r="F360" t="inlineStr">
        <is>
          <t>Wants Child to Have Independent Experience</t>
        </is>
      </c>
      <c r="G360" t="inlineStr">
        <is>
          <t>Wants Child to Have Independent Experience</t>
        </is>
      </c>
      <c r="H360" t="inlineStr"/>
    </row>
    <row r="361">
      <c r="A361" t="inlineStr">
        <is>
          <t>No</t>
        </is>
      </c>
      <c r="B361" t="inlineStr"/>
      <c r="C361" t="inlineStr"/>
      <c r="D361" t="inlineStr"/>
      <c r="E361" t="inlineStr">
        <is>
          <t>Cost</t>
        </is>
      </c>
      <c r="F361" t="inlineStr">
        <is>
          <t>Cost / Finances</t>
        </is>
      </c>
      <c r="G361" t="inlineStr">
        <is>
          <t>Cost / Finances</t>
        </is>
      </c>
      <c r="H361" t="inlineStr"/>
    </row>
    <row r="362">
      <c r="A362" t="inlineStr">
        <is>
          <t>No</t>
        </is>
      </c>
      <c r="B362" t="inlineStr"/>
      <c r="C362" t="inlineStr"/>
      <c r="D362" t="inlineStr"/>
      <c r="E362" t="inlineStr">
        <is>
          <t>Cost</t>
        </is>
      </c>
      <c r="F362" t="inlineStr">
        <is>
          <t>Cost / Finances</t>
        </is>
      </c>
      <c r="G362" t="inlineStr">
        <is>
          <t>Cost / Finances</t>
        </is>
      </c>
      <c r="H362" t="inlineStr"/>
    </row>
    <row r="363">
      <c r="A363" t="inlineStr">
        <is>
          <t>No</t>
        </is>
      </c>
      <c r="B363" t="inlineStr"/>
      <c r="C363" t="inlineStr"/>
      <c r="D363" t="inlineStr"/>
      <c r="E363" t="inlineStr">
        <is>
          <t>Just have smaller kids at home but would have liked to</t>
        </is>
      </c>
      <c r="F363" t="inlineStr">
        <is>
          <t>Other Kids / Family at Home</t>
        </is>
      </c>
      <c r="G363" t="inlineStr">
        <is>
          <t>Other Kids / Family at Home</t>
        </is>
      </c>
      <c r="H363" t="inlineStr"/>
    </row>
    <row r="364">
      <c r="A364" t="inlineStr">
        <is>
          <t>No</t>
        </is>
      </c>
      <c r="B364" t="inlineStr"/>
      <c r="C364" t="inlineStr"/>
      <c r="D364" t="inlineStr"/>
      <c r="E364" t="inlineStr">
        <is>
          <t>I would've been happy to go on any other trip other than my own child. Even though it can be an incredibly bonding experience to do something like this with your child, this is uniquely, pivotal and giving my child necessary time away from home and family to really Grow and examine their selves independently.</t>
        </is>
      </c>
      <c r="F364" t="inlineStr">
        <is>
          <t>Work Schedule / Time Off</t>
        </is>
      </c>
      <c r="G364" t="inlineStr">
        <is>
          <t>Work Schedule / Time Off; Other Kids / Family at Home; Wants Child to Have Independent Experience</t>
        </is>
      </c>
      <c r="H364" t="inlineStr"/>
    </row>
    <row r="365">
      <c r="A365" t="inlineStr">
        <is>
          <t>No</t>
        </is>
      </c>
      <c r="B365" t="inlineStr"/>
      <c r="C365" t="inlineStr"/>
      <c r="D365" t="inlineStr"/>
      <c r="E365" t="inlineStr">
        <is>
          <t>Builders choice</t>
        </is>
      </c>
      <c r="F365" t="inlineStr">
        <is>
          <t>Wants Child to Have Independent Experience</t>
        </is>
      </c>
      <c r="G365" t="inlineStr">
        <is>
          <t>Wants Child to Have Independent Experience</t>
        </is>
      </c>
      <c r="H365" t="inlineStr"/>
    </row>
    <row r="366">
      <c r="A366" t="inlineStr">
        <is>
          <t>No</t>
        </is>
      </c>
      <c r="B366" t="inlineStr"/>
      <c r="C366" t="inlineStr"/>
      <c r="D366" t="inlineStr"/>
      <c r="E366" t="inlineStr">
        <is>
          <t>Money and choosing which of my two girls to go with.</t>
        </is>
      </c>
      <c r="F366" t="inlineStr">
        <is>
          <t>Cost / Finances</t>
        </is>
      </c>
      <c r="G366" t="inlineStr">
        <is>
          <t>Cost / Finances</t>
        </is>
      </c>
      <c r="H366" t="inlineStr"/>
    </row>
    <row r="367">
      <c r="A367" t="inlineStr">
        <is>
          <t>No</t>
        </is>
      </c>
      <c r="B367" t="inlineStr"/>
      <c r="C367" t="inlineStr"/>
      <c r="D367" t="inlineStr"/>
      <c r="E367" t="inlineStr">
        <is>
          <t>Money and choosing between my girls</t>
        </is>
      </c>
      <c r="F367" t="inlineStr">
        <is>
          <t>Cost / Finances</t>
        </is>
      </c>
      <c r="G367" t="inlineStr">
        <is>
          <t>Cost / Finances</t>
        </is>
      </c>
      <c r="H367" t="inlineStr"/>
    </row>
    <row r="368">
      <c r="A368" t="inlineStr">
        <is>
          <t>No</t>
        </is>
      </c>
      <c r="B368" t="inlineStr"/>
      <c r="C368" t="inlineStr"/>
      <c r="D368" t="inlineStr"/>
      <c r="E368" t="inlineStr">
        <is>
          <t>I went last year and loved it. I will go again next year.</t>
        </is>
      </c>
      <c r="F368" t="inlineStr">
        <is>
          <t>Other / Uncategorized</t>
        </is>
      </c>
      <c r="G368" t="inlineStr"/>
      <c r="H368" t="inlineStr"/>
    </row>
    <row r="369">
      <c r="A369" t="inlineStr">
        <is>
          <t>Yes</t>
        </is>
      </c>
      <c r="B369" t="inlineStr">
        <is>
          <t>Husband went with older 2 kids. Now it's my turn!</t>
        </is>
      </c>
      <c r="C369" t="inlineStr">
        <is>
          <t>Previous Positive Experience</t>
        </is>
      </c>
      <c r="D369" t="inlineStr">
        <is>
          <t>Previous Positive Experience</t>
        </is>
      </c>
      <c r="E369" t="inlineStr"/>
      <c r="F369" t="inlineStr"/>
      <c r="G369" t="inlineStr"/>
      <c r="H369" t="inlineStr"/>
    </row>
    <row r="370">
      <c r="A370" t="inlineStr">
        <is>
          <t>No</t>
        </is>
      </c>
      <c r="B370" t="inlineStr"/>
      <c r="C370" t="inlineStr"/>
      <c r="D370" t="inlineStr"/>
      <c r="E370" t="inlineStr"/>
      <c r="F370" t="inlineStr"/>
      <c r="G370" t="inlineStr"/>
      <c r="H370" t="inlineStr"/>
    </row>
    <row r="371">
      <c r="A371" t="inlineStr">
        <is>
          <t>No</t>
        </is>
      </c>
      <c r="B371" t="inlineStr"/>
      <c r="C371" t="inlineStr"/>
      <c r="D371" t="inlineStr"/>
      <c r="E371" t="inlineStr">
        <is>
          <t>Time away from family, work, and calling</t>
        </is>
      </c>
      <c r="F371" t="inlineStr">
        <is>
          <t>Work Schedule / Time Off</t>
        </is>
      </c>
      <c r="G371" t="inlineStr">
        <is>
          <t>Work Schedule / Time Off; Other Kids / Family at Home</t>
        </is>
      </c>
      <c r="H371" t="inlineStr"/>
    </row>
    <row r="372">
      <c r="A372" t="inlineStr">
        <is>
          <t>No</t>
        </is>
      </c>
      <c r="B372" t="inlineStr"/>
      <c r="C372" t="inlineStr"/>
      <c r="D372" t="inlineStr"/>
      <c r="E372" t="inlineStr">
        <is>
          <t>older sibling went and had a great experience.</t>
        </is>
      </c>
      <c r="F372" t="inlineStr">
        <is>
          <t>Other Kids / Family at Home</t>
        </is>
      </c>
      <c r="G372" t="inlineStr">
        <is>
          <t>Other Kids / Family at Home; Wants Child to Have Independent Experience</t>
        </is>
      </c>
      <c r="H372" t="inlineStr"/>
    </row>
    <row r="373">
      <c r="A373" t="inlineStr">
        <is>
          <t>No</t>
        </is>
      </c>
      <c r="B373" t="inlineStr"/>
      <c r="C373" t="inlineStr"/>
      <c r="D373" t="inlineStr"/>
      <c r="E373" t="inlineStr">
        <is>
          <t>My son wanted an experience without me</t>
        </is>
      </c>
      <c r="F373" t="inlineStr">
        <is>
          <t>Wants Child to Have Independent Experience</t>
        </is>
      </c>
      <c r="G373" t="inlineStr">
        <is>
          <t>Wants Child to Have Independent Experience</t>
        </is>
      </c>
      <c r="H373" t="inlineStr"/>
    </row>
    <row r="374">
      <c r="A374" t="inlineStr">
        <is>
          <t>No</t>
        </is>
      </c>
      <c r="B374" t="inlineStr"/>
      <c r="C374" t="inlineStr"/>
      <c r="D374" t="inlineStr"/>
      <c r="E374" t="inlineStr">
        <is>
          <t>Want my child to have an experience without her parents</t>
        </is>
      </c>
      <c r="F374" t="inlineStr">
        <is>
          <t>Wants Child to Have Independent Experience</t>
        </is>
      </c>
      <c r="G374" t="inlineStr">
        <is>
          <t>Wants Child to Have Independent Experience</t>
        </is>
      </c>
      <c r="H374" t="inlineStr"/>
    </row>
    <row r="375">
      <c r="A375" t="inlineStr">
        <is>
          <t>No</t>
        </is>
      </c>
      <c r="B375" t="inlineStr"/>
      <c r="C375" t="inlineStr"/>
      <c r="D375" t="inlineStr"/>
      <c r="E375" t="inlineStr">
        <is>
          <t>I tried, but there wasn't a spot available for me to go.</t>
        </is>
      </c>
      <c r="F375" t="inlineStr">
        <is>
          <t>Work Schedule / Time Off</t>
        </is>
      </c>
      <c r="G375" t="inlineStr">
        <is>
          <t>Work Schedule / Time Off</t>
        </is>
      </c>
      <c r="H375" t="inlineStr"/>
    </row>
    <row r="376">
      <c r="A376" t="inlineStr">
        <is>
          <t>No</t>
        </is>
      </c>
      <c r="B376" t="inlineStr"/>
      <c r="C376" t="inlineStr"/>
      <c r="D376" t="inlineStr"/>
      <c r="E376" t="inlineStr">
        <is>
          <t>Price. Just can't afford to send two of us</t>
        </is>
      </c>
      <c r="F376" t="inlineStr">
        <is>
          <t>Cost / Finances</t>
        </is>
      </c>
      <c r="G376" t="inlineStr">
        <is>
          <t>Cost / Finances</t>
        </is>
      </c>
      <c r="H376" t="inlineStr"/>
    </row>
    <row r="377">
      <c r="A377" t="inlineStr">
        <is>
          <t>Yes</t>
        </is>
      </c>
      <c r="B377" t="inlineStr">
        <is>
          <t>Spending time with my son and being able to give to others.</t>
        </is>
      </c>
      <c r="C377" t="inlineStr">
        <is>
          <t>Wanted Shared Experience with Child</t>
        </is>
      </c>
      <c r="D377" t="inlineStr">
        <is>
          <t>Wanted Shared Experience with Child</t>
        </is>
      </c>
      <c r="E377" t="inlineStr"/>
      <c r="F377" t="inlineStr"/>
      <c r="G377" t="inlineStr"/>
      <c r="H377" t="inlineStr"/>
    </row>
    <row r="378">
      <c r="A378" t="inlineStr">
        <is>
          <t>Yes</t>
        </is>
      </c>
      <c r="B378" t="inlineStr">
        <is>
          <t>Wanted to open a spot for my son</t>
        </is>
      </c>
      <c r="C378" t="inlineStr">
        <is>
          <t>Securing/Ensuring Child's Spot (Registration Timing)</t>
        </is>
      </c>
      <c r="D378" t="inlineStr">
        <is>
          <t>Securing/Ensuring Child's Spot (Registration Timing)</t>
        </is>
      </c>
      <c r="E378" t="inlineStr"/>
      <c r="F378" t="inlineStr"/>
      <c r="G378" t="inlineStr"/>
      <c r="H378" t="inlineStr"/>
    </row>
    <row r="379">
      <c r="A379" t="inlineStr">
        <is>
          <t>No</t>
        </is>
      </c>
      <c r="B379" t="inlineStr"/>
      <c r="C379" t="inlineStr"/>
      <c r="D379" t="inlineStr"/>
      <c r="E379" t="inlineStr">
        <is>
          <t>Wanted our daughter to have her own experience.</t>
        </is>
      </c>
      <c r="F379" t="inlineStr">
        <is>
          <t>Wants Child to Have Independent Experience</t>
        </is>
      </c>
      <c r="G379" t="inlineStr">
        <is>
          <t>Wants Child to Have Independent Experience</t>
        </is>
      </c>
      <c r="H379" t="inlineStr"/>
    </row>
    <row r="380">
      <c r="A380" t="inlineStr">
        <is>
          <t>No</t>
        </is>
      </c>
      <c r="B380" t="inlineStr"/>
      <c r="C380" t="inlineStr"/>
      <c r="D380" t="inlineStr"/>
      <c r="E380" t="inlineStr">
        <is>
          <t>money and time</t>
        </is>
      </c>
      <c r="F380" t="inlineStr">
        <is>
          <t>Cost / Finances</t>
        </is>
      </c>
      <c r="G380" t="inlineStr">
        <is>
          <t>Cost / Finances; Work Schedule / Time Off</t>
        </is>
      </c>
      <c r="H380" t="inlineStr"/>
    </row>
    <row r="381">
      <c r="A381" t="inlineStr">
        <is>
          <t>No</t>
        </is>
      </c>
      <c r="B381" t="inlineStr"/>
      <c r="C381" t="inlineStr"/>
      <c r="D381" t="inlineStr"/>
      <c r="E381" t="inlineStr">
        <is>
          <t>My child prefers I didn't go</t>
        </is>
      </c>
      <c r="F381" t="inlineStr">
        <is>
          <t>Child Didn't Want Parent to Come</t>
        </is>
      </c>
      <c r="G381" t="inlineStr">
        <is>
          <t>Child Didn't Want Parent to Come</t>
        </is>
      </c>
      <c r="H381" t="inlineStr"/>
    </row>
    <row r="382">
      <c r="A382" t="inlineStr">
        <is>
          <t>No</t>
        </is>
      </c>
      <c r="B382" t="inlineStr"/>
      <c r="C382" t="inlineStr"/>
      <c r="D382" t="inlineStr"/>
      <c r="E382" t="inlineStr">
        <is>
          <t>time</t>
        </is>
      </c>
      <c r="F382" t="inlineStr">
        <is>
          <t>Work Schedule / Time Off</t>
        </is>
      </c>
      <c r="G382" t="inlineStr">
        <is>
          <t>Work Schedule / Time Off</t>
        </is>
      </c>
      <c r="H382" t="inlineStr"/>
    </row>
    <row r="383">
      <c r="A383" t="inlineStr">
        <is>
          <t>No</t>
        </is>
      </c>
      <c r="B383" t="inlineStr"/>
      <c r="C383" t="inlineStr"/>
      <c r="D383" t="inlineStr"/>
      <c r="E383" t="inlineStr">
        <is>
          <t>It's too expensive to send a kid and a parent builder! Especially since the trips are more this year.</t>
        </is>
      </c>
      <c r="F383" t="inlineStr">
        <is>
          <t>Cost / Finances</t>
        </is>
      </c>
      <c r="G383" t="inlineStr">
        <is>
          <t>Cost / Finances</t>
        </is>
      </c>
      <c r="H383" t="inlineStr"/>
    </row>
    <row r="384">
      <c r="A384" t="inlineStr">
        <is>
          <t>No</t>
        </is>
      </c>
      <c r="B384" t="inlineStr"/>
      <c r="C384" t="inlineStr"/>
      <c r="D384" t="inlineStr"/>
      <c r="E384" t="inlineStr">
        <is>
          <t>I think he needs this experience on his own without Mom and Dad there.</t>
        </is>
      </c>
      <c r="F384" t="inlineStr">
        <is>
          <t>Wants Child to Have Independent Experience</t>
        </is>
      </c>
      <c r="G384" t="inlineStr">
        <is>
          <t>Wants Child to Have Independent Experience</t>
        </is>
      </c>
      <c r="H384" t="inlineStr"/>
    </row>
    <row r="385">
      <c r="A385" t="inlineStr">
        <is>
          <t>Yes</t>
        </is>
      </c>
      <c r="B385" t="inlineStr">
        <is>
          <t>We sent an older daughter a few years ago. Ever since then I have felt very strongly that I am supposed to go with the daughter I'm going with this year. I guess my answer is The Spirit. Everything in my life right now except for The Spirit says this is a bad idea. I have no doubt it's the right idea.</t>
        </is>
      </c>
      <c r="C385" t="inlineStr">
        <is>
          <t>Faith / Service Motivation</t>
        </is>
      </c>
      <c r="D385" t="inlineStr">
        <is>
          <t>Faith / Service Motivation</t>
        </is>
      </c>
      <c r="E385" t="inlineStr"/>
      <c r="F385" t="inlineStr"/>
      <c r="G385" t="inlineStr"/>
      <c r="H385" t="inlineStr"/>
    </row>
    <row r="386">
      <c r="A386" t="inlineStr">
        <is>
          <t>No</t>
        </is>
      </c>
      <c r="B386" t="inlineStr"/>
      <c r="C386" t="inlineStr"/>
      <c r="D386" t="inlineStr"/>
      <c r="E386" t="inlineStr">
        <is>
          <t>busy work schedule and no one asked.</t>
        </is>
      </c>
      <c r="F386" t="inlineStr">
        <is>
          <t>Work Schedule / Time Off</t>
        </is>
      </c>
      <c r="G386" t="inlineStr">
        <is>
          <t>Work Schedule / Time Off</t>
        </is>
      </c>
      <c r="H386" t="inlineStr"/>
    </row>
    <row r="387">
      <c r="A387" t="inlineStr">
        <is>
          <t>No</t>
        </is>
      </c>
      <c r="B387" t="inlineStr"/>
      <c r="C387" t="inlineStr"/>
      <c r="D387" t="inlineStr"/>
      <c r="E387" t="inlineStr">
        <is>
          <t>My son needed independence</t>
        </is>
      </c>
      <c r="F387" t="inlineStr">
        <is>
          <t>Wants Child to Have Independent Experience</t>
        </is>
      </c>
      <c r="G387" t="inlineStr">
        <is>
          <t>Wants Child to Have Independent Experience</t>
        </is>
      </c>
      <c r="H387" t="inlineStr"/>
    </row>
    <row r="388">
      <c r="A388" t="inlineStr">
        <is>
          <t>No</t>
        </is>
      </c>
      <c r="B388" t="inlineStr"/>
      <c r="C388" t="inlineStr"/>
      <c r="D388" t="inlineStr"/>
      <c r="E388" t="inlineStr">
        <is>
          <t>Time off</t>
        </is>
      </c>
      <c r="F388" t="inlineStr">
        <is>
          <t>Work Schedule / Time Off</t>
        </is>
      </c>
      <c r="G388" t="inlineStr">
        <is>
          <t>Work Schedule / Time Off</t>
        </is>
      </c>
      <c r="H388" t="inlineStr"/>
    </row>
    <row r="389">
      <c r="A389" t="inlineStr">
        <is>
          <t>No</t>
        </is>
      </c>
      <c r="B389" t="inlineStr"/>
      <c r="C389" t="inlineStr"/>
      <c r="D389" t="inlineStr"/>
      <c r="E389" t="inlineStr">
        <is>
          <t>Work demands</t>
        </is>
      </c>
      <c r="F389" t="inlineStr">
        <is>
          <t>Work Schedule / Time Off</t>
        </is>
      </c>
      <c r="G389" t="inlineStr">
        <is>
          <t>Work Schedule / Time Off</t>
        </is>
      </c>
      <c r="H389" t="inlineStr"/>
    </row>
    <row r="390">
      <c r="A390" t="inlineStr">
        <is>
          <t>No</t>
        </is>
      </c>
      <c r="B390" t="inlineStr"/>
      <c r="C390" t="inlineStr"/>
      <c r="D390" t="inlineStr"/>
      <c r="E390" t="inlineStr">
        <is>
          <t>Cost</t>
        </is>
      </c>
      <c r="F390" t="inlineStr">
        <is>
          <t>Cost / Finances</t>
        </is>
      </c>
      <c r="G390" t="inlineStr">
        <is>
          <t>Cost / Finances</t>
        </is>
      </c>
      <c r="H390" t="inlineStr"/>
    </row>
    <row r="391">
      <c r="A391" t="inlineStr">
        <is>
          <t>Yes</t>
        </is>
      </c>
      <c r="B391" t="inlineStr">
        <is>
          <t>Time with my son, experience the adventure and opportunity myself, and the ability to learn and grow from such awesome youth</t>
        </is>
      </c>
      <c r="C391" t="inlineStr">
        <is>
          <t>Wanted Shared Experience with Child</t>
        </is>
      </c>
      <c r="D391" t="inlineStr">
        <is>
          <t>Wanted Shared Experience with Child; Love of Travel / Culture</t>
        </is>
      </c>
      <c r="E391" t="inlineStr"/>
      <c r="F391" t="inlineStr"/>
      <c r="G391" t="inlineStr"/>
      <c r="H391" t="inlineStr"/>
    </row>
    <row r="392">
      <c r="A392" t="inlineStr">
        <is>
          <t>No</t>
        </is>
      </c>
      <c r="B392" t="inlineStr"/>
      <c r="C392" t="inlineStr"/>
      <c r="D392" t="inlineStr"/>
      <c r="E392" t="inlineStr"/>
      <c r="F392" t="inlineStr"/>
      <c r="G392" t="inlineStr"/>
      <c r="H392" t="inlineStr"/>
    </row>
    <row r="393">
      <c r="A393" t="inlineStr">
        <is>
          <t>No</t>
        </is>
      </c>
      <c r="B393" t="inlineStr"/>
      <c r="C393" t="inlineStr"/>
      <c r="D393" t="inlineStr"/>
      <c r="E393" t="inlineStr">
        <is>
          <t>My child needed to go do something without his parent</t>
        </is>
      </c>
      <c r="F393" t="inlineStr">
        <is>
          <t>Wants Child to Have Independent Experience</t>
        </is>
      </c>
      <c r="G393" t="inlineStr">
        <is>
          <t>Wants Child to Have Independent Experience</t>
        </is>
      </c>
      <c r="H393" t="inlineStr"/>
    </row>
    <row r="394">
      <c r="A394" t="inlineStr">
        <is>
          <t>No</t>
        </is>
      </c>
      <c r="B394" t="inlineStr"/>
      <c r="C394" t="inlineStr"/>
      <c r="D394" t="inlineStr"/>
      <c r="E394" t="inlineStr">
        <is>
          <t>Too many young kids at home</t>
        </is>
      </c>
      <c r="F394" t="inlineStr">
        <is>
          <t>Other Kids / Family at Home</t>
        </is>
      </c>
      <c r="G394" t="inlineStr">
        <is>
          <t>Other Kids / Family at Home</t>
        </is>
      </c>
      <c r="H394" t="inlineStr"/>
    </row>
    <row r="395">
      <c r="A395" t="inlineStr">
        <is>
          <t>No</t>
        </is>
      </c>
      <c r="B395" t="inlineStr"/>
      <c r="C395" t="inlineStr"/>
      <c r="D395" t="inlineStr"/>
      <c r="E395" t="inlineStr">
        <is>
          <t>Previous builder t</t>
        </is>
      </c>
      <c r="F395" t="inlineStr">
        <is>
          <t>Other / Uncategorized</t>
        </is>
      </c>
      <c r="G395" t="inlineStr"/>
      <c r="H395" t="inlineStr"/>
    </row>
    <row r="396">
      <c r="A396" t="inlineStr">
        <is>
          <t>No</t>
        </is>
      </c>
      <c r="B396" t="inlineStr"/>
      <c r="C396" t="inlineStr"/>
      <c r="D396" t="inlineStr"/>
      <c r="E396" t="inlineStr">
        <is>
          <t>Not enough money to send me and my daughter</t>
        </is>
      </c>
      <c r="F396" t="inlineStr">
        <is>
          <t>Cost / Finances</t>
        </is>
      </c>
      <c r="G396" t="inlineStr">
        <is>
          <t>Cost / Finances</t>
        </is>
      </c>
      <c r="H396" t="inlineStr"/>
    </row>
    <row r="397">
      <c r="A397" t="inlineStr">
        <is>
          <t>No</t>
        </is>
      </c>
      <c r="B397" t="inlineStr"/>
      <c r="C397" t="inlineStr"/>
      <c r="D397" t="inlineStr"/>
      <c r="E397" t="inlineStr">
        <is>
          <t>friends and family have been before</t>
        </is>
      </c>
      <c r="F397" t="inlineStr">
        <is>
          <t>Another Family Member Going Instead</t>
        </is>
      </c>
      <c r="G397" t="inlineStr">
        <is>
          <t>Another Family Member Going Instead</t>
        </is>
      </c>
      <c r="H397" t="inlineStr"/>
    </row>
    <row r="398">
      <c r="A398" t="inlineStr">
        <is>
          <t>No</t>
        </is>
      </c>
      <c r="B398" t="inlineStr"/>
      <c r="C398" t="inlineStr"/>
      <c r="D398" t="inlineStr"/>
      <c r="E398" t="inlineStr">
        <is>
          <t>My son didn't want us to go with him.</t>
        </is>
      </c>
      <c r="F398" t="inlineStr">
        <is>
          <t>Child Didn't Want Parent to Come</t>
        </is>
      </c>
      <c r="G398" t="inlineStr">
        <is>
          <t>Child Didn't Want Parent to Come</t>
        </is>
      </c>
      <c r="H398" t="inlineStr"/>
    </row>
    <row r="399">
      <c r="A399" t="inlineStr">
        <is>
          <t>No</t>
        </is>
      </c>
      <c r="B399" t="inlineStr"/>
      <c r="C399" t="inlineStr"/>
      <c r="D399" t="inlineStr"/>
      <c r="E399" t="inlineStr"/>
      <c r="F399" t="inlineStr"/>
      <c r="G399" t="inlineStr"/>
      <c r="H399" t="inlineStr"/>
    </row>
    <row r="400">
      <c r="A400" t="inlineStr">
        <is>
          <t>No</t>
        </is>
      </c>
      <c r="B400" t="inlineStr"/>
      <c r="C400" t="inlineStr"/>
      <c r="D400" t="inlineStr"/>
      <c r="E400" t="inlineStr">
        <is>
          <t>Couldn't get time off, expense</t>
        </is>
      </c>
      <c r="F400" t="inlineStr">
        <is>
          <t>Cost / Finances</t>
        </is>
      </c>
      <c r="G400" t="inlineStr">
        <is>
          <t>Cost / Finances; Work Schedule / Time Off</t>
        </is>
      </c>
      <c r="H400" t="inlineStr"/>
    </row>
    <row r="401">
      <c r="A401" t="inlineStr">
        <is>
          <t>No</t>
        </is>
      </c>
      <c r="B401" t="inlineStr"/>
      <c r="C401" t="inlineStr"/>
      <c r="D401" t="inlineStr"/>
      <c r="E401" t="inlineStr"/>
      <c r="F401" t="inlineStr"/>
      <c r="G401" t="inlineStr"/>
      <c r="H401" t="inlineStr"/>
    </row>
    <row r="402">
      <c r="A402" t="inlineStr">
        <is>
          <t>No</t>
        </is>
      </c>
      <c r="B402" t="inlineStr"/>
      <c r="C402" t="inlineStr"/>
      <c r="D402" t="inlineStr"/>
      <c r="E402" t="inlineStr">
        <is>
          <t>My son wants to go alone</t>
        </is>
      </c>
      <c r="F402" t="inlineStr">
        <is>
          <t>Wants Child to Have Independent Experience</t>
        </is>
      </c>
      <c r="G402" t="inlineStr">
        <is>
          <t>Wants Child to Have Independent Experience</t>
        </is>
      </c>
      <c r="H402" t="inlineStr"/>
    </row>
    <row r="403">
      <c r="A403" t="inlineStr">
        <is>
          <t>No</t>
        </is>
      </c>
      <c r="B403" t="inlineStr"/>
      <c r="C403" t="inlineStr"/>
      <c r="D403" t="inlineStr"/>
      <c r="E403" t="inlineStr">
        <is>
          <t>time</t>
        </is>
      </c>
      <c r="F403" t="inlineStr">
        <is>
          <t>Work Schedule / Time Off</t>
        </is>
      </c>
      <c r="G403" t="inlineStr">
        <is>
          <t>Work Schedule / Time Off</t>
        </is>
      </c>
      <c r="H403" t="inlineStr"/>
    </row>
    <row r="404">
      <c r="A404" t="inlineStr">
        <is>
          <t>No</t>
        </is>
      </c>
      <c r="B404" t="inlineStr"/>
      <c r="C404" t="inlineStr"/>
      <c r="D404" t="inlineStr"/>
      <c r="E404" t="inlineStr">
        <is>
          <t>Time and money</t>
        </is>
      </c>
      <c r="F404" t="inlineStr">
        <is>
          <t>Cost / Finances</t>
        </is>
      </c>
      <c r="G404" t="inlineStr">
        <is>
          <t>Cost / Finances; Work Schedule / Time Off</t>
        </is>
      </c>
      <c r="H404" t="inlineStr"/>
    </row>
    <row r="405">
      <c r="A405" t="inlineStr">
        <is>
          <t>Maybe</t>
        </is>
      </c>
      <c r="B405" t="inlineStr"/>
      <c r="C405" t="inlineStr"/>
      <c r="D405" t="inlineStr"/>
      <c r="E405" t="inlineStr"/>
      <c r="F405" t="inlineStr"/>
      <c r="G405" t="inlineStr"/>
      <c r="H405" t="inlineStr">
        <is>
          <t>Finding childcare for my younger kids not on the trip</t>
        </is>
      </c>
    </row>
    <row r="406">
      <c r="A406" t="inlineStr">
        <is>
          <t>No</t>
        </is>
      </c>
      <c r="B406" t="inlineStr"/>
      <c r="C406" t="inlineStr"/>
      <c r="D406" t="inlineStr"/>
      <c r="E406" t="inlineStr">
        <is>
          <t>I went last year and so did my husband, so my daughter wanted to experience it all on her own this year. I would love to next year!</t>
        </is>
      </c>
      <c r="F406" t="inlineStr">
        <is>
          <t>Wants Child to Have Independent Experience</t>
        </is>
      </c>
      <c r="G406" t="inlineStr">
        <is>
          <t>Wants Child to Have Independent Experience</t>
        </is>
      </c>
      <c r="H406" t="inlineStr"/>
    </row>
    <row r="407">
      <c r="A407" t="inlineStr">
        <is>
          <t>No</t>
        </is>
      </c>
      <c r="B407" t="inlineStr"/>
      <c r="C407" t="inlineStr"/>
      <c r="D407" t="inlineStr"/>
      <c r="E407" t="inlineStr">
        <is>
          <t>kids at home</t>
        </is>
      </c>
      <c r="F407" t="inlineStr">
        <is>
          <t>Other Kids / Family at Home</t>
        </is>
      </c>
      <c r="G407" t="inlineStr">
        <is>
          <t>Other Kids / Family at Home</t>
        </is>
      </c>
      <c r="H407" t="inlineStr"/>
    </row>
    <row r="408">
      <c r="A408" t="inlineStr">
        <is>
          <t>No</t>
        </is>
      </c>
      <c r="B408" t="inlineStr"/>
      <c r="C408" t="inlineStr"/>
      <c r="D408" t="inlineStr"/>
      <c r="E408" t="inlineStr"/>
      <c r="F408" t="inlineStr"/>
      <c r="G408" t="inlineStr"/>
      <c r="H408" t="inlineStr"/>
    </row>
    <row r="409">
      <c r="A409" t="inlineStr">
        <is>
          <t>No</t>
        </is>
      </c>
      <c r="B409" t="inlineStr"/>
      <c r="C409" t="inlineStr"/>
      <c r="D409" t="inlineStr"/>
      <c r="E409" t="inlineStr">
        <is>
          <t>Other kids at home and planned activities</t>
        </is>
      </c>
      <c r="F409" t="inlineStr">
        <is>
          <t>Other Kids / Family at Home</t>
        </is>
      </c>
      <c r="G409" t="inlineStr">
        <is>
          <t>Other Kids / Family at Home</t>
        </is>
      </c>
      <c r="H409" t="inlineStr"/>
    </row>
    <row r="410">
      <c r="A410" t="inlineStr">
        <is>
          <t>Yes</t>
        </is>
      </c>
      <c r="B410" t="inlineStr">
        <is>
          <t>My daughter</t>
        </is>
      </c>
      <c r="C410" t="inlineStr">
        <is>
          <t>Family Member Was the Reason (No Elaboration)</t>
        </is>
      </c>
      <c r="D410" t="inlineStr">
        <is>
          <t>Family Member Was the Reason (No Elaboration)</t>
        </is>
      </c>
      <c r="E410" t="inlineStr"/>
      <c r="F410" t="inlineStr"/>
      <c r="G410" t="inlineStr"/>
      <c r="H410" t="inlineStr"/>
    </row>
    <row r="411">
      <c r="A411" t="inlineStr">
        <is>
          <t>No</t>
        </is>
      </c>
      <c r="B411" t="inlineStr"/>
      <c r="C411" t="inlineStr"/>
      <c r="D411" t="inlineStr"/>
      <c r="E411" t="inlineStr"/>
      <c r="F411" t="inlineStr"/>
      <c r="G411" t="inlineStr"/>
      <c r="H411" t="inlineStr"/>
    </row>
    <row r="412">
      <c r="A412" t="inlineStr">
        <is>
          <t>Yes</t>
        </is>
      </c>
      <c r="B412" t="inlineStr">
        <is>
          <t>Prayer</t>
        </is>
      </c>
      <c r="C412" t="inlineStr">
        <is>
          <t>Faith / Service Motivation</t>
        </is>
      </c>
      <c r="D412" t="inlineStr">
        <is>
          <t>Faith / Service Motivation</t>
        </is>
      </c>
      <c r="E412" t="inlineStr"/>
      <c r="F412" t="inlineStr"/>
      <c r="G412" t="inlineStr"/>
      <c r="H412" t="inlineStr"/>
    </row>
    <row r="413">
      <c r="A413" t="inlineStr">
        <is>
          <t>No</t>
        </is>
      </c>
      <c r="B413" t="inlineStr"/>
      <c r="C413" t="inlineStr"/>
      <c r="D413" t="inlineStr"/>
      <c r="E413" t="inlineStr">
        <is>
          <t>My job</t>
        </is>
      </c>
      <c r="F413" t="inlineStr">
        <is>
          <t>Work Schedule / Time Off</t>
        </is>
      </c>
      <c r="G413" t="inlineStr">
        <is>
          <t>Work Schedule / Time Off</t>
        </is>
      </c>
      <c r="H413" t="inlineStr"/>
    </row>
    <row r="414">
      <c r="A414" t="inlineStr">
        <is>
          <t>No</t>
        </is>
      </c>
      <c r="B414" t="inlineStr"/>
      <c r="C414" t="inlineStr"/>
      <c r="D414" t="inlineStr"/>
      <c r="E414" t="inlineStr"/>
      <c r="F414" t="inlineStr"/>
      <c r="G414" t="inlineStr"/>
      <c r="H414" t="inlineStr"/>
    </row>
    <row r="415">
      <c r="A415" t="inlineStr">
        <is>
          <t>Yes</t>
        </is>
      </c>
      <c r="B415" t="inlineStr"/>
      <c r="C415" t="inlineStr"/>
      <c r="D415" t="inlineStr"/>
      <c r="E415" t="inlineStr"/>
      <c r="F415" t="inlineStr"/>
      <c r="G415" t="inlineStr"/>
      <c r="H415" t="inlineStr"/>
    </row>
    <row r="416">
      <c r="A416" t="inlineStr">
        <is>
          <t>No</t>
        </is>
      </c>
      <c r="B416" t="inlineStr"/>
      <c r="C416" t="inlineStr"/>
      <c r="D416" t="inlineStr"/>
      <c r="E416" t="inlineStr">
        <is>
          <t>Money. :( I would love to in the future if I can ever afford it!!!!! I want to so bad! :) I went to Tonga as a parent several years ago for my youngest sister and it was such an amazing experience! I have eagerly awaited for my kids to have this experience!!!</t>
        </is>
      </c>
      <c r="F416" t="inlineStr">
        <is>
          <t>Cost / Finances</t>
        </is>
      </c>
      <c r="G416" t="inlineStr">
        <is>
          <t>Cost / Finances; Wants Child to Have Independent Experience</t>
        </is>
      </c>
      <c r="H416" t="inlineStr"/>
    </row>
    <row r="417">
      <c r="A417" t="inlineStr">
        <is>
          <t>No</t>
        </is>
      </c>
      <c r="B417" t="inlineStr"/>
      <c r="C417" t="inlineStr"/>
      <c r="D417" t="inlineStr"/>
      <c r="E417" t="inlineStr">
        <is>
          <t>Smaller kids at home</t>
        </is>
      </c>
      <c r="F417" t="inlineStr">
        <is>
          <t>Other Kids / Family at Home</t>
        </is>
      </c>
      <c r="G417" t="inlineStr">
        <is>
          <t>Other Kids / Family at Home</t>
        </is>
      </c>
      <c r="H417" t="inlineStr"/>
    </row>
    <row r="418">
      <c r="A418" t="inlineStr">
        <is>
          <t>No</t>
        </is>
      </c>
      <c r="B418" t="inlineStr"/>
      <c r="C418" t="inlineStr"/>
      <c r="D418" t="inlineStr"/>
      <c r="E418" t="inlineStr">
        <is>
          <t>Cost/time</t>
        </is>
      </c>
      <c r="F418" t="inlineStr">
        <is>
          <t>Cost / Finances</t>
        </is>
      </c>
      <c r="G418" t="inlineStr">
        <is>
          <t>Cost / Finances; Work Schedule / Time Off</t>
        </is>
      </c>
      <c r="H418" t="inlineStr"/>
    </row>
    <row r="419">
      <c r="A419" t="inlineStr">
        <is>
          <t>No</t>
        </is>
      </c>
      <c r="B419" t="inlineStr"/>
      <c r="C419" t="inlineStr"/>
      <c r="D419" t="inlineStr"/>
      <c r="E419" t="inlineStr"/>
      <c r="F419" t="inlineStr"/>
      <c r="G419" t="inlineStr"/>
      <c r="H419" t="inlineStr"/>
    </row>
    <row r="420">
      <c r="A420" t="inlineStr">
        <is>
          <t>No</t>
        </is>
      </c>
      <c r="B420" t="inlineStr"/>
      <c r="C420" t="inlineStr"/>
      <c r="D420" t="inlineStr"/>
      <c r="E420" t="inlineStr">
        <is>
          <t>Younger kids at home, and also wanting my son to have this experience independently</t>
        </is>
      </c>
      <c r="F420" t="inlineStr">
        <is>
          <t>Other Kids / Family at Home</t>
        </is>
      </c>
      <c r="G420" t="inlineStr">
        <is>
          <t>Other Kids / Family at Home; Wants Child to Have Independent Experience</t>
        </is>
      </c>
      <c r="H420" t="inlineStr"/>
    </row>
    <row r="421">
      <c r="A421" t="inlineStr">
        <is>
          <t>No</t>
        </is>
      </c>
      <c r="B421" t="inlineStr"/>
      <c r="C421" t="inlineStr"/>
      <c r="D421" t="inlineStr"/>
      <c r="E421" t="inlineStr">
        <is>
          <t>too hard to leave the other children at home for that length of time</t>
        </is>
      </c>
      <c r="F421" t="inlineStr">
        <is>
          <t>Work Schedule / Time Off</t>
        </is>
      </c>
      <c r="G421" t="inlineStr">
        <is>
          <t>Work Schedule / Time Off; Other Kids / Family at Home</t>
        </is>
      </c>
      <c r="H421" t="inlineStr"/>
    </row>
    <row r="422">
      <c r="A422" t="inlineStr">
        <is>
          <t>No</t>
        </is>
      </c>
      <c r="B422" t="inlineStr"/>
      <c r="C422" t="inlineStr"/>
      <c r="D422" t="inlineStr"/>
      <c r="E422" t="inlineStr"/>
      <c r="F422" t="inlineStr"/>
      <c r="G422" t="inlineStr"/>
      <c r="H422" t="inlineStr"/>
    </row>
    <row r="423">
      <c r="A423" t="inlineStr">
        <is>
          <t>No</t>
        </is>
      </c>
      <c r="B423" t="inlineStr"/>
      <c r="C423" t="inlineStr"/>
      <c r="D423" t="inlineStr"/>
      <c r="E423" t="inlineStr">
        <is>
          <t>My child said they wanted this to be an independent experience :(</t>
        </is>
      </c>
      <c r="F423" t="inlineStr">
        <is>
          <t>Wants Child to Have Independent Experience</t>
        </is>
      </c>
      <c r="G423" t="inlineStr">
        <is>
          <t>Wants Child to Have Independent Experience</t>
        </is>
      </c>
      <c r="H423" t="inlineStr"/>
    </row>
    <row r="424">
      <c r="A424" t="inlineStr">
        <is>
          <t>No</t>
        </is>
      </c>
      <c r="B424" t="inlineStr"/>
      <c r="C424" t="inlineStr"/>
      <c r="D424" t="inlineStr"/>
      <c r="E424" t="inlineStr">
        <is>
          <t>Price</t>
        </is>
      </c>
      <c r="F424" t="inlineStr">
        <is>
          <t>Cost / Finances</t>
        </is>
      </c>
      <c r="G424" t="inlineStr">
        <is>
          <t>Cost / Finances</t>
        </is>
      </c>
      <c r="H424" t="inlineStr"/>
    </row>
    <row r="425">
      <c r="A425" t="inlineStr">
        <is>
          <t>No</t>
        </is>
      </c>
      <c r="B425" t="inlineStr"/>
      <c r="C425" t="inlineStr"/>
      <c r="D425" t="inlineStr"/>
      <c r="E425" t="inlineStr">
        <is>
          <t>My criterion is to help my daughter increase autonomy.</t>
        </is>
      </c>
      <c r="F425" t="inlineStr">
        <is>
          <t>Wants Child to Have Independent Experience</t>
        </is>
      </c>
      <c r="G425" t="inlineStr">
        <is>
          <t>Wants Child to Have Independent Experience</t>
        </is>
      </c>
      <c r="H425" t="inlineStr"/>
    </row>
    <row r="426">
      <c r="A426" t="inlineStr">
        <is>
          <t>No</t>
        </is>
      </c>
      <c r="B426" t="inlineStr"/>
      <c r="C426" t="inlineStr"/>
      <c r="D426" t="inlineStr"/>
      <c r="E426" t="inlineStr">
        <is>
          <t>Cost and I think my daughter would do better without me there.</t>
        </is>
      </c>
      <c r="F426" t="inlineStr">
        <is>
          <t>Cost / Finances</t>
        </is>
      </c>
      <c r="G426" t="inlineStr">
        <is>
          <t>Cost / Finances; Wants Child to Have Independent Experience</t>
        </is>
      </c>
      <c r="H426" t="inlineStr"/>
    </row>
    <row r="427">
      <c r="A427" t="inlineStr">
        <is>
          <t>No</t>
        </is>
      </c>
      <c r="B427" t="inlineStr"/>
      <c r="C427" t="inlineStr"/>
      <c r="D427" t="inlineStr"/>
      <c r="E427" t="inlineStr">
        <is>
          <t>just not a traveler</t>
        </is>
      </c>
      <c r="F427" t="inlineStr">
        <is>
          <t>Not a Traveler / Personal Preference</t>
        </is>
      </c>
      <c r="G427" t="inlineStr">
        <is>
          <t>Not a Traveler / Personal Preference</t>
        </is>
      </c>
      <c r="H427" t="inlineStr"/>
    </row>
    <row r="428">
      <c r="A428" t="inlineStr">
        <is>
          <t>No</t>
        </is>
      </c>
      <c r="B428" t="inlineStr"/>
      <c r="C428" t="inlineStr"/>
      <c r="D428" t="inlineStr"/>
      <c r="E428" t="inlineStr">
        <is>
          <t>Time commitment</t>
        </is>
      </c>
      <c r="F428" t="inlineStr">
        <is>
          <t>Work Schedule / Time Off</t>
        </is>
      </c>
      <c r="G428" t="inlineStr">
        <is>
          <t>Work Schedule / Time Off</t>
        </is>
      </c>
      <c r="H428" t="inlineStr"/>
    </row>
    <row r="429">
      <c r="A429" t="inlineStr">
        <is>
          <t>No</t>
        </is>
      </c>
      <c r="B429" t="inlineStr"/>
      <c r="C429" t="inlineStr"/>
      <c r="D429" t="inlineStr"/>
      <c r="E429" t="inlineStr">
        <is>
          <t>Money and work</t>
        </is>
      </c>
      <c r="F429" t="inlineStr">
        <is>
          <t>Cost / Finances</t>
        </is>
      </c>
      <c r="G429" t="inlineStr">
        <is>
          <t>Cost / Finances; Work Schedule / Time Off</t>
        </is>
      </c>
      <c r="H429" t="inlineStr"/>
    </row>
    <row r="430">
      <c r="A430" t="inlineStr">
        <is>
          <t>No</t>
        </is>
      </c>
      <c r="B430" t="inlineStr"/>
      <c r="C430" t="inlineStr"/>
      <c r="D430" t="inlineStr"/>
      <c r="E430" t="inlineStr">
        <is>
          <t>We couldn't get time off work and other family responsibilities.</t>
        </is>
      </c>
      <c r="F430" t="inlineStr">
        <is>
          <t>Work Schedule / Time Off</t>
        </is>
      </c>
      <c r="G430" t="inlineStr">
        <is>
          <t>Work Schedule / Time Off</t>
        </is>
      </c>
      <c r="H430" t="inlineStr"/>
    </row>
    <row r="431">
      <c r="A431" t="inlineStr">
        <is>
          <t>No</t>
        </is>
      </c>
      <c r="B431" t="inlineStr"/>
      <c r="C431" t="inlineStr"/>
      <c r="D431" t="inlineStr"/>
      <c r="E431" t="inlineStr">
        <is>
          <t>Our son didn't want us too, otherwise we would have gone</t>
        </is>
      </c>
      <c r="F431" t="inlineStr">
        <is>
          <t>Child Didn't Want Parent to Come</t>
        </is>
      </c>
      <c r="G431" t="inlineStr">
        <is>
          <t>Child Didn't Want Parent to Come</t>
        </is>
      </c>
      <c r="H431" t="inlineStr"/>
    </row>
    <row r="432">
      <c r="A432" t="inlineStr">
        <is>
          <t>No</t>
        </is>
      </c>
      <c r="B432" t="inlineStr"/>
      <c r="C432" t="inlineStr"/>
      <c r="D432" t="inlineStr"/>
      <c r="E432" t="inlineStr"/>
      <c r="F432" t="inlineStr"/>
      <c r="G432" t="inlineStr"/>
      <c r="H432" t="inlineStr"/>
    </row>
    <row r="433">
      <c r="A433" t="inlineStr">
        <is>
          <t>No</t>
        </is>
      </c>
      <c r="B433" t="inlineStr"/>
      <c r="C433" t="inlineStr"/>
      <c r="D433" t="inlineStr"/>
      <c r="E433" t="inlineStr"/>
      <c r="F433" t="inlineStr"/>
      <c r="G433" t="inlineStr"/>
      <c r="H433" t="inlineStr"/>
    </row>
    <row r="434">
      <c r="A434" t="inlineStr">
        <is>
          <t>Yes</t>
        </is>
      </c>
      <c r="B434" t="inlineStr">
        <is>
          <t>Not willing to let my child leave the country without me :)</t>
        </is>
      </c>
      <c r="C434" t="inlineStr">
        <is>
          <t>Concerned About Child Going Alone / Safety</t>
        </is>
      </c>
      <c r="D434" t="inlineStr">
        <is>
          <t>Concerned About Child Going Alone / Safety</t>
        </is>
      </c>
      <c r="E434" t="inlineStr"/>
      <c r="F434" t="inlineStr"/>
      <c r="G434" t="inlineStr"/>
      <c r="H434" t="inlineStr"/>
    </row>
    <row r="435">
      <c r="A435" t="inlineStr">
        <is>
          <t>No</t>
        </is>
      </c>
      <c r="B435" t="inlineStr"/>
      <c r="C435" t="inlineStr"/>
      <c r="D435" t="inlineStr"/>
      <c r="E435" t="inlineStr">
        <is>
          <t>my child wanted an experience independent of me</t>
        </is>
      </c>
      <c r="F435" t="inlineStr">
        <is>
          <t>Wants Child to Have Independent Experience</t>
        </is>
      </c>
      <c r="G435" t="inlineStr">
        <is>
          <t>Wants Child to Have Independent Experience</t>
        </is>
      </c>
      <c r="H435" t="inlineStr"/>
    </row>
    <row r="436">
      <c r="A436" t="inlineStr">
        <is>
          <t>No</t>
        </is>
      </c>
      <c r="B436" t="inlineStr"/>
      <c r="C436" t="inlineStr"/>
      <c r="D436" t="inlineStr"/>
      <c r="E436" t="inlineStr">
        <is>
          <t>other kids at home. I travel a lot myself, but don't think my kids would want me to be there. I'd like them to have their own experience</t>
        </is>
      </c>
      <c r="F436" t="inlineStr">
        <is>
          <t>Other Kids / Family at Home</t>
        </is>
      </c>
      <c r="G436" t="inlineStr">
        <is>
          <t>Other Kids / Family at Home; Wants Child to Have Independent Experience</t>
        </is>
      </c>
      <c r="H436" t="inlineStr"/>
    </row>
    <row r="437">
      <c r="A437" t="inlineStr">
        <is>
          <t>No</t>
        </is>
      </c>
      <c r="B437" t="inlineStr"/>
      <c r="C437" t="inlineStr"/>
      <c r="D437" t="inlineStr"/>
      <c r="E437" t="inlineStr">
        <is>
          <t>Cost; Work commitments</t>
        </is>
      </c>
      <c r="F437" t="inlineStr">
        <is>
          <t>Cost / Finances</t>
        </is>
      </c>
      <c r="G437" t="inlineStr">
        <is>
          <t>Cost / Finances; Work Schedule / Time Off</t>
        </is>
      </c>
      <c r="H437" t="inlineStr"/>
    </row>
    <row r="438">
      <c r="A438" t="inlineStr">
        <is>
          <t>No</t>
        </is>
      </c>
      <c r="B438" t="inlineStr"/>
      <c r="C438" t="inlineStr"/>
      <c r="D438" t="inlineStr"/>
      <c r="E438" t="inlineStr">
        <is>
          <t>No time off work.</t>
        </is>
      </c>
      <c r="F438" t="inlineStr">
        <is>
          <t>Work Schedule / Time Off</t>
        </is>
      </c>
      <c r="G438" t="inlineStr">
        <is>
          <t>Work Schedule / Time Off</t>
        </is>
      </c>
      <c r="H438" t="inlineStr"/>
    </row>
    <row r="439">
      <c r="A439" t="inlineStr">
        <is>
          <t>Yes</t>
        </is>
      </c>
      <c r="B439" t="inlineStr">
        <is>
          <t>My husband went last year with our daughter and had a great experience.</t>
        </is>
      </c>
      <c r="C439" t="inlineStr">
        <is>
          <t>Wanted Shared Experience with Child</t>
        </is>
      </c>
      <c r="D439" t="inlineStr">
        <is>
          <t>Wanted Shared Experience with Child; Previous Positive Experience</t>
        </is>
      </c>
      <c r="E439" t="inlineStr"/>
      <c r="F439" t="inlineStr"/>
      <c r="G439" t="inlineStr"/>
      <c r="H439" t="inlineStr"/>
    </row>
    <row r="440">
      <c r="A440" t="inlineStr">
        <is>
          <t>No</t>
        </is>
      </c>
      <c r="B440" t="inlineStr"/>
      <c r="C440" t="inlineStr"/>
      <c r="D440" t="inlineStr"/>
      <c r="E440" t="inlineStr">
        <is>
          <t>Work schedule, price, health.</t>
        </is>
      </c>
      <c r="F440" t="inlineStr">
        <is>
          <t>Cost / Finances</t>
        </is>
      </c>
      <c r="G440" t="inlineStr">
        <is>
          <t>Cost / Finances; Work Schedule / Time Off; Health / Physical / Age</t>
        </is>
      </c>
      <c r="H440" t="inlineStr"/>
    </row>
    <row r="441">
      <c r="A441" t="inlineStr">
        <is>
          <t>No</t>
        </is>
      </c>
      <c r="B441" t="inlineStr"/>
      <c r="C441" t="inlineStr"/>
      <c r="D441" t="inlineStr"/>
      <c r="E441" t="inlineStr">
        <is>
          <t>Work, price, health</t>
        </is>
      </c>
      <c r="F441" t="inlineStr">
        <is>
          <t>Cost / Finances</t>
        </is>
      </c>
      <c r="G441" t="inlineStr">
        <is>
          <t>Cost / Finances; Work Schedule / Time Off; Health / Physical / Age</t>
        </is>
      </c>
      <c r="H441" t="inlineStr"/>
    </row>
    <row r="442">
      <c r="A442" t="inlineStr">
        <is>
          <t>No</t>
        </is>
      </c>
      <c r="B442" t="inlineStr"/>
      <c r="C442" t="inlineStr"/>
      <c r="D442" t="inlineStr"/>
      <c r="E442" t="inlineStr">
        <is>
          <t>Kids at home</t>
        </is>
      </c>
      <c r="F442" t="inlineStr">
        <is>
          <t>Other Kids / Family at Home</t>
        </is>
      </c>
      <c r="G442" t="inlineStr">
        <is>
          <t>Other Kids / Family at Home</t>
        </is>
      </c>
      <c r="H442" t="inlineStr"/>
    </row>
    <row r="443">
      <c r="A443" t="inlineStr">
        <is>
          <t>No</t>
        </is>
      </c>
      <c r="B443" t="inlineStr"/>
      <c r="C443" t="inlineStr"/>
      <c r="D443" t="inlineStr"/>
      <c r="E443" t="inlineStr">
        <is>
          <t>Didn't know it was an option, but I want our child to go solo anyway.</t>
        </is>
      </c>
      <c r="F443" t="inlineStr">
        <is>
          <t>Wants Child to Have Independent Experience</t>
        </is>
      </c>
      <c r="G443" t="inlineStr">
        <is>
          <t>Wants Child to Have Independent Experience; Not Aware It Was an Option</t>
        </is>
      </c>
      <c r="H443" t="inlineStr"/>
    </row>
    <row r="444">
      <c r="A444" t="inlineStr">
        <is>
          <t>Maybe</t>
        </is>
      </c>
      <c r="B444" t="inlineStr"/>
      <c r="C444" t="inlineStr"/>
      <c r="D444" t="inlineStr"/>
      <c r="E444" t="inlineStr"/>
      <c r="F444" t="inlineStr"/>
      <c r="G444" t="inlineStr"/>
      <c r="H444" t="inlineStr">
        <is>
          <t>Maybe with one of my next kids as the younger ones get older.</t>
        </is>
      </c>
    </row>
    <row r="445">
      <c r="A445" t="inlineStr">
        <is>
          <t>No</t>
        </is>
      </c>
      <c r="B445" t="inlineStr"/>
      <c r="C445" t="inlineStr"/>
      <c r="D445" t="inlineStr"/>
      <c r="E445" t="inlineStr">
        <is>
          <t>Money and my other 4 kids at home, also I did want my daughter to experience not having me around</t>
        </is>
      </c>
      <c r="F445" t="inlineStr">
        <is>
          <t>Cost / Finances</t>
        </is>
      </c>
      <c r="G445" t="inlineStr">
        <is>
          <t>Cost / Finances; Other Kids / Family at Home; Wants Child to Have Independent Experience</t>
        </is>
      </c>
      <c r="H445" t="inlineStr"/>
    </row>
    <row r="446">
      <c r="A446" t="inlineStr">
        <is>
          <t>Yes</t>
        </is>
      </c>
      <c r="B446" t="inlineStr">
        <is>
          <t>My daughter</t>
        </is>
      </c>
      <c r="C446" t="inlineStr">
        <is>
          <t>Family Member Was the Reason (No Elaboration)</t>
        </is>
      </c>
      <c r="D446" t="inlineStr">
        <is>
          <t>Family Member Was the Reason (No Elaboration)</t>
        </is>
      </c>
      <c r="E446" t="inlineStr"/>
      <c r="F446" t="inlineStr"/>
      <c r="G446" t="inlineStr"/>
      <c r="H446" t="inlineStr"/>
    </row>
    <row r="447">
      <c r="A447" t="inlineStr">
        <is>
          <t>No</t>
        </is>
      </c>
      <c r="B447" t="inlineStr"/>
      <c r="C447" t="inlineStr"/>
      <c r="D447" t="inlineStr"/>
      <c r="E447" t="inlineStr">
        <is>
          <t>Other obligations</t>
        </is>
      </c>
      <c r="F447" t="inlineStr">
        <is>
          <t>Work Schedule / Time Off</t>
        </is>
      </c>
      <c r="G447" t="inlineStr">
        <is>
          <t>Work Schedule / Time Off</t>
        </is>
      </c>
      <c r="H447" t="inlineStr"/>
    </row>
    <row r="448">
      <c r="A448" t="inlineStr">
        <is>
          <t>No</t>
        </is>
      </c>
      <c r="B448" t="inlineStr"/>
      <c r="C448" t="inlineStr"/>
      <c r="D448" t="inlineStr"/>
      <c r="E448" t="inlineStr">
        <is>
          <t>cost and work obligations</t>
        </is>
      </c>
      <c r="F448" t="inlineStr">
        <is>
          <t>Cost / Finances</t>
        </is>
      </c>
      <c r="G448" t="inlineStr">
        <is>
          <t>Cost / Finances; Work Schedule / Time Off</t>
        </is>
      </c>
      <c r="H448" t="inlineStr"/>
    </row>
    <row r="449">
      <c r="A449" t="inlineStr">
        <is>
          <t>Maybe</t>
        </is>
      </c>
      <c r="B449" t="inlineStr"/>
      <c r="C449" t="inlineStr"/>
      <c r="D449" t="inlineStr"/>
      <c r="E449" t="inlineStr"/>
      <c r="F449" t="inlineStr"/>
      <c r="G449" t="inlineStr"/>
      <c r="H449" t="inlineStr">
        <is>
          <t>Not sure</t>
        </is>
      </c>
    </row>
    <row r="450">
      <c r="A450" t="inlineStr">
        <is>
          <t>No</t>
        </is>
      </c>
      <c r="B450" t="inlineStr"/>
      <c r="C450" t="inlineStr"/>
      <c r="D450" t="inlineStr"/>
      <c r="E450" t="inlineStr"/>
      <c r="F450" t="inlineStr"/>
      <c r="G450" t="inlineStr"/>
      <c r="H450" t="inlineStr"/>
    </row>
    <row r="451">
      <c r="A451" t="inlineStr">
        <is>
          <t>No</t>
        </is>
      </c>
      <c r="B451" t="inlineStr"/>
      <c r="C451" t="inlineStr"/>
      <c r="D451" t="inlineStr"/>
      <c r="E451" t="inlineStr">
        <is>
          <t>My daughter didn't want me to! 🤣</t>
        </is>
      </c>
      <c r="F451" t="inlineStr">
        <is>
          <t>Child Didn't Want Parent to Come</t>
        </is>
      </c>
      <c r="G451" t="inlineStr">
        <is>
          <t>Child Didn't Want Parent to Come</t>
        </is>
      </c>
      <c r="H451" t="inlineStr"/>
    </row>
    <row r="452">
      <c r="A452" t="inlineStr">
        <is>
          <t>No</t>
        </is>
      </c>
      <c r="B452" t="inlineStr"/>
      <c r="C452" t="inlineStr"/>
      <c r="D452" t="inlineStr"/>
      <c r="E452" t="inlineStr"/>
      <c r="F452" t="inlineStr"/>
      <c r="G452" t="inlineStr"/>
      <c r="H452" t="inlineStr"/>
    </row>
    <row r="453">
      <c r="A453" t="inlineStr">
        <is>
          <t>No</t>
        </is>
      </c>
      <c r="B453" t="inlineStr"/>
      <c r="C453" t="inlineStr"/>
      <c r="D453" t="inlineStr"/>
      <c r="E453" t="inlineStr">
        <is>
          <t>I couldn't afford it.</t>
        </is>
      </c>
      <c r="F453" t="inlineStr">
        <is>
          <t>Cost / Finances</t>
        </is>
      </c>
      <c r="G453" t="inlineStr">
        <is>
          <t>Cost / Finances</t>
        </is>
      </c>
      <c r="H453" t="inlineStr"/>
    </row>
    <row r="454">
      <c r="A454" t="inlineStr">
        <is>
          <t>Yes</t>
        </is>
      </c>
      <c r="B454" t="inlineStr">
        <is>
          <t>Previous children and wife went to HXP and I love the whole mission and vision of HCP</t>
        </is>
      </c>
      <c r="C454" t="inlineStr">
        <is>
          <t>Previous Positive Experience</t>
        </is>
      </c>
      <c r="D454" t="inlineStr">
        <is>
          <t>Previous Positive Experience; Faith / Service Motivation</t>
        </is>
      </c>
      <c r="E454" t="inlineStr"/>
      <c r="F454" t="inlineStr"/>
      <c r="G454" t="inlineStr"/>
      <c r="H454" t="inlineStr"/>
    </row>
    <row r="455">
      <c r="A455" t="inlineStr">
        <is>
          <t>No</t>
        </is>
      </c>
      <c r="B455" t="inlineStr"/>
      <c r="C455" t="inlineStr"/>
      <c r="D455" t="inlineStr"/>
      <c r="E455" t="inlineStr">
        <is>
          <t>We will be out of town</t>
        </is>
      </c>
      <c r="F455" t="inlineStr">
        <is>
          <t>Other Life Commitment</t>
        </is>
      </c>
      <c r="G455" t="inlineStr">
        <is>
          <t>Other Life Commitment</t>
        </is>
      </c>
      <c r="H455" t="inlineStr"/>
    </row>
    <row r="456">
      <c r="A456" t="inlineStr">
        <is>
          <t>Yes</t>
        </is>
      </c>
      <c r="B456" t="inlineStr">
        <is>
          <t>The great experience that you guys provide the leadership that you have and the opportunity to help the youth experience another culture</t>
        </is>
      </c>
      <c r="C456" t="inlineStr">
        <is>
          <t>Wanted Shared Experience with Child</t>
        </is>
      </c>
      <c r="D456" t="inlineStr">
        <is>
          <t>Wanted Shared Experience with Child; Love of Travel / Culture</t>
        </is>
      </c>
      <c r="E456" t="inlineStr"/>
      <c r="F456" t="inlineStr"/>
      <c r="G456" t="inlineStr"/>
      <c r="H456" t="inlineStr"/>
    </row>
    <row r="457">
      <c r="A457" t="inlineStr">
        <is>
          <t>Maybe</t>
        </is>
      </c>
      <c r="B457" t="inlineStr"/>
      <c r="C457" t="inlineStr"/>
      <c r="D457" t="inlineStr"/>
      <c r="E457" t="inlineStr"/>
      <c r="F457" t="inlineStr"/>
      <c r="G457" t="inlineStr"/>
      <c r="H457" t="inlineStr">
        <is>
          <t>I don't know much about it. I would need more info</t>
        </is>
      </c>
    </row>
    <row r="458">
      <c r="A458" t="inlineStr">
        <is>
          <t>No</t>
        </is>
      </c>
      <c r="B458" t="inlineStr"/>
      <c r="C458" t="inlineStr"/>
      <c r="D458" t="inlineStr"/>
      <c r="E458" t="inlineStr">
        <is>
          <t>Price</t>
        </is>
      </c>
      <c r="F458" t="inlineStr">
        <is>
          <t>Cost / Finances</t>
        </is>
      </c>
      <c r="G458" t="inlineStr">
        <is>
          <t>Cost / Finances</t>
        </is>
      </c>
      <c r="H458" t="inlineStr"/>
    </row>
    <row r="459">
      <c r="A459" t="inlineStr">
        <is>
          <t>No</t>
        </is>
      </c>
      <c r="B459" t="inlineStr"/>
      <c r="C459" t="inlineStr"/>
      <c r="D459" t="inlineStr"/>
      <c r="E459" t="inlineStr">
        <is>
          <t>Cost</t>
        </is>
      </c>
      <c r="F459" t="inlineStr">
        <is>
          <t>Cost / Finances</t>
        </is>
      </c>
      <c r="G459" t="inlineStr">
        <is>
          <t>Cost / Finances</t>
        </is>
      </c>
      <c r="H459" t="inlineStr"/>
    </row>
    <row r="460">
      <c r="A460" t="inlineStr">
        <is>
          <t>No</t>
        </is>
      </c>
      <c r="B460" t="inlineStr"/>
      <c r="C460" t="inlineStr"/>
      <c r="D460" t="inlineStr"/>
      <c r="E460" t="inlineStr">
        <is>
          <t>She was so excited to do a trip by herself</t>
        </is>
      </c>
      <c r="F460" t="inlineStr">
        <is>
          <t>Child Didn't Want Parent to Come</t>
        </is>
      </c>
      <c r="G460" t="inlineStr">
        <is>
          <t>Child Didn't Want Parent to Come</t>
        </is>
      </c>
      <c r="H460" t="inlineStr"/>
    </row>
    <row r="461">
      <c r="A461" t="inlineStr">
        <is>
          <t>No</t>
        </is>
      </c>
      <c r="B461" t="inlineStr"/>
      <c r="C461" t="inlineStr"/>
      <c r="D461" t="inlineStr"/>
      <c r="E461" t="inlineStr">
        <is>
          <t>My son :)</t>
        </is>
      </c>
      <c r="F461" t="inlineStr">
        <is>
          <t>Family's Own Choice (No Elaboration)</t>
        </is>
      </c>
      <c r="G461" t="inlineStr">
        <is>
          <t>Family's Own Choice (No Elaboration)</t>
        </is>
      </c>
      <c r="H461" t="inlineStr"/>
    </row>
    <row r="462">
      <c r="A462" t="inlineStr">
        <is>
          <t>No</t>
        </is>
      </c>
      <c r="B462" t="inlineStr"/>
      <c r="C462" t="inlineStr"/>
      <c r="D462" t="inlineStr"/>
      <c r="E462" t="inlineStr"/>
      <c r="F462" t="inlineStr"/>
      <c r="G462" t="inlineStr"/>
      <c r="H462" t="inlineStr"/>
    </row>
    <row r="463">
      <c r="A463" t="inlineStr">
        <is>
          <t>No</t>
        </is>
      </c>
      <c r="B463" t="inlineStr"/>
      <c r="C463" t="inlineStr"/>
      <c r="D463" t="inlineStr"/>
      <c r="E463" t="inlineStr">
        <is>
          <t>work</t>
        </is>
      </c>
      <c r="F463" t="inlineStr">
        <is>
          <t>Work Schedule / Time Off</t>
        </is>
      </c>
      <c r="G463" t="inlineStr">
        <is>
          <t>Work Schedule / Time Off</t>
        </is>
      </c>
      <c r="H463" t="inlineStr"/>
    </row>
    <row r="464">
      <c r="A464" t="inlineStr">
        <is>
          <t>Yes</t>
        </is>
      </c>
      <c r="B464" t="inlineStr">
        <is>
          <t>Husband went last year with our daughter.</t>
        </is>
      </c>
      <c r="C464" t="inlineStr">
        <is>
          <t>Previous Positive Experience</t>
        </is>
      </c>
      <c r="D464" t="inlineStr">
        <is>
          <t>Previous Positive Experience</t>
        </is>
      </c>
      <c r="E464" t="inlineStr"/>
      <c r="F464" t="inlineStr"/>
      <c r="G464" t="inlineStr"/>
      <c r="H464" t="inlineStr"/>
    </row>
    <row r="465">
      <c r="A465" t="inlineStr">
        <is>
          <t>No</t>
        </is>
      </c>
      <c r="B465" t="inlineStr"/>
      <c r="C465" t="inlineStr"/>
      <c r="D465" t="inlineStr"/>
      <c r="E465" t="inlineStr">
        <is>
          <t>I wanted my builder to have a more personal experience</t>
        </is>
      </c>
      <c r="F465" t="inlineStr">
        <is>
          <t>Wants Child to Have Independent Experience</t>
        </is>
      </c>
      <c r="G465" t="inlineStr">
        <is>
          <t>Wants Child to Have Independent Experience</t>
        </is>
      </c>
      <c r="H465" t="inlineStr"/>
    </row>
    <row r="466">
      <c r="A466" t="inlineStr">
        <is>
          <t>No</t>
        </is>
      </c>
      <c r="B466" t="inlineStr"/>
      <c r="C466" t="inlineStr"/>
      <c r="D466" t="inlineStr"/>
      <c r="E466" t="inlineStr">
        <is>
          <t>child wanted the independence</t>
        </is>
      </c>
      <c r="F466" t="inlineStr">
        <is>
          <t>Wants Child to Have Independent Experience</t>
        </is>
      </c>
      <c r="G466" t="inlineStr">
        <is>
          <t>Wants Child to Have Independent Experience</t>
        </is>
      </c>
      <c r="H466" t="inlineStr"/>
    </row>
    <row r="467">
      <c r="A467" t="inlineStr">
        <is>
          <t>No</t>
        </is>
      </c>
      <c r="B467" t="inlineStr"/>
      <c r="C467" t="inlineStr"/>
      <c r="D467" t="inlineStr"/>
      <c r="E467" t="inlineStr">
        <is>
          <t>Home schedule too busy</t>
        </is>
      </c>
      <c r="F467" t="inlineStr">
        <is>
          <t>Work Schedule / Time Off</t>
        </is>
      </c>
      <c r="G467" t="inlineStr">
        <is>
          <t>Work Schedule / Time Off</t>
        </is>
      </c>
      <c r="H467" t="inlineStr"/>
    </row>
    <row r="468">
      <c r="A468" t="inlineStr">
        <is>
          <t>No</t>
        </is>
      </c>
      <c r="B468" t="inlineStr"/>
      <c r="C468" t="inlineStr"/>
      <c r="D468" t="inlineStr"/>
      <c r="E468" t="inlineStr">
        <is>
          <t>She wanted to go on her own and experience some independance</t>
        </is>
      </c>
      <c r="F468" t="inlineStr">
        <is>
          <t>Wants Child to Have Independent Experience</t>
        </is>
      </c>
      <c r="G468" t="inlineStr">
        <is>
          <t>Wants Child to Have Independent Experience</t>
        </is>
      </c>
      <c r="H468" t="inlineStr"/>
    </row>
    <row r="469">
      <c r="A469" t="inlineStr">
        <is>
          <t>No</t>
        </is>
      </c>
      <c r="B469" t="inlineStr"/>
      <c r="C469" t="inlineStr"/>
      <c r="D469" t="inlineStr"/>
      <c r="E469" t="inlineStr">
        <is>
          <t>Our daughter needed to experience this growth on her own, but we will miss her like crazy</t>
        </is>
      </c>
      <c r="F469" t="inlineStr">
        <is>
          <t>Wants Child to Have Independent Experience</t>
        </is>
      </c>
      <c r="G469" t="inlineStr">
        <is>
          <t>Wants Child to Have Independent Experience</t>
        </is>
      </c>
      <c r="H469" t="inlineStr"/>
    </row>
    <row r="470">
      <c r="A470" t="inlineStr">
        <is>
          <t>No</t>
        </is>
      </c>
      <c r="B470" t="inlineStr"/>
      <c r="C470" t="inlineStr"/>
      <c r="D470" t="inlineStr"/>
      <c r="E470" t="inlineStr">
        <is>
          <t>My kids what to have their own experience</t>
        </is>
      </c>
      <c r="F470" t="inlineStr">
        <is>
          <t>Wants Child to Have Independent Experience</t>
        </is>
      </c>
      <c r="G470" t="inlineStr">
        <is>
          <t>Wants Child to Have Independent Experience</t>
        </is>
      </c>
      <c r="H470" t="inlineStr"/>
    </row>
    <row r="471">
      <c r="A471" t="inlineStr">
        <is>
          <t>Yes</t>
        </is>
      </c>
      <c r="B471" t="inlineStr">
        <is>
          <t>Always wanted to do a humanitarian trip</t>
        </is>
      </c>
      <c r="C471" t="inlineStr">
        <is>
          <t>Faith / Service Motivation</t>
        </is>
      </c>
      <c r="D471" t="inlineStr">
        <is>
          <t>Faith / Service Motivation</t>
        </is>
      </c>
      <c r="E471" t="inlineStr"/>
      <c r="F471" t="inlineStr"/>
      <c r="G471" t="inlineStr"/>
      <c r="H471" t="inlineStr"/>
    </row>
    <row r="472">
      <c r="A472" t="inlineStr">
        <is>
          <t>No</t>
        </is>
      </c>
      <c r="B472" t="inlineStr"/>
      <c r="C472" t="inlineStr"/>
      <c r="D472" t="inlineStr"/>
      <c r="E472" t="inlineStr">
        <is>
          <t>Cost</t>
        </is>
      </c>
      <c r="F472" t="inlineStr">
        <is>
          <t>Cost / Finances</t>
        </is>
      </c>
      <c r="G472" t="inlineStr">
        <is>
          <t>Cost / Finances</t>
        </is>
      </c>
      <c r="H472" t="inlineStr"/>
    </row>
    <row r="473">
      <c r="A473" t="inlineStr">
        <is>
          <t>No</t>
        </is>
      </c>
      <c r="B473" t="inlineStr"/>
      <c r="C473" t="inlineStr"/>
      <c r="D473" t="inlineStr"/>
      <c r="E473" t="inlineStr">
        <is>
          <t>I can't take that much time off of work.</t>
        </is>
      </c>
      <c r="F473" t="inlineStr">
        <is>
          <t>Work Schedule / Time Off</t>
        </is>
      </c>
      <c r="G473" t="inlineStr">
        <is>
          <t>Work Schedule / Time Off</t>
        </is>
      </c>
      <c r="H473" t="inlineStr"/>
    </row>
    <row r="474">
      <c r="A474" t="inlineStr">
        <is>
          <t>No</t>
        </is>
      </c>
      <c r="B474" t="inlineStr"/>
      <c r="C474" t="inlineStr"/>
      <c r="D474" t="inlineStr"/>
      <c r="E474" t="inlineStr">
        <is>
          <t>My son's preference &amp; husbands work schedule</t>
        </is>
      </c>
      <c r="F474" t="inlineStr">
        <is>
          <t>Work Schedule / Time Off</t>
        </is>
      </c>
      <c r="G474" t="inlineStr">
        <is>
          <t>Work Schedule / Time Off</t>
        </is>
      </c>
      <c r="H474" t="inlineStr"/>
    </row>
    <row r="475">
      <c r="A475" t="inlineStr">
        <is>
          <t>No</t>
        </is>
      </c>
      <c r="B475" t="inlineStr"/>
      <c r="C475" t="inlineStr"/>
      <c r="D475" t="inlineStr"/>
      <c r="E475" t="inlineStr">
        <is>
          <t>I already went with another child. I would love to go again. It's just a lot of money to send two people.</t>
        </is>
      </c>
      <c r="F475" t="inlineStr">
        <is>
          <t>Cost / Finances</t>
        </is>
      </c>
      <c r="G475" t="inlineStr">
        <is>
          <t>Cost / Finances; Other Kids / Family at Home</t>
        </is>
      </c>
      <c r="H475" t="inlineStr"/>
    </row>
    <row r="476">
      <c r="A476" t="inlineStr">
        <is>
          <t>No</t>
        </is>
      </c>
      <c r="B476" t="inlineStr"/>
      <c r="C476" t="inlineStr"/>
      <c r="D476" t="inlineStr"/>
      <c r="E476" t="inlineStr">
        <is>
          <t>The price and too many kids at home</t>
        </is>
      </c>
      <c r="F476" t="inlineStr">
        <is>
          <t>Cost / Finances</t>
        </is>
      </c>
      <c r="G476" t="inlineStr">
        <is>
          <t>Cost / Finances; Other Kids / Family at Home</t>
        </is>
      </c>
      <c r="H476" t="inlineStr"/>
    </row>
    <row r="477">
      <c r="A477" t="inlineStr">
        <is>
          <t>No</t>
        </is>
      </c>
      <c r="B477" t="inlineStr"/>
      <c r="C477" t="inlineStr"/>
      <c r="D477" t="inlineStr"/>
      <c r="E477" t="inlineStr"/>
      <c r="F477" t="inlineStr"/>
      <c r="G477" t="inlineStr"/>
      <c r="H477" t="inlineStr"/>
    </row>
    <row r="478">
      <c r="A478" t="inlineStr">
        <is>
          <t>No</t>
        </is>
      </c>
      <c r="B478" t="inlineStr"/>
      <c r="C478" t="inlineStr"/>
      <c r="D478" t="inlineStr"/>
      <c r="E478" t="inlineStr">
        <is>
          <t>My child needs this experience independent of me.</t>
        </is>
      </c>
      <c r="F478" t="inlineStr">
        <is>
          <t>Wants Child to Have Independent Experience</t>
        </is>
      </c>
      <c r="G478" t="inlineStr">
        <is>
          <t>Wants Child to Have Independent Experience</t>
        </is>
      </c>
      <c r="H478" t="inlineStr"/>
    </row>
    <row r="479">
      <c r="A479" t="inlineStr">
        <is>
          <t>No</t>
        </is>
      </c>
      <c r="B479" t="inlineStr"/>
      <c r="C479" t="inlineStr"/>
      <c r="D479" t="inlineStr"/>
      <c r="E479" t="inlineStr">
        <is>
          <t>My son didn't want me to! :)</t>
        </is>
      </c>
      <c r="F479" t="inlineStr">
        <is>
          <t>Child Didn't Want Parent to Come</t>
        </is>
      </c>
      <c r="G479" t="inlineStr">
        <is>
          <t>Child Didn't Want Parent to Come</t>
        </is>
      </c>
      <c r="H479" t="inlineStr"/>
    </row>
    <row r="480">
      <c r="A480" t="inlineStr">
        <is>
          <t>No</t>
        </is>
      </c>
      <c r="B480" t="inlineStr"/>
      <c r="C480" t="inlineStr"/>
      <c r="D480" t="inlineStr"/>
      <c r="E480" t="inlineStr">
        <is>
          <t>My daughter wanted to go alone</t>
        </is>
      </c>
      <c r="F480" t="inlineStr">
        <is>
          <t>Wants Child to Have Independent Experience</t>
        </is>
      </c>
      <c r="G480" t="inlineStr">
        <is>
          <t>Wants Child to Have Independent Experience</t>
        </is>
      </c>
      <c r="H480" t="inlineStr"/>
    </row>
    <row r="481">
      <c r="A481" t="inlineStr">
        <is>
          <t>No</t>
        </is>
      </c>
      <c r="B481" t="inlineStr"/>
      <c r="C481" t="inlineStr"/>
      <c r="D481" t="inlineStr"/>
      <c r="E481" t="inlineStr">
        <is>
          <t>price</t>
        </is>
      </c>
      <c r="F481" t="inlineStr">
        <is>
          <t>Cost / Finances</t>
        </is>
      </c>
      <c r="G481" t="inlineStr">
        <is>
          <t>Cost / Finances</t>
        </is>
      </c>
      <c r="H481" t="inlineStr"/>
    </row>
    <row r="482">
      <c r="A482" t="inlineStr">
        <is>
          <t>No</t>
        </is>
      </c>
      <c r="B482" t="inlineStr"/>
      <c r="C482" t="inlineStr"/>
      <c r="D482" t="inlineStr"/>
      <c r="E482" t="inlineStr">
        <is>
          <t>too much going on at home</t>
        </is>
      </c>
      <c r="F482" t="inlineStr">
        <is>
          <t>Work Schedule / Time Off</t>
        </is>
      </c>
      <c r="G482" t="inlineStr">
        <is>
          <t>Work Schedule / Time Off</t>
        </is>
      </c>
      <c r="H482" t="inlineStr"/>
    </row>
    <row r="483">
      <c r="A483" t="inlineStr">
        <is>
          <t>No</t>
        </is>
      </c>
      <c r="B483" t="inlineStr"/>
      <c r="C483" t="inlineStr"/>
      <c r="D483" t="inlineStr"/>
      <c r="E483" t="inlineStr"/>
      <c r="F483" t="inlineStr"/>
      <c r="G483" t="inlineStr"/>
      <c r="H483" t="inlineStr"/>
    </row>
    <row r="484">
      <c r="A484" t="inlineStr">
        <is>
          <t>No</t>
        </is>
      </c>
      <c r="B484" t="inlineStr"/>
      <c r="C484" t="inlineStr"/>
      <c r="D484" t="inlineStr"/>
      <c r="E484" t="inlineStr">
        <is>
          <t>Can't take off work for that long/leave the younger kuds</t>
        </is>
      </c>
      <c r="F484" t="inlineStr">
        <is>
          <t>Work Schedule / Time Off</t>
        </is>
      </c>
      <c r="G484" t="inlineStr">
        <is>
          <t>Work Schedule / Time Off; Other Kids / Family at Home</t>
        </is>
      </c>
      <c r="H484" t="inlineStr"/>
    </row>
    <row r="485">
      <c r="A485" t="inlineStr">
        <is>
          <t>No</t>
        </is>
      </c>
      <c r="B485" t="inlineStr"/>
      <c r="C485" t="inlineStr"/>
      <c r="D485" t="inlineStr"/>
      <c r="E485" t="inlineStr">
        <is>
          <t>Cost</t>
        </is>
      </c>
      <c r="F485" t="inlineStr">
        <is>
          <t>Cost / Finances</t>
        </is>
      </c>
      <c r="G485" t="inlineStr">
        <is>
          <t>Cost / Finances</t>
        </is>
      </c>
      <c r="H485" t="inlineStr"/>
    </row>
    <row r="486">
      <c r="A486" t="inlineStr">
        <is>
          <t>No</t>
        </is>
      </c>
      <c r="B486" t="inlineStr"/>
      <c r="C486" t="inlineStr"/>
      <c r="D486" t="inlineStr"/>
      <c r="E486" t="inlineStr">
        <is>
          <t>Money and time</t>
        </is>
      </c>
      <c r="F486" t="inlineStr">
        <is>
          <t>Cost / Finances</t>
        </is>
      </c>
      <c r="G486" t="inlineStr">
        <is>
          <t>Cost / Finances; Work Schedule / Time Off</t>
        </is>
      </c>
      <c r="H486" t="inlineStr"/>
    </row>
    <row r="487">
      <c r="A487" t="inlineStr">
        <is>
          <t>No</t>
        </is>
      </c>
      <c r="B487" t="inlineStr"/>
      <c r="C487" t="inlineStr"/>
      <c r="D487" t="inlineStr"/>
      <c r="E487" t="inlineStr">
        <is>
          <t>I am in school and don't have the time</t>
        </is>
      </c>
      <c r="F487" t="inlineStr">
        <is>
          <t>Work Schedule / Time Off</t>
        </is>
      </c>
      <c r="G487" t="inlineStr">
        <is>
          <t>Work Schedule / Time Off</t>
        </is>
      </c>
      <c r="H487" t="inlineStr"/>
    </row>
    <row r="488">
      <c r="A488" t="inlineStr">
        <is>
          <t>No</t>
        </is>
      </c>
      <c r="B488" t="inlineStr"/>
      <c r="C488" t="inlineStr"/>
      <c r="D488" t="inlineStr"/>
      <c r="E488" t="inlineStr">
        <is>
          <t>Other children at home to take care of</t>
        </is>
      </c>
      <c r="F488" t="inlineStr">
        <is>
          <t>Other Kids / Family at Home</t>
        </is>
      </c>
      <c r="G488" t="inlineStr">
        <is>
          <t>Other Kids / Family at Home</t>
        </is>
      </c>
      <c r="H488" t="inlineStr"/>
    </row>
    <row r="489">
      <c r="A489" t="inlineStr">
        <is>
          <t>Yes</t>
        </is>
      </c>
      <c r="B489" t="inlineStr">
        <is>
          <t>Gone in the past. going this year but to WV with another son (not Kenya)</t>
        </is>
      </c>
      <c r="C489" t="inlineStr">
        <is>
          <t>Previous Positive Experience</t>
        </is>
      </c>
      <c r="D489" t="inlineStr">
        <is>
          <t>Previous Positive Experience</t>
        </is>
      </c>
      <c r="E489" t="inlineStr"/>
      <c r="F489" t="inlineStr"/>
      <c r="G489" t="inlineStr"/>
      <c r="H489" t="inlineStr"/>
    </row>
    <row r="490">
      <c r="A490" t="inlineStr">
        <is>
          <t>No</t>
        </is>
      </c>
      <c r="B490" t="inlineStr"/>
      <c r="C490" t="inlineStr"/>
      <c r="D490" t="inlineStr"/>
      <c r="E490" t="inlineStr">
        <is>
          <t>Unable to commit for that long due to other obligations</t>
        </is>
      </c>
      <c r="F490" t="inlineStr">
        <is>
          <t>Work Schedule / Time Off</t>
        </is>
      </c>
      <c r="G490" t="inlineStr">
        <is>
          <t>Work Schedule / Time Off; Other Kids / Family at Home</t>
        </is>
      </c>
      <c r="H490" t="inlineStr"/>
    </row>
    <row r="491">
      <c r="A491" t="inlineStr">
        <is>
          <t>No</t>
        </is>
      </c>
      <c r="B491" t="inlineStr"/>
      <c r="C491" t="inlineStr"/>
      <c r="D491" t="inlineStr"/>
      <c r="E491" t="inlineStr">
        <is>
          <t>I'd like my child to branch out without me there. I think she'd stuck by my side and not have a full experience that she would without me.</t>
        </is>
      </c>
      <c r="F491" t="inlineStr">
        <is>
          <t>Wants Child to Have Independent Experience</t>
        </is>
      </c>
      <c r="G491" t="inlineStr">
        <is>
          <t>Wants Child to Have Independent Experience</t>
        </is>
      </c>
      <c r="H491" t="inlineStr"/>
    </row>
    <row r="492">
      <c r="A492" t="inlineStr">
        <is>
          <t>No</t>
        </is>
      </c>
      <c r="B492" t="inlineStr"/>
      <c r="C492" t="inlineStr"/>
      <c r="D492" t="inlineStr"/>
      <c r="E492" t="inlineStr">
        <is>
          <t>We are very involved with our child's activities at home &amp; school and we want him to have the opportunity to have independent travel, cultural and spiritual experiences ...I know my husband and I would love being Parent Builders :(</t>
        </is>
      </c>
      <c r="F492" t="inlineStr">
        <is>
          <t>Other Kids / Family at Home</t>
        </is>
      </c>
      <c r="G492" t="inlineStr">
        <is>
          <t>Other Kids / Family at Home; Wants Child to Have Independent Experience</t>
        </is>
      </c>
      <c r="H492" t="inlineStr"/>
    </row>
    <row r="493">
      <c r="A493" t="inlineStr">
        <is>
          <t>No</t>
        </is>
      </c>
      <c r="B493" t="inlineStr"/>
      <c r="C493" t="inlineStr"/>
      <c r="D493" t="inlineStr"/>
      <c r="E493" t="inlineStr">
        <is>
          <t>Wanted my son to have experience with new friends and not a patent</t>
        </is>
      </c>
      <c r="F493" t="inlineStr">
        <is>
          <t>Wants Child to Have Independent Experience</t>
        </is>
      </c>
      <c r="G493" t="inlineStr">
        <is>
          <t>Wants Child to Have Independent Experience</t>
        </is>
      </c>
      <c r="H493" t="inlineStr"/>
    </row>
    <row r="494">
      <c r="A494" t="inlineStr">
        <is>
          <t>No</t>
        </is>
      </c>
      <c r="B494" t="inlineStr"/>
      <c r="C494" t="inlineStr"/>
      <c r="D494" t="inlineStr"/>
      <c r="E494" t="inlineStr">
        <is>
          <t>My husband is going with my son!</t>
        </is>
      </c>
      <c r="F494" t="inlineStr">
        <is>
          <t>Another Family Member Going Instead</t>
        </is>
      </c>
      <c r="G494" t="inlineStr">
        <is>
          <t>Another Family Member Going Instead</t>
        </is>
      </c>
      <c r="H494" t="inlineStr"/>
    </row>
    <row r="495">
      <c r="A495" t="inlineStr">
        <is>
          <t>Yes</t>
        </is>
      </c>
      <c r="B495" t="inlineStr">
        <is>
          <t>My child invited me</t>
        </is>
      </c>
      <c r="C495" t="inlineStr">
        <is>
          <t>Child/Spouse Asked Them to Go</t>
        </is>
      </c>
      <c r="D495" t="inlineStr">
        <is>
          <t>Child/Spouse Asked Them to Go</t>
        </is>
      </c>
      <c r="E495" t="inlineStr"/>
      <c r="F495" t="inlineStr"/>
      <c r="G495" t="inlineStr"/>
      <c r="H495" t="inlineStr"/>
    </row>
    <row r="496">
      <c r="A496" t="inlineStr">
        <is>
          <t>No</t>
        </is>
      </c>
      <c r="B496" t="inlineStr"/>
      <c r="C496" t="inlineStr"/>
      <c r="D496" t="inlineStr"/>
      <c r="E496" t="inlineStr"/>
      <c r="F496" t="inlineStr"/>
      <c r="G496" t="inlineStr"/>
      <c r="H496" t="inlineStr"/>
    </row>
    <row r="497">
      <c r="A497" t="inlineStr">
        <is>
          <t>No</t>
        </is>
      </c>
      <c r="B497" t="inlineStr"/>
      <c r="C497" t="inlineStr"/>
      <c r="D497" t="inlineStr"/>
      <c r="E497" t="inlineStr">
        <is>
          <t>Daughter didn't want me to go</t>
        </is>
      </c>
      <c r="F497" t="inlineStr">
        <is>
          <t>Child Didn't Want Parent to Come</t>
        </is>
      </c>
      <c r="G497" t="inlineStr">
        <is>
          <t>Child Didn't Want Parent to Come</t>
        </is>
      </c>
      <c r="H497" t="inlineStr"/>
    </row>
    <row r="498">
      <c r="A498" t="inlineStr">
        <is>
          <t>No</t>
        </is>
      </c>
      <c r="B498" t="inlineStr"/>
      <c r="C498" t="inlineStr"/>
      <c r="D498" t="inlineStr"/>
      <c r="E498" t="inlineStr">
        <is>
          <t>My own health and for my husband, the inability to take off that amount of time from work</t>
        </is>
      </c>
      <c r="F498" t="inlineStr">
        <is>
          <t>Work Schedule / Time Off</t>
        </is>
      </c>
      <c r="G498" t="inlineStr">
        <is>
          <t>Work Schedule / Time Off; Health / Physical / Age</t>
        </is>
      </c>
      <c r="H498" t="inlineStr"/>
    </row>
    <row r="499">
      <c r="A499" t="inlineStr">
        <is>
          <t>No</t>
        </is>
      </c>
      <c r="B499" t="inlineStr"/>
      <c r="C499" t="inlineStr"/>
      <c r="D499" t="inlineStr"/>
      <c r="E499" t="inlineStr">
        <is>
          <t>I have no extra time</t>
        </is>
      </c>
      <c r="F499" t="inlineStr">
        <is>
          <t>Work Schedule / Time Off</t>
        </is>
      </c>
      <c r="G499" t="inlineStr">
        <is>
          <t>Work Schedule / Time Off</t>
        </is>
      </c>
      <c r="H499" t="inlineStr"/>
    </row>
    <row r="500">
      <c r="A500" t="inlineStr">
        <is>
          <t>No</t>
        </is>
      </c>
      <c r="B500" t="inlineStr"/>
      <c r="C500" t="inlineStr"/>
      <c r="D500" t="inlineStr"/>
      <c r="E500" t="inlineStr">
        <is>
          <t>Other children</t>
        </is>
      </c>
      <c r="F500" t="inlineStr">
        <is>
          <t>Other Kids / Family at Home</t>
        </is>
      </c>
      <c r="G500" t="inlineStr">
        <is>
          <t>Other Kids / Family at Home</t>
        </is>
      </c>
      <c r="H500" t="inlineStr"/>
    </row>
    <row r="501">
      <c r="A501" t="inlineStr">
        <is>
          <t>No</t>
        </is>
      </c>
      <c r="B501" t="inlineStr"/>
      <c r="C501" t="inlineStr"/>
      <c r="D501" t="inlineStr"/>
      <c r="E501" t="inlineStr">
        <is>
          <t>So my daughter could have her own unique experience</t>
        </is>
      </c>
      <c r="F501" t="inlineStr">
        <is>
          <t>Wants Child to Have Independent Experience</t>
        </is>
      </c>
      <c r="G501" t="inlineStr">
        <is>
          <t>Wants Child to Have Independent Experience</t>
        </is>
      </c>
      <c r="H501" t="inlineStr"/>
    </row>
    <row r="502">
      <c r="A502" t="inlineStr">
        <is>
          <t>Yes</t>
        </is>
      </c>
      <c r="B502" t="inlineStr">
        <is>
          <t>Help my 14 year old, bonding experience</t>
        </is>
      </c>
      <c r="C502" t="inlineStr">
        <is>
          <t>Wanted Shared Experience with Child</t>
        </is>
      </c>
      <c r="D502" t="inlineStr">
        <is>
          <t>Wanted Shared Experience with Child</t>
        </is>
      </c>
      <c r="E502" t="inlineStr"/>
      <c r="F502" t="inlineStr"/>
      <c r="G502" t="inlineStr"/>
      <c r="H502" t="inlineStr"/>
    </row>
    <row r="503">
      <c r="A503" t="inlineStr">
        <is>
          <t>No</t>
        </is>
      </c>
      <c r="B503" t="inlineStr"/>
      <c r="C503" t="inlineStr"/>
      <c r="D503" t="inlineStr"/>
      <c r="E503" t="inlineStr">
        <is>
          <t>Money</t>
        </is>
      </c>
      <c r="F503" t="inlineStr">
        <is>
          <t>Cost / Finances</t>
        </is>
      </c>
      <c r="G503" t="inlineStr">
        <is>
          <t>Cost / Finances</t>
        </is>
      </c>
      <c r="H503" t="inlineStr"/>
    </row>
    <row r="504">
      <c r="A504" t="inlineStr">
        <is>
          <t>No</t>
        </is>
      </c>
      <c r="B504" t="inlineStr"/>
      <c r="C504" t="inlineStr"/>
      <c r="D504" t="inlineStr"/>
      <c r="E504" t="inlineStr">
        <is>
          <t>Money</t>
        </is>
      </c>
      <c r="F504" t="inlineStr">
        <is>
          <t>Cost / Finances</t>
        </is>
      </c>
      <c r="G504" t="inlineStr">
        <is>
          <t>Cost / Finances</t>
        </is>
      </c>
      <c r="H504" t="inlineStr"/>
    </row>
    <row r="505">
      <c r="A505" t="inlineStr">
        <is>
          <t>No</t>
        </is>
      </c>
      <c r="B505" t="inlineStr"/>
      <c r="C505" t="inlineStr"/>
      <c r="D505" t="inlineStr"/>
      <c r="E505" t="inlineStr">
        <is>
          <t>Give my son space to have his own experience</t>
        </is>
      </c>
      <c r="F505" t="inlineStr">
        <is>
          <t>Wants Child to Have Independent Experience</t>
        </is>
      </c>
      <c r="G505" t="inlineStr">
        <is>
          <t>Wants Child to Have Independent Experience</t>
        </is>
      </c>
      <c r="H505" t="inlineStr"/>
    </row>
    <row r="506">
      <c r="A506" t="inlineStr">
        <is>
          <t>No</t>
        </is>
      </c>
      <c r="B506" t="inlineStr"/>
      <c r="C506" t="inlineStr"/>
      <c r="D506" t="inlineStr"/>
      <c r="E506" t="inlineStr">
        <is>
          <t>Time and cost</t>
        </is>
      </c>
      <c r="F506" t="inlineStr">
        <is>
          <t>Cost / Finances</t>
        </is>
      </c>
      <c r="G506" t="inlineStr">
        <is>
          <t>Cost / Finances; Work Schedule / Time Off</t>
        </is>
      </c>
      <c r="H506" t="inlineStr"/>
    </row>
    <row r="507">
      <c r="A507" t="inlineStr">
        <is>
          <t>No</t>
        </is>
      </c>
      <c r="B507" t="inlineStr"/>
      <c r="C507" t="inlineStr"/>
      <c r="D507" t="inlineStr"/>
      <c r="E507" t="inlineStr">
        <is>
          <t>Other children at home</t>
        </is>
      </c>
      <c r="F507" t="inlineStr">
        <is>
          <t>Other Kids / Family at Home</t>
        </is>
      </c>
      <c r="G507" t="inlineStr">
        <is>
          <t>Other Kids / Family at Home</t>
        </is>
      </c>
      <c r="H507" t="inlineStr"/>
    </row>
    <row r="508">
      <c r="A508" t="inlineStr">
        <is>
          <t>Yes</t>
        </is>
      </c>
      <c r="B508" t="inlineStr">
        <is>
          <t>My daughter</t>
        </is>
      </c>
      <c r="C508" t="inlineStr">
        <is>
          <t>Family Member Was the Reason (No Elaboration)</t>
        </is>
      </c>
      <c r="D508" t="inlineStr">
        <is>
          <t>Family Member Was the Reason (No Elaboration)</t>
        </is>
      </c>
      <c r="E508" t="inlineStr"/>
      <c r="F508" t="inlineStr"/>
      <c r="G508" t="inlineStr"/>
      <c r="H508" t="inlineStr"/>
    </row>
    <row r="509">
      <c r="A509" t="inlineStr">
        <is>
          <t>No</t>
        </is>
      </c>
      <c r="B509" t="inlineStr"/>
      <c r="C509" t="inlineStr"/>
      <c r="D509" t="inlineStr"/>
      <c r="E509" t="inlineStr">
        <is>
          <t>I have 5 kids and two of them are younger than Kindergarten</t>
        </is>
      </c>
      <c r="F509" t="inlineStr">
        <is>
          <t>Other Kids / Family at Home</t>
        </is>
      </c>
      <c r="G509" t="inlineStr">
        <is>
          <t>Other Kids / Family at Home</t>
        </is>
      </c>
      <c r="H509" t="inlineStr"/>
    </row>
    <row r="510">
      <c r="A510" t="inlineStr">
        <is>
          <t>No</t>
        </is>
      </c>
      <c r="B510" t="inlineStr"/>
      <c r="C510" t="inlineStr"/>
      <c r="D510" t="inlineStr"/>
      <c r="E510" t="inlineStr"/>
      <c r="F510" t="inlineStr"/>
      <c r="G510" t="inlineStr"/>
      <c r="H510" t="inlineStr"/>
    </row>
    <row r="511">
      <c r="A511" t="inlineStr">
        <is>
          <t>No</t>
        </is>
      </c>
      <c r="B511" t="inlineStr"/>
      <c r="C511" t="inlineStr"/>
      <c r="D511" t="inlineStr"/>
      <c r="E511" t="inlineStr">
        <is>
          <t>Timing- otherwise I'd love to go - wanted my child to have their own experience independent from me</t>
        </is>
      </c>
      <c r="F511" t="inlineStr">
        <is>
          <t>Work Schedule / Time Off</t>
        </is>
      </c>
      <c r="G511" t="inlineStr">
        <is>
          <t>Work Schedule / Time Off; Wants Child to Have Independent Experience</t>
        </is>
      </c>
      <c r="H511" t="inlineStr"/>
    </row>
    <row r="512">
      <c r="A512" t="inlineStr">
        <is>
          <t>No</t>
        </is>
      </c>
      <c r="B512" t="inlineStr"/>
      <c r="C512" t="inlineStr"/>
      <c r="D512" t="inlineStr"/>
      <c r="E512" t="inlineStr">
        <is>
          <t>I couldn't be away from work for that long and my child didn't care if I was there or not.</t>
        </is>
      </c>
      <c r="F512" t="inlineStr">
        <is>
          <t>Work Schedule / Time Off</t>
        </is>
      </c>
      <c r="G512" t="inlineStr">
        <is>
          <t>Work Schedule / Time Off; Other Kids / Family at Home</t>
        </is>
      </c>
      <c r="H512" t="inlineStr"/>
    </row>
    <row r="513">
      <c r="A513" t="inlineStr">
        <is>
          <t>No</t>
        </is>
      </c>
      <c r="B513" t="inlineStr"/>
      <c r="C513" t="inlineStr"/>
      <c r="D513" t="inlineStr"/>
      <c r="E513" t="inlineStr">
        <is>
          <t>We think our son will have a better experience with out us there</t>
        </is>
      </c>
      <c r="F513" t="inlineStr">
        <is>
          <t>Wants Child to Have Independent Experience</t>
        </is>
      </c>
      <c r="G513" t="inlineStr">
        <is>
          <t>Wants Child to Have Independent Experience</t>
        </is>
      </c>
      <c r="H513" t="inlineStr"/>
    </row>
    <row r="514">
      <c r="A514" t="inlineStr">
        <is>
          <t>No</t>
        </is>
      </c>
      <c r="B514" t="inlineStr"/>
      <c r="C514" t="inlineStr"/>
      <c r="D514" t="inlineStr"/>
      <c r="E514" t="inlineStr"/>
      <c r="F514" t="inlineStr"/>
      <c r="G514" t="inlineStr"/>
      <c r="H514" t="inlineStr"/>
    </row>
    <row r="515">
      <c r="A515" t="inlineStr">
        <is>
          <t>No</t>
        </is>
      </c>
      <c r="B515" t="inlineStr"/>
      <c r="C515" t="inlineStr"/>
      <c r="D515" t="inlineStr"/>
      <c r="E515" t="inlineStr"/>
      <c r="F515" t="inlineStr"/>
      <c r="G515" t="inlineStr"/>
      <c r="H515" t="inlineStr"/>
    </row>
    <row r="516">
      <c r="A516" t="inlineStr">
        <is>
          <t>No</t>
        </is>
      </c>
      <c r="B516" t="inlineStr"/>
      <c r="C516" t="inlineStr"/>
      <c r="D516" t="inlineStr"/>
      <c r="E516" t="inlineStr">
        <is>
          <t>My daughter didn't care if I went; hard to take off work for 3 weeks.</t>
        </is>
      </c>
      <c r="F516" t="inlineStr">
        <is>
          <t>Work Schedule / Time Off</t>
        </is>
      </c>
      <c r="G516" t="inlineStr">
        <is>
          <t>Work Schedule / Time Off</t>
        </is>
      </c>
      <c r="H516" t="inlineStr"/>
    </row>
    <row r="517">
      <c r="A517" t="inlineStr">
        <is>
          <t>No</t>
        </is>
      </c>
      <c r="B517" t="inlineStr"/>
      <c r="C517" t="inlineStr"/>
      <c r="D517" t="inlineStr"/>
      <c r="E517" t="inlineStr">
        <is>
          <t>Because of other travel plans, I would've been out of town for longer than a month, which I'm not able to do.</t>
        </is>
      </c>
      <c r="F517" t="inlineStr">
        <is>
          <t>Other Life Commitment</t>
        </is>
      </c>
      <c r="G517" t="inlineStr">
        <is>
          <t>Other Life Commitment</t>
        </is>
      </c>
      <c r="H517" t="inlineStr"/>
    </row>
    <row r="518">
      <c r="A518" t="inlineStr">
        <is>
          <t>No</t>
        </is>
      </c>
      <c r="B518" t="inlineStr"/>
      <c r="C518" t="inlineStr"/>
      <c r="D518" t="inlineStr"/>
      <c r="E518" t="inlineStr">
        <is>
          <t>Kids at home</t>
        </is>
      </c>
      <c r="F518" t="inlineStr">
        <is>
          <t>Other Kids / Family at Home</t>
        </is>
      </c>
      <c r="G518" t="inlineStr">
        <is>
          <t>Other Kids / Family at Home</t>
        </is>
      </c>
      <c r="H518" t="inlineStr"/>
    </row>
    <row r="519">
      <c r="A519" t="inlineStr">
        <is>
          <t>No</t>
        </is>
      </c>
      <c r="B519" t="inlineStr"/>
      <c r="C519" t="inlineStr"/>
      <c r="D519" t="inlineStr"/>
      <c r="E519" t="inlineStr">
        <is>
          <t>My child didn't want me along</t>
        </is>
      </c>
      <c r="F519" t="inlineStr">
        <is>
          <t>Child Didn't Want Parent to Come</t>
        </is>
      </c>
      <c r="G519" t="inlineStr">
        <is>
          <t>Child Didn't Want Parent to Come</t>
        </is>
      </c>
      <c r="H519" t="inlineStr"/>
    </row>
    <row r="520">
      <c r="A520" t="inlineStr">
        <is>
          <t>No</t>
        </is>
      </c>
      <c r="B520" t="inlineStr"/>
      <c r="C520" t="inlineStr"/>
      <c r="D520" t="inlineStr"/>
      <c r="E520" t="inlineStr">
        <is>
          <t>Past Experiences</t>
        </is>
      </c>
      <c r="F520" t="inlineStr">
        <is>
          <t>Other / Uncategorized</t>
        </is>
      </c>
      <c r="G520" t="inlineStr"/>
      <c r="H520" t="inlineStr"/>
    </row>
    <row r="521">
      <c r="A521" t="inlineStr">
        <is>
          <t>No</t>
        </is>
      </c>
      <c r="B521" t="inlineStr"/>
      <c r="C521" t="inlineStr"/>
      <c r="D521" t="inlineStr"/>
      <c r="E521" t="inlineStr">
        <is>
          <t>This summer, I'm unable to with my younger son at home. I would love to go along with him in the future when he goes, though!</t>
        </is>
      </c>
      <c r="F521" t="inlineStr">
        <is>
          <t>Other Kids / Family at Home</t>
        </is>
      </c>
      <c r="G521" t="inlineStr">
        <is>
          <t>Other Kids / Family at Home</t>
        </is>
      </c>
      <c r="H521" t="inlineStr"/>
    </row>
    <row r="522">
      <c r="A522" t="inlineStr">
        <is>
          <t>No</t>
        </is>
      </c>
      <c r="B522" t="inlineStr"/>
      <c r="C522" t="inlineStr"/>
      <c r="D522" t="inlineStr"/>
      <c r="E522" t="inlineStr">
        <is>
          <t>Time and wanting my bullder to have their own experience</t>
        </is>
      </c>
      <c r="F522" t="inlineStr">
        <is>
          <t>Work Schedule / Time Off</t>
        </is>
      </c>
      <c r="G522" t="inlineStr">
        <is>
          <t>Work Schedule / Time Off; Wants Child to Have Independent Experience</t>
        </is>
      </c>
      <c r="H522" t="inlineStr"/>
    </row>
    <row r="523">
      <c r="A523" t="inlineStr">
        <is>
          <t>No</t>
        </is>
      </c>
      <c r="B523" t="inlineStr"/>
      <c r="C523" t="inlineStr"/>
      <c r="D523" t="inlineStr"/>
      <c r="E523" t="inlineStr">
        <is>
          <t>Wanted daughter to have a solo experience</t>
        </is>
      </c>
      <c r="F523" t="inlineStr">
        <is>
          <t>Wants Child to Have Independent Experience</t>
        </is>
      </c>
      <c r="G523" t="inlineStr">
        <is>
          <t>Wants Child to Have Independent Experience</t>
        </is>
      </c>
      <c r="H523" t="inlineStr"/>
    </row>
    <row r="524">
      <c r="A524" t="inlineStr">
        <is>
          <t>No</t>
        </is>
      </c>
      <c r="B524" t="inlineStr"/>
      <c r="C524" t="inlineStr"/>
      <c r="D524" t="inlineStr"/>
      <c r="E524" t="inlineStr">
        <is>
          <t>Wanted him to grow</t>
        </is>
      </c>
      <c r="F524" t="inlineStr">
        <is>
          <t>Wants Child to Have Independent Experience</t>
        </is>
      </c>
      <c r="G524" t="inlineStr">
        <is>
          <t>Wants Child to Have Independent Experience</t>
        </is>
      </c>
      <c r="H524" t="inlineStr"/>
    </row>
    <row r="525">
      <c r="A525" t="inlineStr">
        <is>
          <t>No</t>
        </is>
      </c>
      <c r="B525" t="inlineStr"/>
      <c r="C525" t="inlineStr"/>
      <c r="D525" t="inlineStr"/>
      <c r="E525" t="inlineStr">
        <is>
          <t>It was full.</t>
        </is>
      </c>
      <c r="F525" t="inlineStr">
        <is>
          <t>Trip / Spot Was Already Full</t>
        </is>
      </c>
      <c r="G525" t="inlineStr">
        <is>
          <t>Trip / Spot Was Already Full</t>
        </is>
      </c>
      <c r="H525" t="inlineStr"/>
    </row>
    <row r="526">
      <c r="A526" t="inlineStr">
        <is>
          <t>No</t>
        </is>
      </c>
      <c r="B526" t="inlineStr"/>
      <c r="C526" t="inlineStr"/>
      <c r="D526" t="inlineStr"/>
      <c r="E526" t="inlineStr">
        <is>
          <t>My husband served his mission in Ecuador, and speaks Spanish fluently so it would make sense for him to be the one to go. But our son would have hung out with him most of the time rather than having to put himself out there and get to know people. It would have changed his dynamic and we wanted him to have the experience on his own. It's also a long time to be gone from work and other kids.</t>
        </is>
      </c>
      <c r="F526" t="inlineStr">
        <is>
          <t>Work Schedule / Time Off</t>
        </is>
      </c>
      <c r="G526" t="inlineStr">
        <is>
          <t>Work Schedule / Time Off; Other Kids / Family at Home; Wants Child to Have Independent Experience; Other Life Commitment</t>
        </is>
      </c>
      <c r="H526" t="inlineStr"/>
    </row>
    <row r="527">
      <c r="A527" t="inlineStr">
        <is>
          <t>Yes</t>
        </is>
      </c>
      <c r="B527" t="inlineStr">
        <is>
          <t>Having gone on a previous trip</t>
        </is>
      </c>
      <c r="C527" t="inlineStr">
        <is>
          <t>Previous Positive Experience</t>
        </is>
      </c>
      <c r="D527" t="inlineStr">
        <is>
          <t>Previous Positive Experience</t>
        </is>
      </c>
      <c r="E527" t="inlineStr"/>
      <c r="F527" t="inlineStr"/>
      <c r="G527" t="inlineStr"/>
      <c r="H527" t="inlineStr"/>
    </row>
    <row r="528">
      <c r="A528" t="inlineStr">
        <is>
          <t>No</t>
        </is>
      </c>
      <c r="B528" t="inlineStr"/>
      <c r="C528" t="inlineStr"/>
      <c r="D528" t="inlineStr"/>
      <c r="E528" t="inlineStr">
        <is>
          <t>Wanted to give my son space to have his own experience</t>
        </is>
      </c>
      <c r="F528" t="inlineStr">
        <is>
          <t>Wants Child to Have Independent Experience</t>
        </is>
      </c>
      <c r="G528" t="inlineStr">
        <is>
          <t>Wants Child to Have Independent Experience</t>
        </is>
      </c>
      <c r="H528" t="inlineStr"/>
    </row>
    <row r="529">
      <c r="A529" t="inlineStr">
        <is>
          <t>No</t>
        </is>
      </c>
      <c r="B529" t="inlineStr"/>
      <c r="C529" t="inlineStr"/>
      <c r="D529" t="inlineStr"/>
      <c r="E529" t="inlineStr"/>
      <c r="F529" t="inlineStr"/>
      <c r="G529" t="inlineStr"/>
      <c r="H529" t="inlineStr"/>
    </row>
    <row r="530">
      <c r="A530" t="inlineStr">
        <is>
          <t>No</t>
        </is>
      </c>
      <c r="B530" t="inlineStr"/>
      <c r="C530" t="inlineStr"/>
      <c r="D530" t="inlineStr"/>
      <c r="E530" t="inlineStr">
        <is>
          <t>practicality of leaving my family for 3 weeks</t>
        </is>
      </c>
      <c r="F530" t="inlineStr">
        <is>
          <t>Other Kids / Family at Home</t>
        </is>
      </c>
      <c r="G530" t="inlineStr">
        <is>
          <t>Other Kids / Family at Home</t>
        </is>
      </c>
      <c r="H530" t="inlineStr"/>
    </row>
    <row r="531">
      <c r="A531" t="inlineStr">
        <is>
          <t>No</t>
        </is>
      </c>
      <c r="B531" t="inlineStr"/>
      <c r="C531" t="inlineStr"/>
      <c r="D531" t="inlineStr"/>
      <c r="E531" t="inlineStr">
        <is>
          <t>Let our child have his own experience</t>
        </is>
      </c>
      <c r="F531" t="inlineStr">
        <is>
          <t>Wants Child to Have Independent Experience</t>
        </is>
      </c>
      <c r="G531" t="inlineStr">
        <is>
          <t>Wants Child to Have Independent Experience</t>
        </is>
      </c>
      <c r="H531" t="inlineStr"/>
    </row>
    <row r="532">
      <c r="A532" t="inlineStr">
        <is>
          <t>No</t>
        </is>
      </c>
      <c r="B532" t="inlineStr"/>
      <c r="C532" t="inlineStr"/>
      <c r="D532" t="inlineStr"/>
      <c r="E532" t="inlineStr">
        <is>
          <t>Other Extended Family went last year</t>
        </is>
      </c>
      <c r="F532" t="inlineStr">
        <is>
          <t>Another Family Member Going Instead</t>
        </is>
      </c>
      <c r="G532" t="inlineStr">
        <is>
          <t>Another Family Member Going Instead</t>
        </is>
      </c>
      <c r="H532" t="inlineStr"/>
    </row>
    <row r="533">
      <c r="A533" t="inlineStr">
        <is>
          <t>No</t>
        </is>
      </c>
      <c r="B533" t="inlineStr"/>
      <c r="C533" t="inlineStr"/>
      <c r="D533" t="inlineStr"/>
      <c r="E533" t="inlineStr">
        <is>
          <t>Just time commitments.</t>
        </is>
      </c>
      <c r="F533" t="inlineStr">
        <is>
          <t>Work Schedule / Time Off</t>
        </is>
      </c>
      <c r="G533" t="inlineStr">
        <is>
          <t>Work Schedule / Time Off</t>
        </is>
      </c>
      <c r="H533" t="inlineStr"/>
    </row>
    <row r="534">
      <c r="A534" t="inlineStr">
        <is>
          <t>No</t>
        </is>
      </c>
      <c r="B534" t="inlineStr"/>
      <c r="C534" t="inlineStr"/>
      <c r="D534" t="inlineStr"/>
      <c r="E534" t="inlineStr">
        <is>
          <t>I am a trip leader for a different experience with my daughter this summer</t>
        </is>
      </c>
      <c r="F534" t="inlineStr">
        <is>
          <t>Wants Child to Have Independent Experience</t>
        </is>
      </c>
      <c r="G534" t="inlineStr">
        <is>
          <t>Wants Child to Have Independent Experience; Other Life Commitment</t>
        </is>
      </c>
      <c r="H534" t="inlineStr"/>
    </row>
    <row r="535">
      <c r="A535" t="inlineStr">
        <is>
          <t>No</t>
        </is>
      </c>
      <c r="B535" t="inlineStr"/>
      <c r="C535" t="inlineStr"/>
      <c r="D535" t="inlineStr"/>
      <c r="E535" t="inlineStr">
        <is>
          <t>Cost</t>
        </is>
      </c>
      <c r="F535" t="inlineStr">
        <is>
          <t>Cost / Finances</t>
        </is>
      </c>
      <c r="G535" t="inlineStr">
        <is>
          <t>Cost / Finances</t>
        </is>
      </c>
      <c r="H535" t="inlineStr"/>
    </row>
    <row r="536">
      <c r="A536" t="inlineStr">
        <is>
          <t>No</t>
        </is>
      </c>
      <c r="B536" t="inlineStr"/>
      <c r="C536" t="inlineStr"/>
      <c r="D536" t="inlineStr"/>
      <c r="E536" t="inlineStr">
        <is>
          <t>other younger children</t>
        </is>
      </c>
      <c r="F536" t="inlineStr">
        <is>
          <t>Other Kids / Family at Home</t>
        </is>
      </c>
      <c r="G536" t="inlineStr">
        <is>
          <t>Other Kids / Family at Home</t>
        </is>
      </c>
      <c r="H536" t="inlineStr"/>
    </row>
    <row r="537">
      <c r="A537" t="inlineStr">
        <is>
          <t>No</t>
        </is>
      </c>
      <c r="B537" t="inlineStr"/>
      <c r="C537" t="inlineStr"/>
      <c r="D537" t="inlineStr"/>
      <c r="E537" t="inlineStr"/>
      <c r="F537" t="inlineStr"/>
      <c r="G537" t="inlineStr"/>
      <c r="H537" t="inlineStr"/>
    </row>
    <row r="538">
      <c r="A538" t="inlineStr">
        <is>
          <t>No</t>
        </is>
      </c>
      <c r="B538" t="inlineStr"/>
      <c r="C538" t="inlineStr"/>
      <c r="D538" t="inlineStr"/>
      <c r="E538" t="inlineStr">
        <is>
          <t>My daughter wanted to go alone.</t>
        </is>
      </c>
      <c r="F538" t="inlineStr">
        <is>
          <t>Wants Child to Have Independent Experience</t>
        </is>
      </c>
      <c r="G538" t="inlineStr">
        <is>
          <t>Wants Child to Have Independent Experience</t>
        </is>
      </c>
      <c r="H538" t="inlineStr"/>
    </row>
    <row r="539">
      <c r="A539" t="inlineStr">
        <is>
          <t>No</t>
        </is>
      </c>
      <c r="B539" t="inlineStr"/>
      <c r="C539" t="inlineStr"/>
      <c r="D539" t="inlineStr"/>
      <c r="E539" t="inlineStr">
        <is>
          <t>I have younger children</t>
        </is>
      </c>
      <c r="F539" t="inlineStr">
        <is>
          <t>Other Kids / Family at Home</t>
        </is>
      </c>
      <c r="G539" t="inlineStr">
        <is>
          <t>Other Kids / Family at Home</t>
        </is>
      </c>
      <c r="H539" t="inlineStr"/>
    </row>
    <row r="540">
      <c r="A540" t="inlineStr">
        <is>
          <t>Yes</t>
        </is>
      </c>
      <c r="B540" t="inlineStr">
        <is>
          <t>time with my daughter, doing something for others</t>
        </is>
      </c>
      <c r="C540" t="inlineStr">
        <is>
          <t>Wanted Shared Experience with Child</t>
        </is>
      </c>
      <c r="D540" t="inlineStr">
        <is>
          <t>Wanted Shared Experience with Child</t>
        </is>
      </c>
      <c r="E540" t="inlineStr"/>
      <c r="F540" t="inlineStr"/>
      <c r="G540" t="inlineStr"/>
      <c r="H540" t="inlineStr"/>
    </row>
    <row r="541">
      <c r="A541" t="inlineStr">
        <is>
          <t>No</t>
        </is>
      </c>
      <c r="B541" t="inlineStr"/>
      <c r="C541" t="inlineStr"/>
      <c r="D541" t="inlineStr"/>
      <c r="E541" t="inlineStr">
        <is>
          <t>My son wants to have an experience on his own.</t>
        </is>
      </c>
      <c r="F541" t="inlineStr">
        <is>
          <t>Wants Child to Have Independent Experience</t>
        </is>
      </c>
      <c r="G541" t="inlineStr">
        <is>
          <t>Wants Child to Have Independent Experience</t>
        </is>
      </c>
      <c r="H541" t="inlineStr"/>
    </row>
    <row r="542">
      <c r="A542" t="inlineStr">
        <is>
          <t>No</t>
        </is>
      </c>
      <c r="B542" t="inlineStr"/>
      <c r="C542" t="inlineStr"/>
      <c r="D542" t="inlineStr"/>
      <c r="E542" t="inlineStr">
        <is>
          <t>my daughter wanted to do this independently</t>
        </is>
      </c>
      <c r="F542" t="inlineStr">
        <is>
          <t>Wants Child to Have Independent Experience</t>
        </is>
      </c>
      <c r="G542" t="inlineStr">
        <is>
          <t>Wants Child to Have Independent Experience</t>
        </is>
      </c>
      <c r="H542" t="inlineStr"/>
    </row>
    <row r="543">
      <c r="A543" t="inlineStr">
        <is>
          <t>Maybe</t>
        </is>
      </c>
      <c r="B543" t="inlineStr"/>
      <c r="C543" t="inlineStr"/>
      <c r="D543" t="inlineStr"/>
      <c r="E543" t="inlineStr"/>
      <c r="F543" t="inlineStr"/>
      <c r="G543" t="inlineStr"/>
      <c r="H543" t="inlineStr">
        <is>
          <t>Free time</t>
        </is>
      </c>
    </row>
    <row r="544">
      <c r="A544" t="inlineStr">
        <is>
          <t>Yes</t>
        </is>
      </c>
      <c r="B544" t="inlineStr">
        <is>
          <t>spend time with my son, build memories together and watch him grow.</t>
        </is>
      </c>
      <c r="C544" t="inlineStr">
        <is>
          <t>Wanted Shared Experience with Child</t>
        </is>
      </c>
      <c r="D544" t="inlineStr">
        <is>
          <t>Wanted Shared Experience with Child</t>
        </is>
      </c>
      <c r="E544" t="inlineStr"/>
      <c r="F544" t="inlineStr"/>
      <c r="G544" t="inlineStr"/>
      <c r="H544" t="inlineStr"/>
    </row>
    <row r="545">
      <c r="A545" t="inlineStr">
        <is>
          <t>No</t>
        </is>
      </c>
      <c r="B545" t="inlineStr"/>
      <c r="C545" t="inlineStr"/>
      <c r="D545" t="inlineStr"/>
      <c r="E545" t="inlineStr">
        <is>
          <t>I wanted my daughter to experience it without me!</t>
        </is>
      </c>
      <c r="F545" t="inlineStr">
        <is>
          <t>Wants Child to Have Independent Experience</t>
        </is>
      </c>
      <c r="G545" t="inlineStr">
        <is>
          <t>Wants Child to Have Independent Experience</t>
        </is>
      </c>
      <c r="H545" t="inlineStr"/>
    </row>
    <row r="546">
      <c r="A546" t="inlineStr">
        <is>
          <t>No</t>
        </is>
      </c>
      <c r="B546" t="inlineStr"/>
      <c r="C546" t="inlineStr"/>
      <c r="D546" t="inlineStr"/>
      <c r="E546" t="inlineStr">
        <is>
          <t>Daughter wanted to have her own adventure</t>
        </is>
      </c>
      <c r="F546" t="inlineStr">
        <is>
          <t>Child Didn't Want Parent to Come</t>
        </is>
      </c>
      <c r="G546" t="inlineStr">
        <is>
          <t>Child Didn't Want Parent to Come</t>
        </is>
      </c>
      <c r="H546" t="inlineStr"/>
    </row>
    <row r="547">
      <c r="A547" t="inlineStr">
        <is>
          <t>Maybe</t>
        </is>
      </c>
      <c r="B547" t="inlineStr"/>
      <c r="C547" t="inlineStr"/>
      <c r="D547" t="inlineStr"/>
      <c r="E547" t="inlineStr"/>
      <c r="F547" t="inlineStr"/>
      <c r="G547" t="inlineStr"/>
      <c r="H547" t="inlineStr">
        <is>
          <t>Finances and logistics with other children/husband.</t>
        </is>
      </c>
    </row>
    <row r="548">
      <c r="A548" t="inlineStr">
        <is>
          <t>No</t>
        </is>
      </c>
      <c r="B548" t="inlineStr"/>
      <c r="C548" t="inlineStr"/>
      <c r="D548" t="inlineStr"/>
      <c r="E548" t="inlineStr">
        <is>
          <t>Busy with other kids</t>
        </is>
      </c>
      <c r="F548" t="inlineStr">
        <is>
          <t>Work Schedule / Time Off</t>
        </is>
      </c>
      <c r="G548" t="inlineStr">
        <is>
          <t>Work Schedule / Time Off; Other Kids / Family at Home</t>
        </is>
      </c>
      <c r="H548" t="inlineStr"/>
    </row>
    <row r="549">
      <c r="A549" t="inlineStr">
        <is>
          <t>No</t>
        </is>
      </c>
      <c r="B549" t="inlineStr"/>
      <c r="C549" t="inlineStr"/>
      <c r="D549" t="inlineStr"/>
      <c r="E549" t="inlineStr">
        <is>
          <t>My child wanted to gain confidence and independence on this first trip. I'd love to go in the future.</t>
        </is>
      </c>
      <c r="F549" t="inlineStr">
        <is>
          <t>Wants Child to Have Independent Experience</t>
        </is>
      </c>
      <c r="G549" t="inlineStr">
        <is>
          <t>Wants Child to Have Independent Experience</t>
        </is>
      </c>
      <c r="H549" t="inlineStr"/>
    </row>
    <row r="550">
      <c r="A550" t="inlineStr">
        <is>
          <t>No</t>
        </is>
      </c>
      <c r="B550" t="inlineStr"/>
      <c r="C550" t="inlineStr"/>
      <c r="D550" t="inlineStr"/>
      <c r="E550" t="inlineStr">
        <is>
          <t>I didn't want a competition in relationship building.</t>
        </is>
      </c>
      <c r="F550" t="inlineStr">
        <is>
          <t>Other / Uncategorized</t>
        </is>
      </c>
      <c r="G550" t="inlineStr"/>
      <c r="H550" t="inlineStr"/>
    </row>
    <row r="551">
      <c r="A551" t="inlineStr">
        <is>
          <t>No</t>
        </is>
      </c>
      <c r="B551" t="inlineStr"/>
      <c r="C551" t="inlineStr"/>
      <c r="D551" t="inlineStr"/>
      <c r="E551" t="inlineStr">
        <is>
          <t>Don't know anyone who has done it personally so wasn't able to hear what to expect.</t>
        </is>
      </c>
      <c r="F551" t="inlineStr">
        <is>
          <t>Not Aware It Was an Option</t>
        </is>
      </c>
      <c r="G551" t="inlineStr">
        <is>
          <t>Not Aware It Was an Option</t>
        </is>
      </c>
      <c r="H551" t="inlineStr"/>
    </row>
    <row r="552">
      <c r="A552" t="inlineStr">
        <is>
          <t>No</t>
        </is>
      </c>
      <c r="B552" t="inlineStr"/>
      <c r="C552" t="inlineStr"/>
      <c r="D552" t="inlineStr"/>
      <c r="E552" t="inlineStr">
        <is>
          <t>Time</t>
        </is>
      </c>
      <c r="F552" t="inlineStr">
        <is>
          <t>Work Schedule / Time Off</t>
        </is>
      </c>
      <c r="G552" t="inlineStr">
        <is>
          <t>Work Schedule / Time Off</t>
        </is>
      </c>
      <c r="H552" t="inlineStr"/>
    </row>
    <row r="553">
      <c r="A553" t="inlineStr">
        <is>
          <t>No</t>
        </is>
      </c>
      <c r="B553" t="inlineStr"/>
      <c r="C553" t="inlineStr"/>
      <c r="D553" t="inlineStr"/>
      <c r="E553" t="inlineStr">
        <is>
          <t>Too busy with other kids at home.</t>
        </is>
      </c>
      <c r="F553" t="inlineStr">
        <is>
          <t>Work Schedule / Time Off</t>
        </is>
      </c>
      <c r="G553" t="inlineStr">
        <is>
          <t>Work Schedule / Time Off; Other Kids / Family at Home</t>
        </is>
      </c>
      <c r="H553" t="inlineStr"/>
    </row>
    <row r="554">
      <c r="A554" t="inlineStr">
        <is>
          <t>No</t>
        </is>
      </c>
      <c r="B554" t="inlineStr"/>
      <c r="C554" t="inlineStr"/>
      <c r="D554" t="inlineStr"/>
      <c r="E554" t="inlineStr">
        <is>
          <t>I have younger kids at home</t>
        </is>
      </c>
      <c r="F554" t="inlineStr">
        <is>
          <t>Other Kids / Family at Home</t>
        </is>
      </c>
      <c r="G554" t="inlineStr">
        <is>
          <t>Other Kids / Family at Home</t>
        </is>
      </c>
      <c r="H554" t="inlineStr"/>
    </row>
    <row r="555">
      <c r="A555" t="inlineStr">
        <is>
          <t>No</t>
        </is>
      </c>
      <c r="B555" t="inlineStr"/>
      <c r="C555" t="inlineStr"/>
      <c r="D555" t="inlineStr"/>
      <c r="E555" t="inlineStr">
        <is>
          <t>Cost &amp; scheduling conflict</t>
        </is>
      </c>
      <c r="F555" t="inlineStr">
        <is>
          <t>Cost / Finances</t>
        </is>
      </c>
      <c r="G555" t="inlineStr">
        <is>
          <t>Cost / Finances; Work Schedule / Time Off</t>
        </is>
      </c>
      <c r="H555" t="inlineStr"/>
    </row>
    <row r="556">
      <c r="A556" t="inlineStr">
        <is>
          <t>No</t>
        </is>
      </c>
      <c r="B556" t="inlineStr"/>
      <c r="C556" t="inlineStr"/>
      <c r="D556" t="inlineStr"/>
      <c r="E556" t="inlineStr">
        <is>
          <t>We want our son to have an experience without us. We are viewing this as mission prep - doing things on his own, finding solutions to problems, showing grit and flexibility, etc.</t>
        </is>
      </c>
      <c r="F556" t="inlineStr">
        <is>
          <t>Wants Child to Have Independent Experience</t>
        </is>
      </c>
      <c r="G556" t="inlineStr">
        <is>
          <t>Wants Child to Have Independent Experience; Other Life Commitment</t>
        </is>
      </c>
      <c r="H556" t="inlineStr"/>
    </row>
    <row r="557">
      <c r="A557" t="inlineStr">
        <is>
          <t>No</t>
        </is>
      </c>
      <c r="B557" t="inlineStr"/>
      <c r="C557" t="inlineStr"/>
      <c r="D557" t="inlineStr"/>
      <c r="E557" t="inlineStr">
        <is>
          <t>Money and obligations at home</t>
        </is>
      </c>
      <c r="F557" t="inlineStr">
        <is>
          <t>Cost / Finances</t>
        </is>
      </c>
      <c r="G557" t="inlineStr">
        <is>
          <t>Cost / Finances; Work Schedule / Time Off</t>
        </is>
      </c>
      <c r="H557" t="inlineStr"/>
    </row>
    <row r="558">
      <c r="A558" t="inlineStr">
        <is>
          <t>No</t>
        </is>
      </c>
      <c r="B558" t="inlineStr"/>
      <c r="C558" t="inlineStr"/>
      <c r="D558" t="inlineStr"/>
      <c r="E558" t="inlineStr">
        <is>
          <t>Time off work</t>
        </is>
      </c>
      <c r="F558" t="inlineStr">
        <is>
          <t>Work Schedule / Time Off</t>
        </is>
      </c>
      <c r="G558" t="inlineStr">
        <is>
          <t>Work Schedule / Time Off</t>
        </is>
      </c>
      <c r="H558" t="inlineStr"/>
    </row>
    <row r="559">
      <c r="A559" t="inlineStr">
        <is>
          <t>No</t>
        </is>
      </c>
      <c r="B559" t="inlineStr"/>
      <c r="C559" t="inlineStr"/>
      <c r="D559" t="inlineStr"/>
      <c r="E559" t="inlineStr">
        <is>
          <t>Norhing</t>
        </is>
      </c>
      <c r="F559" t="inlineStr">
        <is>
          <t>Not Aware It Was an Option</t>
        </is>
      </c>
      <c r="G559" t="inlineStr">
        <is>
          <t>Not Aware It Was an Option</t>
        </is>
      </c>
      <c r="H559" t="inlineStr"/>
    </row>
    <row r="560">
      <c r="A560" t="inlineStr">
        <is>
          <t>No</t>
        </is>
      </c>
      <c r="B560" t="inlineStr"/>
      <c r="C560" t="inlineStr"/>
      <c r="D560" t="inlineStr"/>
      <c r="E560" t="inlineStr">
        <is>
          <t>The cost</t>
        </is>
      </c>
      <c r="F560" t="inlineStr">
        <is>
          <t>Cost / Finances</t>
        </is>
      </c>
      <c r="G560" t="inlineStr">
        <is>
          <t>Cost / Finances</t>
        </is>
      </c>
      <c r="H560" t="inlineStr"/>
    </row>
    <row r="561">
      <c r="A561" t="inlineStr">
        <is>
          <t>No</t>
        </is>
      </c>
      <c r="B561" t="inlineStr"/>
      <c r="C561" t="inlineStr"/>
      <c r="D561" t="inlineStr"/>
      <c r="E561" t="inlineStr">
        <is>
          <t>My child wants to meet new people on his own.</t>
        </is>
      </c>
      <c r="F561" t="inlineStr">
        <is>
          <t>Wants Child to Have Independent Experience</t>
        </is>
      </c>
      <c r="G561" t="inlineStr">
        <is>
          <t>Wants Child to Have Independent Experience</t>
        </is>
      </c>
      <c r="H561" t="inlineStr"/>
    </row>
    <row r="562">
      <c r="A562" t="inlineStr">
        <is>
          <t>No</t>
        </is>
      </c>
      <c r="B562" t="inlineStr"/>
      <c r="C562" t="inlineStr"/>
      <c r="D562" t="inlineStr"/>
      <c r="E562" t="inlineStr">
        <is>
          <t>My daughter wanted to go alone. Her dad went the last time with another daughter.</t>
        </is>
      </c>
      <c r="F562" t="inlineStr">
        <is>
          <t>Work Schedule / Time Off</t>
        </is>
      </c>
      <c r="G562" t="inlineStr">
        <is>
          <t>Work Schedule / Time Off; Another Family Member Going Instead; Wants Child to Have Independent Experience</t>
        </is>
      </c>
      <c r="H562" t="inlineStr"/>
    </row>
    <row r="563">
      <c r="A563" t="inlineStr">
        <is>
          <t>No</t>
        </is>
      </c>
      <c r="B563" t="inlineStr"/>
      <c r="C563" t="inlineStr"/>
      <c r="D563" t="inlineStr"/>
      <c r="E563" t="inlineStr">
        <is>
          <t>Work conflict, wanted my builder to go on their own</t>
        </is>
      </c>
      <c r="F563" t="inlineStr">
        <is>
          <t>Work Schedule / Time Off</t>
        </is>
      </c>
      <c r="G563" t="inlineStr">
        <is>
          <t>Work Schedule / Time Off; Wants Child to Have Independent Experience</t>
        </is>
      </c>
      <c r="H563" t="inlineStr"/>
    </row>
    <row r="564">
      <c r="A564" t="inlineStr">
        <is>
          <t>No</t>
        </is>
      </c>
      <c r="B564" t="inlineStr"/>
      <c r="C564" t="inlineStr"/>
      <c r="D564" t="inlineStr"/>
      <c r="E564" t="inlineStr"/>
      <c r="F564" t="inlineStr"/>
      <c r="G564" t="inlineStr"/>
      <c r="H564" t="inlineStr"/>
    </row>
    <row r="565">
      <c r="A565" t="inlineStr">
        <is>
          <t>No</t>
        </is>
      </c>
      <c r="B565" t="inlineStr"/>
      <c r="C565" t="inlineStr"/>
      <c r="D565" t="inlineStr"/>
      <c r="E565" t="inlineStr">
        <is>
          <t>It is difficult with my schedule for me to go. Additoinally, my kids wanted to have this opporunity to "spread their wings" and be more independent without my wife or me there.</t>
        </is>
      </c>
      <c r="F565" t="inlineStr">
        <is>
          <t>Work Schedule / Time Off</t>
        </is>
      </c>
      <c r="G565" t="inlineStr">
        <is>
          <t>Work Schedule / Time Off; Wants Child to Have Independent Experience</t>
        </is>
      </c>
      <c r="H565" t="inlineStr"/>
    </row>
    <row r="566">
      <c r="A566" t="inlineStr">
        <is>
          <t>No</t>
        </is>
      </c>
      <c r="B566" t="inlineStr"/>
      <c r="C566" t="inlineStr"/>
      <c r="D566" t="inlineStr"/>
      <c r="E566" t="inlineStr">
        <is>
          <t>This an experience my kid wanted to have on his own.</t>
        </is>
      </c>
      <c r="F566" t="inlineStr">
        <is>
          <t>Wants Child to Have Independent Experience</t>
        </is>
      </c>
      <c r="G566" t="inlineStr">
        <is>
          <t>Wants Child to Have Independent Experience</t>
        </is>
      </c>
      <c r="H566" t="inlineStr"/>
    </row>
    <row r="567">
      <c r="A567" t="inlineStr">
        <is>
          <t>No</t>
        </is>
      </c>
      <c r="B567" t="inlineStr"/>
      <c r="C567" t="inlineStr"/>
      <c r="D567" t="inlineStr"/>
      <c r="E567" t="inlineStr">
        <is>
          <t>I felt this was a great growing experiance for my daughter that to do on her own before college.</t>
        </is>
      </c>
      <c r="F567" t="inlineStr">
        <is>
          <t>Wants Child to Have Independent Experience</t>
        </is>
      </c>
      <c r="G567" t="inlineStr">
        <is>
          <t>Wants Child to Have Independent Experience</t>
        </is>
      </c>
      <c r="H567" t="inlineStr"/>
    </row>
    <row r="568">
      <c r="A568" t="inlineStr">
        <is>
          <t>No</t>
        </is>
      </c>
      <c r="B568" t="inlineStr"/>
      <c r="C568" t="inlineStr"/>
      <c r="D568" t="inlineStr"/>
      <c r="E568" t="inlineStr">
        <is>
          <t>Money</t>
        </is>
      </c>
      <c r="F568" t="inlineStr">
        <is>
          <t>Cost / Finances</t>
        </is>
      </c>
      <c r="G568" t="inlineStr">
        <is>
          <t>Cost / Finances</t>
        </is>
      </c>
      <c r="H568" t="inlineStr"/>
    </row>
    <row r="569">
      <c r="A569" t="inlineStr">
        <is>
          <t>Yes</t>
        </is>
      </c>
      <c r="B569" t="inlineStr">
        <is>
          <t>My husband and I decided to take turns going with our boys on these trips when we first heard about HEFY years ago and have been saving to do so since then.</t>
        </is>
      </c>
      <c r="C569" t="inlineStr">
        <is>
          <t>Previous Positive Experience</t>
        </is>
      </c>
      <c r="D569" t="inlineStr">
        <is>
          <t>Previous Positive Experience</t>
        </is>
      </c>
      <c r="E569" t="inlineStr"/>
      <c r="F569" t="inlineStr"/>
      <c r="G569" t="inlineStr"/>
      <c r="H569" t="inlineStr"/>
    </row>
    <row r="570">
      <c r="A570" t="inlineStr">
        <is>
          <t>No</t>
        </is>
      </c>
      <c r="B570" t="inlineStr"/>
      <c r="C570" t="inlineStr"/>
      <c r="D570" t="inlineStr"/>
      <c r="E570" t="inlineStr">
        <is>
          <t>Too many other vacations on the calendar already. Daughter wanted it to be an "independent" experience w/o parents</t>
        </is>
      </c>
      <c r="F570" t="inlineStr">
        <is>
          <t>Work Schedule / Time Off</t>
        </is>
      </c>
      <c r="G570" t="inlineStr">
        <is>
          <t>Work Schedule / Time Off; Wants Child to Have Independent Experience</t>
        </is>
      </c>
      <c r="H570" t="inlineStr"/>
    </row>
    <row r="571">
      <c r="A571" t="inlineStr">
        <is>
          <t>No</t>
        </is>
      </c>
      <c r="B571" t="inlineStr"/>
      <c r="C571" t="inlineStr"/>
      <c r="D571" t="inlineStr"/>
      <c r="E571" t="inlineStr">
        <is>
          <t>Not able for many reasons</t>
        </is>
      </c>
      <c r="F571" t="inlineStr">
        <is>
          <t>Other / Uncategorized</t>
        </is>
      </c>
      <c r="G571" t="inlineStr"/>
      <c r="H571" t="inlineStr"/>
    </row>
    <row r="572">
      <c r="A572" t="inlineStr">
        <is>
          <t>No</t>
        </is>
      </c>
      <c r="B572" t="inlineStr"/>
      <c r="C572" t="inlineStr"/>
      <c r="D572" t="inlineStr"/>
      <c r="E572" t="inlineStr">
        <is>
          <t>Can't get time off work</t>
        </is>
      </c>
      <c r="F572" t="inlineStr">
        <is>
          <t>Work Schedule / Time Off</t>
        </is>
      </c>
      <c r="G572" t="inlineStr">
        <is>
          <t>Work Schedule / Time Off</t>
        </is>
      </c>
      <c r="H572" t="inlineStr"/>
    </row>
    <row r="573">
      <c r="A573" t="inlineStr">
        <is>
          <t>No</t>
        </is>
      </c>
      <c r="B573" t="inlineStr"/>
      <c r="C573" t="inlineStr"/>
      <c r="D573" t="inlineStr"/>
      <c r="E573" t="inlineStr">
        <is>
          <t>Money and time. Also, our daughter needs an experience on her own without family.</t>
        </is>
      </c>
      <c r="F573" t="inlineStr">
        <is>
          <t>Cost / Finances</t>
        </is>
      </c>
      <c r="G573" t="inlineStr">
        <is>
          <t>Cost / Finances; Work Schedule / Time Off; Wants Child to Have Independent Experience</t>
        </is>
      </c>
      <c r="H573" t="inlineStr"/>
    </row>
    <row r="574">
      <c r="A574" t="inlineStr">
        <is>
          <t>No</t>
        </is>
      </c>
      <c r="B574" t="inlineStr"/>
      <c r="C574" t="inlineStr"/>
      <c r="D574" t="inlineStr"/>
      <c r="E574" t="inlineStr">
        <is>
          <t>The added expense. Sending a child was expense enough, we could not double the expense. One parent is needed to stay home. The other does not have paid vacation, making the trip even more expensive with the lost income.</t>
        </is>
      </c>
      <c r="F574" t="inlineStr">
        <is>
          <t>Cost / Finances</t>
        </is>
      </c>
      <c r="G574" t="inlineStr">
        <is>
          <t>Cost / Finances; Work Schedule / Time Off</t>
        </is>
      </c>
      <c r="H574" t="inlineStr"/>
    </row>
    <row r="575">
      <c r="A575" t="inlineStr">
        <is>
          <t>No</t>
        </is>
      </c>
      <c r="B575" t="inlineStr"/>
      <c r="C575" t="inlineStr"/>
      <c r="D575" t="inlineStr"/>
      <c r="E575" t="inlineStr">
        <is>
          <t>We want our son to experience HXP on his own. We think it will be good for him.</t>
        </is>
      </c>
      <c r="F575" t="inlineStr">
        <is>
          <t>Wants Child to Have Independent Experience</t>
        </is>
      </c>
      <c r="G575" t="inlineStr">
        <is>
          <t>Wants Child to Have Independent Experience</t>
        </is>
      </c>
      <c r="H575" t="inlineStr"/>
    </row>
    <row r="576">
      <c r="A576" t="inlineStr">
        <is>
          <t>No</t>
        </is>
      </c>
      <c r="B576" t="inlineStr"/>
      <c r="C576" t="inlineStr"/>
      <c r="D576" t="inlineStr"/>
      <c r="E576" t="inlineStr">
        <is>
          <t>We would have loved to go but we were moving 1/2 way across the country the same time.</t>
        </is>
      </c>
      <c r="F576" t="inlineStr">
        <is>
          <t>Work Schedule / Time Off</t>
        </is>
      </c>
      <c r="G576" t="inlineStr">
        <is>
          <t>Work Schedule / Time Off; Other Life Commitment</t>
        </is>
      </c>
      <c r="H576" t="inlineStr"/>
    </row>
    <row r="577">
      <c r="A577" t="inlineStr">
        <is>
          <t>No</t>
        </is>
      </c>
      <c r="B577" t="inlineStr"/>
      <c r="C577" t="inlineStr"/>
      <c r="D577" t="inlineStr"/>
      <c r="E577" t="inlineStr">
        <is>
          <t>money</t>
        </is>
      </c>
      <c r="F577" t="inlineStr">
        <is>
          <t>Cost / Finances</t>
        </is>
      </c>
      <c r="G577" t="inlineStr">
        <is>
          <t>Cost / Finances</t>
        </is>
      </c>
      <c r="H577" t="inlineStr"/>
    </row>
    <row r="578">
      <c r="A578" t="inlineStr">
        <is>
          <t>No</t>
        </is>
      </c>
      <c r="B578" t="inlineStr"/>
      <c r="C578" t="inlineStr"/>
      <c r="D578" t="inlineStr"/>
      <c r="E578" t="inlineStr">
        <is>
          <t>My son went last year and he likes being on his own. He would have been fine having us go, but I think he likes the independence.</t>
        </is>
      </c>
      <c r="F578" t="inlineStr">
        <is>
          <t>Wants Child to Have Independent Experience</t>
        </is>
      </c>
      <c r="G578" t="inlineStr">
        <is>
          <t>Wants Child to Have Independent Experience</t>
        </is>
      </c>
      <c r="H578" t="inlineStr"/>
    </row>
    <row r="579">
      <c r="A579" t="inlineStr">
        <is>
          <t>No</t>
        </is>
      </c>
      <c r="B579" t="inlineStr"/>
      <c r="C579" t="inlineStr"/>
      <c r="D579" t="inlineStr"/>
      <c r="E579" t="inlineStr">
        <is>
          <t>My builder didn't want me on the trip</t>
        </is>
      </c>
      <c r="F579" t="inlineStr">
        <is>
          <t>Child Didn't Want Parent to Come</t>
        </is>
      </c>
      <c r="G579" t="inlineStr">
        <is>
          <t>Child Didn't Want Parent to Come</t>
        </is>
      </c>
      <c r="H579" t="inlineStr"/>
    </row>
    <row r="580">
      <c r="A580" t="inlineStr">
        <is>
          <t>No</t>
        </is>
      </c>
      <c r="B580" t="inlineStr"/>
      <c r="C580" t="inlineStr"/>
      <c r="D580" t="inlineStr"/>
      <c r="E580" t="inlineStr">
        <is>
          <t>$$$</t>
        </is>
      </c>
      <c r="F580" t="inlineStr">
        <is>
          <t>Cost / Finances</t>
        </is>
      </c>
      <c r="G580" t="inlineStr">
        <is>
          <t>Cost / Finances</t>
        </is>
      </c>
      <c r="H580" t="inlineStr"/>
    </row>
    <row r="581">
      <c r="A581" t="inlineStr">
        <is>
          <t>No</t>
        </is>
      </c>
      <c r="B581" t="inlineStr"/>
      <c r="C581" t="inlineStr"/>
      <c r="D581" t="inlineStr"/>
      <c r="E581" t="inlineStr">
        <is>
          <t>Too many younger kids at home still</t>
        </is>
      </c>
      <c r="F581" t="inlineStr">
        <is>
          <t>Other Kids / Family at Home</t>
        </is>
      </c>
      <c r="G581" t="inlineStr">
        <is>
          <t>Other Kids / Family at Home</t>
        </is>
      </c>
      <c r="H581" t="inlineStr"/>
    </row>
    <row r="582">
      <c r="A582" t="inlineStr">
        <is>
          <t>No</t>
        </is>
      </c>
      <c r="B582" t="inlineStr"/>
      <c r="C582" t="inlineStr"/>
      <c r="D582" t="inlineStr"/>
      <c r="E582" t="inlineStr">
        <is>
          <t>Expense</t>
        </is>
      </c>
      <c r="F582" t="inlineStr">
        <is>
          <t>Cost / Finances</t>
        </is>
      </c>
      <c r="G582" t="inlineStr">
        <is>
          <t>Cost / Finances</t>
        </is>
      </c>
      <c r="H582" t="inlineStr"/>
    </row>
    <row r="583">
      <c r="A583" t="inlineStr">
        <is>
          <t>No</t>
        </is>
      </c>
      <c r="B583" t="inlineStr"/>
      <c r="C583" t="inlineStr"/>
      <c r="D583" t="inlineStr"/>
      <c r="E583" t="inlineStr">
        <is>
          <t>I hope my child will have a positive experience away from home and independent from me.</t>
        </is>
      </c>
      <c r="F583" t="inlineStr">
        <is>
          <t>Other Kids / Family at Home</t>
        </is>
      </c>
      <c r="G583" t="inlineStr">
        <is>
          <t>Other Kids / Family at Home; Wants Child to Have Independent Experience</t>
        </is>
      </c>
      <c r="H583" t="inlineStr"/>
    </row>
    <row r="584">
      <c r="A584" t="inlineStr">
        <is>
          <t>No</t>
        </is>
      </c>
      <c r="B584" t="inlineStr"/>
      <c r="C584" t="inlineStr"/>
      <c r="D584" t="inlineStr"/>
      <c r="E584" t="inlineStr">
        <is>
          <t>Money</t>
        </is>
      </c>
      <c r="F584" t="inlineStr">
        <is>
          <t>Cost / Finances</t>
        </is>
      </c>
      <c r="G584" t="inlineStr">
        <is>
          <t>Cost / Finances</t>
        </is>
      </c>
      <c r="H584" t="inlineStr"/>
    </row>
    <row r="585">
      <c r="A585" t="inlineStr">
        <is>
          <t>No</t>
        </is>
      </c>
      <c r="B585" t="inlineStr"/>
      <c r="C585" t="inlineStr"/>
      <c r="D585" t="inlineStr"/>
      <c r="E585" t="inlineStr">
        <is>
          <t>Timing</t>
        </is>
      </c>
      <c r="F585" t="inlineStr">
        <is>
          <t>Work Schedule / Time Off</t>
        </is>
      </c>
      <c r="G585" t="inlineStr">
        <is>
          <t>Work Schedule / Time Off</t>
        </is>
      </c>
      <c r="H585" t="inlineStr"/>
    </row>
    <row r="586">
      <c r="A586" t="inlineStr">
        <is>
          <t>No</t>
        </is>
      </c>
      <c r="B586" t="inlineStr"/>
      <c r="C586" t="inlineStr"/>
      <c r="D586" t="inlineStr"/>
      <c r="E586" t="inlineStr">
        <is>
          <t>My husband and I have both been a parent builder for this child and she wanted to go on her own this year</t>
        </is>
      </c>
      <c r="F586" t="inlineStr">
        <is>
          <t>Wants Child to Have Independent Experience</t>
        </is>
      </c>
      <c r="G586" t="inlineStr">
        <is>
          <t>Wants Child to Have Independent Experience</t>
        </is>
      </c>
      <c r="H586" t="inlineStr"/>
    </row>
    <row r="587">
      <c r="A587" t="inlineStr">
        <is>
          <t>No</t>
        </is>
      </c>
      <c r="B587" t="inlineStr"/>
      <c r="C587" t="inlineStr"/>
      <c r="D587" t="inlineStr"/>
      <c r="E587" t="inlineStr">
        <is>
          <t>Just no time to take off work this year I would LOVE to I. The future if I can make it woek</t>
        </is>
      </c>
      <c r="F587" t="inlineStr">
        <is>
          <t>Work Schedule / Time Off</t>
        </is>
      </c>
      <c r="G587" t="inlineStr">
        <is>
          <t>Work Schedule / Time Off</t>
        </is>
      </c>
      <c r="H587" t="inlineStr"/>
    </row>
    <row r="588">
      <c r="A588" t="inlineStr">
        <is>
          <t>No</t>
        </is>
      </c>
      <c r="B588" t="inlineStr"/>
      <c r="C588" t="inlineStr"/>
      <c r="D588" t="inlineStr"/>
      <c r="E588" t="inlineStr"/>
      <c r="F588" t="inlineStr"/>
      <c r="G588" t="inlineStr"/>
      <c r="H588" t="inlineStr"/>
    </row>
    <row r="589">
      <c r="A589" t="inlineStr">
        <is>
          <t>Yes</t>
        </is>
      </c>
      <c r="B589" t="inlineStr">
        <is>
          <t>Need and my daughter said it was okay</t>
        </is>
      </c>
      <c r="C589" t="inlineStr">
        <is>
          <t>Other / Uncategorized</t>
        </is>
      </c>
      <c r="D589" t="inlineStr"/>
      <c r="E589" t="inlineStr"/>
      <c r="F589" t="inlineStr"/>
      <c r="G589" t="inlineStr"/>
      <c r="H589" t="inlineStr"/>
    </row>
    <row r="590">
      <c r="A590" t="inlineStr">
        <is>
          <t>No</t>
        </is>
      </c>
      <c r="B590" t="inlineStr"/>
      <c r="C590" t="inlineStr"/>
      <c r="D590" t="inlineStr"/>
      <c r="E590" t="inlineStr">
        <is>
          <t>Work, ill probably go later</t>
        </is>
      </c>
      <c r="F590" t="inlineStr">
        <is>
          <t>Work Schedule / Time Off</t>
        </is>
      </c>
      <c r="G590" t="inlineStr">
        <is>
          <t>Work Schedule / Time Off</t>
        </is>
      </c>
      <c r="H590" t="inlineStr"/>
    </row>
    <row r="591">
      <c r="A591" t="inlineStr">
        <is>
          <t>No</t>
        </is>
      </c>
      <c r="B591" t="inlineStr"/>
      <c r="C591" t="inlineStr"/>
      <c r="D591" t="inlineStr"/>
      <c r="E591" t="inlineStr"/>
      <c r="F591" t="inlineStr"/>
      <c r="G591" t="inlineStr"/>
      <c r="H591" t="inlineStr"/>
    </row>
    <row r="592">
      <c r="A592" t="inlineStr">
        <is>
          <t>No</t>
        </is>
      </c>
      <c r="B592" t="inlineStr"/>
      <c r="C592" t="inlineStr"/>
      <c r="D592" t="inlineStr"/>
      <c r="E592" t="inlineStr">
        <is>
          <t>Cost</t>
        </is>
      </c>
      <c r="F592" t="inlineStr">
        <is>
          <t>Cost / Finances</t>
        </is>
      </c>
      <c r="G592" t="inlineStr">
        <is>
          <t>Cost / Finances</t>
        </is>
      </c>
      <c r="H592" t="inlineStr"/>
    </row>
    <row r="593">
      <c r="A593" t="inlineStr">
        <is>
          <t>No</t>
        </is>
      </c>
      <c r="B593" t="inlineStr"/>
      <c r="C593" t="inlineStr"/>
      <c r="D593" t="inlineStr"/>
      <c r="E593" t="inlineStr">
        <is>
          <t>Family responsibilities at home and builder wants an independent experience</t>
        </is>
      </c>
      <c r="F593" t="inlineStr">
        <is>
          <t>Work Schedule / Time Off</t>
        </is>
      </c>
      <c r="G593" t="inlineStr">
        <is>
          <t>Work Schedule / Time Off; Wants Child to Have Independent Experience</t>
        </is>
      </c>
      <c r="H593" t="inlineStr"/>
    </row>
    <row r="594">
      <c r="A594" t="inlineStr">
        <is>
          <t>No</t>
        </is>
      </c>
      <c r="B594" t="inlineStr"/>
      <c r="C594" t="inlineStr"/>
      <c r="D594" t="inlineStr"/>
      <c r="E594" t="inlineStr">
        <is>
          <t>Unable to get that much time off of work.</t>
        </is>
      </c>
      <c r="F594" t="inlineStr">
        <is>
          <t>Work Schedule / Time Off</t>
        </is>
      </c>
      <c r="G594" t="inlineStr">
        <is>
          <t>Work Schedule / Time Off</t>
        </is>
      </c>
      <c r="H594" t="inlineStr"/>
    </row>
    <row r="595">
      <c r="A595" t="inlineStr">
        <is>
          <t>No</t>
        </is>
      </c>
      <c r="B595" t="inlineStr"/>
      <c r="C595" t="inlineStr"/>
      <c r="D595" t="inlineStr"/>
      <c r="E595" t="inlineStr">
        <is>
          <t>I just need my other kids to be older or I'd be there in a heartbeat!</t>
        </is>
      </c>
      <c r="F595" t="inlineStr">
        <is>
          <t>Other Kids / Family at Home</t>
        </is>
      </c>
      <c r="G595" t="inlineStr">
        <is>
          <t>Other Kids / Family at Home</t>
        </is>
      </c>
      <c r="H595" t="inlineStr"/>
    </row>
    <row r="596">
      <c r="A596" t="inlineStr">
        <is>
          <t>No</t>
        </is>
      </c>
      <c r="B596" t="inlineStr"/>
      <c r="C596" t="inlineStr"/>
      <c r="D596" t="inlineStr"/>
      <c r="E596" t="inlineStr">
        <is>
          <t>Allow my daughter time and growth Independent of parents</t>
        </is>
      </c>
      <c r="F596" t="inlineStr">
        <is>
          <t>Work Schedule / Time Off</t>
        </is>
      </c>
      <c r="G596" t="inlineStr">
        <is>
          <t>Work Schedule / Time Off; Wants Child to Have Independent Experience</t>
        </is>
      </c>
      <c r="H596" t="inlineStr"/>
    </row>
    <row r="597">
      <c r="A597" t="inlineStr">
        <is>
          <t>No</t>
        </is>
      </c>
      <c r="B597" t="inlineStr"/>
      <c r="C597" t="inlineStr"/>
      <c r="D597" t="inlineStr"/>
      <c r="E597" t="inlineStr"/>
      <c r="F597" t="inlineStr"/>
      <c r="G597" t="inlineStr"/>
      <c r="H597" t="inlineStr"/>
    </row>
    <row r="598">
      <c r="A598" t="inlineStr">
        <is>
          <t>Yes</t>
        </is>
      </c>
      <c r="B598" t="inlineStr"/>
      <c r="C598" t="inlineStr"/>
      <c r="D598" t="inlineStr"/>
      <c r="E598" t="inlineStr"/>
      <c r="F598" t="inlineStr"/>
      <c r="G598" t="inlineStr"/>
      <c r="H598" t="inlineStr"/>
    </row>
    <row r="599">
      <c r="A599" t="inlineStr">
        <is>
          <t>Yes</t>
        </is>
      </c>
      <c r="B599" t="inlineStr">
        <is>
          <t>Wanting to experience some of the things they have experienced with their previous trips. This is also my youngest and so last opportunity.</t>
        </is>
      </c>
      <c r="C599" t="inlineStr">
        <is>
          <t>Wanted Shared Experience with Child</t>
        </is>
      </c>
      <c r="D599" t="inlineStr">
        <is>
          <t>Wanted Shared Experience with Child; Previous Positive Experience</t>
        </is>
      </c>
      <c r="E599" t="inlineStr"/>
      <c r="F599" t="inlineStr"/>
      <c r="G599" t="inlineStr"/>
      <c r="H599" t="inlineStr"/>
    </row>
    <row r="600">
      <c r="A600" t="inlineStr">
        <is>
          <t>No</t>
        </is>
      </c>
      <c r="B600" t="inlineStr"/>
      <c r="C600" t="inlineStr"/>
      <c r="D600" t="inlineStr"/>
      <c r="E600" t="inlineStr">
        <is>
          <t>Brighton did not want either of us to go, he wanted to go on his own. He wanted an experience on his own before he goes on his mission in a year.</t>
        </is>
      </c>
      <c r="F600" t="inlineStr">
        <is>
          <t>Wants Child to Have Independent Experience</t>
        </is>
      </c>
      <c r="G600" t="inlineStr">
        <is>
          <t>Wants Child to Have Independent Experience; Other Life Commitment</t>
        </is>
      </c>
      <c r="H600" t="inlineStr"/>
    </row>
    <row r="601">
      <c r="A601" t="inlineStr">
        <is>
          <t>No</t>
        </is>
      </c>
      <c r="B601" t="inlineStr"/>
      <c r="C601" t="inlineStr"/>
      <c r="D601" t="inlineStr"/>
      <c r="E601" t="inlineStr">
        <is>
          <t>Money, but would love to go in the future</t>
        </is>
      </c>
      <c r="F601" t="inlineStr">
        <is>
          <t>Cost / Finances</t>
        </is>
      </c>
      <c r="G601" t="inlineStr">
        <is>
          <t>Cost / Finances</t>
        </is>
      </c>
      <c r="H601" t="inlineStr"/>
    </row>
    <row r="602">
      <c r="A602" t="inlineStr">
        <is>
          <t>Yes</t>
        </is>
      </c>
      <c r="B602" t="inlineStr">
        <is>
          <t>I have always wanted to do something like this.</t>
        </is>
      </c>
      <c r="C602" t="inlineStr">
        <is>
          <t>Other / Uncategorized</t>
        </is>
      </c>
      <c r="D602" t="inlineStr"/>
      <c r="E602" t="inlineStr"/>
      <c r="F602" t="inlineStr"/>
      <c r="G602" t="inlineStr"/>
      <c r="H602" t="inlineStr"/>
    </row>
    <row r="603">
      <c r="A603" t="inlineStr">
        <is>
          <t>No</t>
        </is>
      </c>
      <c r="B603" t="inlineStr"/>
      <c r="C603" t="inlineStr"/>
      <c r="D603" t="inlineStr"/>
      <c r="E603" t="inlineStr">
        <is>
          <t>Time and money. I would love to go at some point.</t>
        </is>
      </c>
      <c r="F603" t="inlineStr">
        <is>
          <t>Cost / Finances</t>
        </is>
      </c>
      <c r="G603" t="inlineStr">
        <is>
          <t>Cost / Finances; Work Schedule / Time Off</t>
        </is>
      </c>
      <c r="H603" t="inlineStr"/>
    </row>
    <row r="604">
      <c r="A604" t="inlineStr">
        <is>
          <t>No</t>
        </is>
      </c>
      <c r="B604" t="inlineStr"/>
      <c r="C604" t="inlineStr"/>
      <c r="D604" t="inlineStr"/>
      <c r="E604" t="inlineStr"/>
      <c r="F604" t="inlineStr"/>
      <c r="G604" t="inlineStr"/>
      <c r="H604" t="inlineStr"/>
    </row>
    <row r="605">
      <c r="A605" t="inlineStr">
        <is>
          <t>No</t>
        </is>
      </c>
      <c r="B605" t="inlineStr"/>
      <c r="C605" t="inlineStr"/>
      <c r="D605" t="inlineStr"/>
      <c r="E605" t="inlineStr">
        <is>
          <t>We wanted our kids to have the opportunity to go parent free</t>
        </is>
      </c>
      <c r="F605" t="inlineStr">
        <is>
          <t>Wants Child to Have Independent Experience</t>
        </is>
      </c>
      <c r="G605" t="inlineStr">
        <is>
          <t>Wants Child to Have Independent Experience</t>
        </is>
      </c>
      <c r="H605" t="inlineStr"/>
    </row>
    <row r="606">
      <c r="A606" t="inlineStr">
        <is>
          <t>No</t>
        </is>
      </c>
      <c r="B606" t="inlineStr"/>
      <c r="C606" t="inlineStr"/>
      <c r="D606" t="inlineStr"/>
      <c r="E606" t="inlineStr">
        <is>
          <t>I travelled on humanitarian trips when I was young, without my parents. This was an incredible time for me to grow. I want the same for my daughter.</t>
        </is>
      </c>
      <c r="F606" t="inlineStr">
        <is>
          <t>Work Schedule / Time Off</t>
        </is>
      </c>
      <c r="G606" t="inlineStr">
        <is>
          <t>Work Schedule / Time Off; Wants Child to Have Independent Experience</t>
        </is>
      </c>
      <c r="H606" t="inlineStr"/>
    </row>
    <row r="607">
      <c r="A607" t="inlineStr">
        <is>
          <t>No</t>
        </is>
      </c>
      <c r="B607" t="inlineStr"/>
      <c r="C607" t="inlineStr"/>
      <c r="D607" t="inlineStr"/>
      <c r="E607" t="inlineStr"/>
      <c r="F607" t="inlineStr"/>
      <c r="G607" t="inlineStr"/>
      <c r="H607" t="inlineStr"/>
    </row>
    <row r="608">
      <c r="A608" t="inlineStr">
        <is>
          <t>No</t>
        </is>
      </c>
      <c r="B608" t="inlineStr"/>
      <c r="C608" t="inlineStr"/>
      <c r="D608" t="inlineStr"/>
      <c r="E608" t="inlineStr">
        <is>
          <t>Other children at home</t>
        </is>
      </c>
      <c r="F608" t="inlineStr">
        <is>
          <t>Other Kids / Family at Home</t>
        </is>
      </c>
      <c r="G608" t="inlineStr">
        <is>
          <t>Other Kids / Family at Home</t>
        </is>
      </c>
      <c r="H608" t="inlineStr"/>
    </row>
    <row r="609">
      <c r="A609" t="inlineStr">
        <is>
          <t>No</t>
        </is>
      </c>
      <c r="B609" t="inlineStr"/>
      <c r="C609" t="inlineStr"/>
      <c r="D609" t="inlineStr"/>
      <c r="E609" t="inlineStr">
        <is>
          <t>Other kids are too young planning on going when they're older.</t>
        </is>
      </c>
      <c r="F609" t="inlineStr">
        <is>
          <t>Other Kids / Family at Home</t>
        </is>
      </c>
      <c r="G609" t="inlineStr">
        <is>
          <t>Other Kids / Family at Home</t>
        </is>
      </c>
      <c r="H609" t="inlineStr"/>
    </row>
    <row r="610">
      <c r="A610" t="inlineStr">
        <is>
          <t>No</t>
        </is>
      </c>
      <c r="B610" t="inlineStr"/>
      <c r="C610" t="inlineStr"/>
      <c r="D610" t="inlineStr"/>
      <c r="E610" t="inlineStr">
        <is>
          <t>Daughter wanted to go alone</t>
        </is>
      </c>
      <c r="F610" t="inlineStr">
        <is>
          <t>Wants Child to Have Independent Experience</t>
        </is>
      </c>
      <c r="G610" t="inlineStr">
        <is>
          <t>Wants Child to Have Independent Experience</t>
        </is>
      </c>
      <c r="H610" t="inlineStr"/>
    </row>
    <row r="611">
      <c r="A611" t="inlineStr">
        <is>
          <t>No</t>
        </is>
      </c>
      <c r="B611" t="inlineStr"/>
      <c r="C611" t="inlineStr"/>
      <c r="D611" t="inlineStr"/>
      <c r="E611" t="inlineStr">
        <is>
          <t>I've been a parent builder twice before and my daughter wants to go without me 😂</t>
        </is>
      </c>
      <c r="F611" t="inlineStr">
        <is>
          <t>Wants Child to Have Independent Experience</t>
        </is>
      </c>
      <c r="G611" t="inlineStr">
        <is>
          <t>Wants Child to Have Independent Experience</t>
        </is>
      </c>
      <c r="H611" t="inlineStr"/>
    </row>
    <row r="612">
      <c r="A612" t="inlineStr">
        <is>
          <t>No</t>
        </is>
      </c>
      <c r="B612" t="inlineStr"/>
      <c r="C612" t="inlineStr"/>
      <c r="D612" t="inlineStr"/>
      <c r="E612" t="inlineStr">
        <is>
          <t>Having other children at home</t>
        </is>
      </c>
      <c r="F612" t="inlineStr">
        <is>
          <t>Other Kids / Family at Home</t>
        </is>
      </c>
      <c r="G612" t="inlineStr">
        <is>
          <t>Other Kids / Family at Home</t>
        </is>
      </c>
      <c r="H612" t="inlineStr"/>
    </row>
    <row r="613">
      <c r="A613" t="inlineStr">
        <is>
          <t>Maybe</t>
        </is>
      </c>
      <c r="B613" t="inlineStr"/>
      <c r="C613" t="inlineStr"/>
      <c r="D613" t="inlineStr"/>
      <c r="E613" t="inlineStr"/>
      <c r="F613" t="inlineStr"/>
      <c r="G613" t="inlineStr"/>
      <c r="H613" t="inlineStr">
        <is>
          <t>I would've loved to go on this one. My daughter wasn't as excited when we were signing up! But now she wishes I were going! 😂</t>
        </is>
      </c>
    </row>
    <row r="614">
      <c r="A614" t="inlineStr">
        <is>
          <t>No</t>
        </is>
      </c>
      <c r="B614" t="inlineStr"/>
      <c r="C614" t="inlineStr"/>
      <c r="D614" t="inlineStr"/>
      <c r="E614" t="inlineStr">
        <is>
          <t>I don't have enough vacation time from work</t>
        </is>
      </c>
      <c r="F614" t="inlineStr">
        <is>
          <t>Work Schedule / Time Off</t>
        </is>
      </c>
      <c r="G614" t="inlineStr">
        <is>
          <t>Work Schedule / Time Off</t>
        </is>
      </c>
      <c r="H614" t="inlineStr"/>
    </row>
    <row r="615">
      <c r="A615" t="inlineStr">
        <is>
          <t>No</t>
        </is>
      </c>
      <c r="B615" t="inlineStr"/>
      <c r="C615" t="inlineStr"/>
      <c r="D615" t="inlineStr"/>
      <c r="E615" t="inlineStr">
        <is>
          <t>Younger kids at home.</t>
        </is>
      </c>
      <c r="F615" t="inlineStr">
        <is>
          <t>Other Kids / Family at Home</t>
        </is>
      </c>
      <c r="G615" t="inlineStr">
        <is>
          <t>Other Kids / Family at Home</t>
        </is>
      </c>
      <c r="H615" t="inlineStr"/>
    </row>
    <row r="616">
      <c r="A616" t="inlineStr">
        <is>
          <t>Yes</t>
        </is>
      </c>
      <c r="B616" t="inlineStr">
        <is>
          <t>I want my children and other teens to realize that they can do hard things and that serving others is what brings us pure Joy. I loved the previous trips that I've gone with my other children.</t>
        </is>
      </c>
      <c r="C616" t="inlineStr">
        <is>
          <t>Previous Positive Experience</t>
        </is>
      </c>
      <c r="D616" t="inlineStr">
        <is>
          <t>Previous Positive Experience</t>
        </is>
      </c>
      <c r="E616" t="inlineStr"/>
      <c r="F616" t="inlineStr"/>
      <c r="G616" t="inlineStr"/>
      <c r="H616" t="inlineStr"/>
    </row>
    <row r="617">
      <c r="A617" t="inlineStr">
        <is>
          <t>Yes</t>
        </is>
      </c>
      <c r="B617" t="inlineStr">
        <is>
          <t>Previous experiences with family and friends going</t>
        </is>
      </c>
      <c r="C617" t="inlineStr">
        <is>
          <t>Wanted Shared Experience with Child</t>
        </is>
      </c>
      <c r="D617" t="inlineStr">
        <is>
          <t>Wanted Shared Experience with Child; Previous Positive Experience</t>
        </is>
      </c>
      <c r="E617" t="inlineStr"/>
      <c r="F617" t="inlineStr"/>
      <c r="G617" t="inlineStr"/>
      <c r="H617" t="inlineStr"/>
    </row>
    <row r="618">
      <c r="A618" t="inlineStr">
        <is>
          <t>No</t>
        </is>
      </c>
      <c r="B618" t="inlineStr"/>
      <c r="C618" t="inlineStr"/>
      <c r="D618" t="inlineStr"/>
      <c r="E618" t="inlineStr"/>
      <c r="F618" t="inlineStr"/>
      <c r="G618" t="inlineStr"/>
      <c r="H618" t="inlineStr"/>
    </row>
    <row r="619">
      <c r="A619" t="inlineStr">
        <is>
          <t>No</t>
        </is>
      </c>
      <c r="B619" t="inlineStr"/>
      <c r="C619" t="inlineStr"/>
      <c r="D619" t="inlineStr"/>
      <c r="E619" t="inlineStr">
        <is>
          <t>Other children at home and job</t>
        </is>
      </c>
      <c r="F619" t="inlineStr">
        <is>
          <t>Work Schedule / Time Off</t>
        </is>
      </c>
      <c r="G619" t="inlineStr">
        <is>
          <t>Work Schedule / Time Off; Other Kids / Family at Home</t>
        </is>
      </c>
      <c r="H619" t="inlineStr"/>
    </row>
    <row r="620">
      <c r="A620" t="inlineStr">
        <is>
          <t>No</t>
        </is>
      </c>
      <c r="B620" t="inlineStr"/>
      <c r="C620" t="inlineStr"/>
      <c r="D620" t="inlineStr"/>
      <c r="E620" t="inlineStr">
        <is>
          <t>Cost. I would do a heartbeat! It's actually my dream.</t>
        </is>
      </c>
      <c r="F620" t="inlineStr">
        <is>
          <t>Cost / Finances</t>
        </is>
      </c>
      <c r="G620" t="inlineStr">
        <is>
          <t>Cost / Finances</t>
        </is>
      </c>
      <c r="H620" t="inlineStr"/>
    </row>
    <row r="621">
      <c r="A621" t="inlineStr">
        <is>
          <t>No</t>
        </is>
      </c>
      <c r="B621" t="inlineStr"/>
      <c r="C621" t="inlineStr"/>
      <c r="D621" t="inlineStr"/>
      <c r="E621" t="inlineStr">
        <is>
          <t>Cost</t>
        </is>
      </c>
      <c r="F621" t="inlineStr">
        <is>
          <t>Cost / Finances</t>
        </is>
      </c>
      <c r="G621" t="inlineStr">
        <is>
          <t>Cost / Finances</t>
        </is>
      </c>
      <c r="H621" t="inlineStr"/>
    </row>
    <row r="622">
      <c r="A622" t="inlineStr">
        <is>
          <t>Yes</t>
        </is>
      </c>
      <c r="B622" t="inlineStr">
        <is>
          <t>Just wanted to serve 🤍</t>
        </is>
      </c>
      <c r="C622" t="inlineStr">
        <is>
          <t>Faith / Service Motivation</t>
        </is>
      </c>
      <c r="D622" t="inlineStr">
        <is>
          <t>Faith / Service Motivation</t>
        </is>
      </c>
      <c r="E622" t="inlineStr"/>
      <c r="F622" t="inlineStr"/>
      <c r="G622" t="inlineStr"/>
      <c r="H622" t="inlineStr"/>
    </row>
    <row r="623">
      <c r="A623" t="inlineStr">
        <is>
          <t>No</t>
        </is>
      </c>
      <c r="B623" t="inlineStr"/>
      <c r="C623" t="inlineStr"/>
      <c r="D623" t="inlineStr"/>
      <c r="E623" t="inlineStr"/>
      <c r="F623" t="inlineStr"/>
      <c r="G623" t="inlineStr"/>
      <c r="H623" t="inlineStr"/>
    </row>
    <row r="624">
      <c r="A624" t="inlineStr">
        <is>
          <t>No</t>
        </is>
      </c>
      <c r="B624" t="inlineStr"/>
      <c r="C624" t="inlineStr"/>
      <c r="D624" t="inlineStr"/>
      <c r="E624" t="inlineStr">
        <is>
          <t>Financial</t>
        </is>
      </c>
      <c r="F624" t="inlineStr">
        <is>
          <t>Cost / Finances</t>
        </is>
      </c>
      <c r="G624" t="inlineStr">
        <is>
          <t>Cost / Finances</t>
        </is>
      </c>
      <c r="H624" t="inlineStr"/>
    </row>
    <row r="625">
      <c r="A625" t="inlineStr">
        <is>
          <t>No</t>
        </is>
      </c>
      <c r="B625" t="inlineStr"/>
      <c r="C625" t="inlineStr"/>
      <c r="D625" t="inlineStr"/>
      <c r="E625" t="inlineStr"/>
      <c r="F625" t="inlineStr"/>
      <c r="G625" t="inlineStr"/>
      <c r="H625" t="inlineStr"/>
    </row>
    <row r="626">
      <c r="A626" t="inlineStr">
        <is>
          <t>Maybe</t>
        </is>
      </c>
      <c r="B626" t="inlineStr"/>
      <c r="C626" t="inlineStr"/>
      <c r="D626" t="inlineStr"/>
      <c r="E626" t="inlineStr"/>
      <c r="F626" t="inlineStr"/>
      <c r="G626" t="inlineStr"/>
      <c r="H626" t="inlineStr">
        <is>
          <t>Not sure</t>
        </is>
      </c>
    </row>
    <row r="627">
      <c r="A627" t="inlineStr">
        <is>
          <t>Maybe</t>
        </is>
      </c>
      <c r="B627" t="inlineStr"/>
      <c r="C627" t="inlineStr"/>
      <c r="D627" t="inlineStr"/>
      <c r="E627" t="inlineStr"/>
      <c r="F627" t="inlineStr"/>
      <c r="G627" t="inlineStr"/>
      <c r="H627" t="inlineStr"/>
    </row>
    <row r="628">
      <c r="A628" t="inlineStr">
        <is>
          <t>No</t>
        </is>
      </c>
      <c r="B628" t="inlineStr"/>
      <c r="C628" t="inlineStr"/>
      <c r="D628" t="inlineStr"/>
      <c r="E628" t="inlineStr">
        <is>
          <t>I would have loved to go but my brother in law wanted to go with my daughter</t>
        </is>
      </c>
      <c r="F628" t="inlineStr">
        <is>
          <t>Another Family Member Going Instead</t>
        </is>
      </c>
      <c r="G628" t="inlineStr">
        <is>
          <t>Another Family Member Going Instead</t>
        </is>
      </c>
      <c r="H628" t="inlineStr"/>
    </row>
    <row r="629">
      <c r="A629" t="inlineStr">
        <is>
          <t>Yes</t>
        </is>
      </c>
      <c r="B629" t="inlineStr">
        <is>
          <t>My builder.</t>
        </is>
      </c>
      <c r="C629" t="inlineStr">
        <is>
          <t>Family Member Was the Reason (No Elaboration)</t>
        </is>
      </c>
      <c r="D629" t="inlineStr">
        <is>
          <t>Family Member Was the Reason (No Elaboration)</t>
        </is>
      </c>
      <c r="E629" t="inlineStr"/>
      <c r="F629" t="inlineStr"/>
      <c r="G629" t="inlineStr"/>
      <c r="H629" t="inlineStr"/>
    </row>
    <row r="630">
      <c r="A630" t="inlineStr">
        <is>
          <t>Yes</t>
        </is>
      </c>
      <c r="B630" t="inlineStr">
        <is>
          <t>Time with my child</t>
        </is>
      </c>
      <c r="C630" t="inlineStr">
        <is>
          <t>Wanted Shared Experience with Child</t>
        </is>
      </c>
      <c r="D630" t="inlineStr">
        <is>
          <t>Wanted Shared Experience with Child</t>
        </is>
      </c>
      <c r="E630" t="inlineStr"/>
      <c r="F630" t="inlineStr"/>
      <c r="G630" t="inlineStr"/>
      <c r="H630" t="inlineStr"/>
    </row>
    <row r="631">
      <c r="A631" t="inlineStr">
        <is>
          <t>Yes</t>
        </is>
      </c>
      <c r="B631" t="inlineStr">
        <is>
          <t>Wanted a meaningful experience serving with my son</t>
        </is>
      </c>
      <c r="C631" t="inlineStr">
        <is>
          <t>Wanted Shared Experience with Child</t>
        </is>
      </c>
      <c r="D631" t="inlineStr">
        <is>
          <t>Wanted Shared Experience with Child</t>
        </is>
      </c>
      <c r="E631" t="inlineStr"/>
      <c r="F631" t="inlineStr"/>
      <c r="G631" t="inlineStr"/>
      <c r="H631" t="inlineStr"/>
    </row>
    <row r="632">
      <c r="A632" t="inlineStr">
        <is>
          <t>No</t>
        </is>
      </c>
      <c r="B632" t="inlineStr"/>
      <c r="C632" t="inlineStr"/>
      <c r="D632" t="inlineStr"/>
      <c r="E632" t="inlineStr">
        <is>
          <t>I want my son to have an experience without me to grow.</t>
        </is>
      </c>
      <c r="F632" t="inlineStr">
        <is>
          <t>Wants Child to Have Independent Experience</t>
        </is>
      </c>
      <c r="G632" t="inlineStr">
        <is>
          <t>Wants Child to Have Independent Experience</t>
        </is>
      </c>
      <c r="H632" t="inlineStr"/>
    </row>
    <row r="633">
      <c r="A633" t="inlineStr">
        <is>
          <t>Maybe</t>
        </is>
      </c>
      <c r="B633" t="inlineStr"/>
      <c r="C633" t="inlineStr"/>
      <c r="D633" t="inlineStr"/>
      <c r="E633" t="inlineStr"/>
      <c r="F633" t="inlineStr"/>
      <c r="G633" t="inlineStr"/>
      <c r="H633" t="inlineStr">
        <is>
          <t>My kids grew out of the age range for builders</t>
        </is>
      </c>
    </row>
    <row r="634">
      <c r="A634" t="inlineStr">
        <is>
          <t>No</t>
        </is>
      </c>
      <c r="B634" t="inlineStr"/>
      <c r="C634" t="inlineStr"/>
      <c r="D634" t="inlineStr"/>
      <c r="E634" t="inlineStr">
        <is>
          <t>I have been twice as a parent builder. My husband called "dibs" for this trip.</t>
        </is>
      </c>
      <c r="F634" t="inlineStr">
        <is>
          <t>Another Family Member Going Instead</t>
        </is>
      </c>
      <c r="G634" t="inlineStr">
        <is>
          <t>Another Family Member Going Instead</t>
        </is>
      </c>
      <c r="H634" t="inlineStr"/>
    </row>
    <row r="635">
      <c r="A635" t="inlineStr">
        <is>
          <t>No</t>
        </is>
      </c>
      <c r="B635" t="inlineStr"/>
      <c r="C635" t="inlineStr"/>
      <c r="D635" t="inlineStr"/>
      <c r="E635" t="inlineStr">
        <is>
          <t>Kids at home</t>
        </is>
      </c>
      <c r="F635" t="inlineStr">
        <is>
          <t>Other Kids / Family at Home</t>
        </is>
      </c>
      <c r="G635" t="inlineStr">
        <is>
          <t>Other Kids / Family at Home</t>
        </is>
      </c>
      <c r="H635" t="inlineStr"/>
    </row>
    <row r="636">
      <c r="A636" t="inlineStr">
        <is>
          <t>No</t>
        </is>
      </c>
      <c r="B636" t="inlineStr"/>
      <c r="C636" t="inlineStr"/>
      <c r="D636" t="inlineStr"/>
      <c r="E636" t="inlineStr"/>
      <c r="F636" t="inlineStr"/>
      <c r="G636" t="inlineStr"/>
      <c r="H636" t="inlineStr"/>
    </row>
    <row r="637">
      <c r="A637" t="inlineStr">
        <is>
          <t>No</t>
        </is>
      </c>
      <c r="B637" t="inlineStr"/>
      <c r="C637" t="inlineStr"/>
      <c r="D637" t="inlineStr"/>
      <c r="E637" t="inlineStr">
        <is>
          <t>Small kids at home I can't leave</t>
        </is>
      </c>
      <c r="F637" t="inlineStr">
        <is>
          <t>Other Kids / Family at Home</t>
        </is>
      </c>
      <c r="G637" t="inlineStr">
        <is>
          <t>Other Kids / Family at Home</t>
        </is>
      </c>
      <c r="H637" t="inlineStr"/>
    </row>
    <row r="638">
      <c r="A638" t="inlineStr">
        <is>
          <t>No</t>
        </is>
      </c>
      <c r="B638" t="inlineStr"/>
      <c r="C638" t="inlineStr"/>
      <c r="D638" t="inlineStr"/>
      <c r="E638" t="inlineStr">
        <is>
          <t>What her to have independence</t>
        </is>
      </c>
      <c r="F638" t="inlineStr">
        <is>
          <t>Wants Child to Have Independent Experience</t>
        </is>
      </c>
      <c r="G638" t="inlineStr">
        <is>
          <t>Wants Child to Have Independent Experience</t>
        </is>
      </c>
      <c r="H638" t="inlineStr"/>
    </row>
    <row r="639">
      <c r="A639" t="inlineStr">
        <is>
          <t>No</t>
        </is>
      </c>
      <c r="B639" t="inlineStr"/>
      <c r="C639" t="inlineStr"/>
      <c r="D639" t="inlineStr"/>
      <c r="E639" t="inlineStr">
        <is>
          <t>I have younger kids at home that I couldn't leave for that long. And work.</t>
        </is>
      </c>
      <c r="F639" t="inlineStr">
        <is>
          <t>Work Schedule / Time Off</t>
        </is>
      </c>
      <c r="G639" t="inlineStr">
        <is>
          <t>Work Schedule / Time Off; Other Kids / Family at Home</t>
        </is>
      </c>
      <c r="H639" t="inlineStr"/>
    </row>
    <row r="640">
      <c r="A640" t="inlineStr">
        <is>
          <t>No</t>
        </is>
      </c>
      <c r="B640" t="inlineStr"/>
      <c r="C640" t="inlineStr"/>
      <c r="D640" t="inlineStr"/>
      <c r="E640" t="inlineStr">
        <is>
          <t>I wanted my daughter to have this experience on her own.</t>
        </is>
      </c>
      <c r="F640" t="inlineStr">
        <is>
          <t>Wants Child to Have Independent Experience</t>
        </is>
      </c>
      <c r="G640" t="inlineStr">
        <is>
          <t>Wants Child to Have Independent Experience</t>
        </is>
      </c>
      <c r="H640" t="inlineStr"/>
    </row>
    <row r="641">
      <c r="A641" t="inlineStr">
        <is>
          <t>No</t>
        </is>
      </c>
      <c r="B641" t="inlineStr"/>
      <c r="C641" t="inlineStr"/>
      <c r="D641" t="inlineStr"/>
      <c r="E641" t="inlineStr">
        <is>
          <t>Our daughter asked to go on this trip alone without depending on us otherwise I for sure would have gone</t>
        </is>
      </c>
      <c r="F641" t="inlineStr">
        <is>
          <t>Wants Child to Have Independent Experience</t>
        </is>
      </c>
      <c r="G641" t="inlineStr">
        <is>
          <t>Wants Child to Have Independent Experience</t>
        </is>
      </c>
      <c r="H641" t="inlineStr"/>
    </row>
    <row r="642">
      <c r="A642" t="inlineStr">
        <is>
          <t>No</t>
        </is>
      </c>
      <c r="B642" t="inlineStr"/>
      <c r="C642" t="inlineStr"/>
      <c r="D642" t="inlineStr"/>
      <c r="E642" t="inlineStr">
        <is>
          <t>I don't have time plus the expenses</t>
        </is>
      </c>
      <c r="F642" t="inlineStr">
        <is>
          <t>Work Schedule / Time Off</t>
        </is>
      </c>
      <c r="G642" t="inlineStr">
        <is>
          <t>Work Schedule / Time Off</t>
        </is>
      </c>
      <c r="H642" t="inlineStr"/>
    </row>
    <row r="643">
      <c r="A643" t="inlineStr">
        <is>
          <t>No</t>
        </is>
      </c>
      <c r="B643" t="inlineStr"/>
      <c r="C643" t="inlineStr"/>
      <c r="D643" t="inlineStr"/>
      <c r="E643" t="inlineStr">
        <is>
          <t>I want my child to have this experience away from home on his own in preparation for college/mission</t>
        </is>
      </c>
      <c r="F643" t="inlineStr">
        <is>
          <t>Other Kids / Family at Home</t>
        </is>
      </c>
      <c r="G643" t="inlineStr">
        <is>
          <t>Other Kids / Family at Home; Wants Child to Have Independent Experience; Other Life Commitment</t>
        </is>
      </c>
      <c r="H643" t="inlineStr"/>
    </row>
    <row r="644">
      <c r="A644" t="inlineStr">
        <is>
          <t>No</t>
        </is>
      </c>
      <c r="B644" t="inlineStr"/>
      <c r="C644" t="inlineStr"/>
      <c r="D644" t="inlineStr"/>
      <c r="E644" t="inlineStr"/>
      <c r="F644" t="inlineStr"/>
      <c r="G644" t="inlineStr"/>
      <c r="H644" t="inlineStr"/>
    </row>
    <row r="645">
      <c r="A645" t="inlineStr">
        <is>
          <t>Yes</t>
        </is>
      </c>
      <c r="B645" t="inlineStr">
        <is>
          <t>Time with my kid</t>
        </is>
      </c>
      <c r="C645" t="inlineStr">
        <is>
          <t>Wanted Shared Experience with Child</t>
        </is>
      </c>
      <c r="D645" t="inlineStr">
        <is>
          <t>Wanted Shared Experience with Child</t>
        </is>
      </c>
      <c r="E645" t="inlineStr"/>
      <c r="F645" t="inlineStr"/>
      <c r="G645" t="inlineStr"/>
      <c r="H645" t="inlineStr"/>
    </row>
    <row r="646">
      <c r="A646" t="inlineStr">
        <is>
          <t>No</t>
        </is>
      </c>
      <c r="B646" t="inlineStr"/>
      <c r="C646" t="inlineStr"/>
      <c r="D646" t="inlineStr"/>
      <c r="E646" t="inlineStr">
        <is>
          <t>Time off.</t>
        </is>
      </c>
      <c r="F646" t="inlineStr">
        <is>
          <t>Work Schedule / Time Off</t>
        </is>
      </c>
      <c r="G646" t="inlineStr">
        <is>
          <t>Work Schedule / Time Off</t>
        </is>
      </c>
      <c r="H646" t="inlineStr"/>
    </row>
    <row r="647">
      <c r="A647" t="inlineStr">
        <is>
          <t>No</t>
        </is>
      </c>
      <c r="B647" t="inlineStr"/>
      <c r="C647" t="inlineStr"/>
      <c r="D647" t="inlineStr"/>
      <c r="E647" t="inlineStr">
        <is>
          <t>Cost, availability</t>
        </is>
      </c>
      <c r="F647" t="inlineStr">
        <is>
          <t>Cost / Finances</t>
        </is>
      </c>
      <c r="G647" t="inlineStr">
        <is>
          <t>Cost / Finances; Work Schedule / Time Off</t>
        </is>
      </c>
      <c r="H647" t="inlineStr"/>
    </row>
    <row r="648">
      <c r="A648" t="inlineStr">
        <is>
          <t>No</t>
        </is>
      </c>
      <c r="B648" t="inlineStr"/>
      <c r="C648" t="inlineStr"/>
      <c r="D648" t="inlineStr"/>
      <c r="E648" t="inlineStr"/>
      <c r="F648" t="inlineStr"/>
      <c r="G648" t="inlineStr"/>
      <c r="H648" t="inlineStr"/>
    </row>
    <row r="649">
      <c r="A649" t="inlineStr">
        <is>
          <t>No</t>
        </is>
      </c>
      <c r="B649" t="inlineStr"/>
      <c r="C649" t="inlineStr"/>
      <c r="D649" t="inlineStr"/>
      <c r="E649" t="inlineStr">
        <is>
          <t>Mostly, because she would lean on me too much if I was there. Plus I have other responsibilities at home.</t>
        </is>
      </c>
      <c r="F649" t="inlineStr">
        <is>
          <t>Work Schedule / Time Off</t>
        </is>
      </c>
      <c r="G649" t="inlineStr">
        <is>
          <t>Work Schedule / Time Off</t>
        </is>
      </c>
      <c r="H649" t="inlineStr"/>
    </row>
    <row r="650">
      <c r="A650" t="inlineStr">
        <is>
          <t>No</t>
        </is>
      </c>
      <c r="B650" t="inlineStr"/>
      <c r="C650" t="inlineStr"/>
      <c r="D650" t="inlineStr"/>
      <c r="E650" t="inlineStr">
        <is>
          <t>Cost and time away from work.</t>
        </is>
      </c>
      <c r="F650" t="inlineStr">
        <is>
          <t>Cost / Finances</t>
        </is>
      </c>
      <c r="G650" t="inlineStr">
        <is>
          <t>Cost / Finances; Work Schedule / Time Off</t>
        </is>
      </c>
      <c r="H650" t="inlineStr"/>
    </row>
    <row r="651">
      <c r="A651" t="inlineStr">
        <is>
          <t>No</t>
        </is>
      </c>
      <c r="B651" t="inlineStr"/>
      <c r="C651" t="inlineStr"/>
      <c r="D651" t="inlineStr"/>
      <c r="E651" t="inlineStr">
        <is>
          <t>Amount of time I would need to take off work and physical limitations</t>
        </is>
      </c>
      <c r="F651" t="inlineStr">
        <is>
          <t>Work Schedule / Time Off</t>
        </is>
      </c>
      <c r="G651" t="inlineStr">
        <is>
          <t>Work Schedule / Time Off; Health / Physical / Age</t>
        </is>
      </c>
      <c r="H651" t="inlineStr"/>
    </row>
    <row r="652">
      <c r="A652" t="inlineStr">
        <is>
          <t>No</t>
        </is>
      </c>
      <c r="B652" t="inlineStr"/>
      <c r="C652" t="inlineStr"/>
      <c r="D652" t="inlineStr"/>
      <c r="E652" t="inlineStr">
        <is>
          <t>Other commitments</t>
        </is>
      </c>
      <c r="F652" t="inlineStr">
        <is>
          <t>Work Schedule / Time Off</t>
        </is>
      </c>
      <c r="G652" t="inlineStr">
        <is>
          <t>Work Schedule / Time Off</t>
        </is>
      </c>
      <c r="H652" t="inlineStr"/>
    </row>
    <row r="653">
      <c r="A653" t="inlineStr">
        <is>
          <t>No</t>
        </is>
      </c>
      <c r="B653" t="inlineStr"/>
      <c r="C653" t="inlineStr"/>
      <c r="D653" t="inlineStr"/>
      <c r="E653" t="inlineStr">
        <is>
          <t>I want my child to have an independent experience without a parent there.</t>
        </is>
      </c>
      <c r="F653" t="inlineStr">
        <is>
          <t>Wants Child to Have Independent Experience</t>
        </is>
      </c>
      <c r="G653" t="inlineStr">
        <is>
          <t>Wants Child to Have Independent Experience</t>
        </is>
      </c>
      <c r="H653" t="inlineStr"/>
    </row>
    <row r="654">
      <c r="A654" t="inlineStr">
        <is>
          <t>No</t>
        </is>
      </c>
      <c r="B654" t="inlineStr"/>
      <c r="C654" t="inlineStr"/>
      <c r="D654" t="inlineStr"/>
      <c r="E654" t="inlineStr">
        <is>
          <t>Time</t>
        </is>
      </c>
      <c r="F654" t="inlineStr">
        <is>
          <t>Work Schedule / Time Off</t>
        </is>
      </c>
      <c r="G654" t="inlineStr">
        <is>
          <t>Work Schedule / Time Off</t>
        </is>
      </c>
      <c r="H654" t="inlineStr"/>
    </row>
    <row r="655">
      <c r="A655" t="inlineStr">
        <is>
          <t>No</t>
        </is>
      </c>
      <c r="B655" t="inlineStr"/>
      <c r="C655" t="inlineStr"/>
      <c r="D655" t="inlineStr"/>
      <c r="E655" t="inlineStr">
        <is>
          <t>She tends to lean on me when I'm present. She is excited to do it alone.</t>
        </is>
      </c>
      <c r="F655" t="inlineStr">
        <is>
          <t>Wants Child to Have Independent Experience</t>
        </is>
      </c>
      <c r="G655" t="inlineStr">
        <is>
          <t>Wants Child to Have Independent Experience</t>
        </is>
      </c>
      <c r="H655" t="inlineStr"/>
    </row>
    <row r="656">
      <c r="A656" t="inlineStr">
        <is>
          <t>No</t>
        </is>
      </c>
      <c r="B656" t="inlineStr"/>
      <c r="C656" t="inlineStr"/>
      <c r="D656" t="inlineStr"/>
      <c r="E656" t="inlineStr">
        <is>
          <t>I was unavailable and it's expensive to pay for 2 trips</t>
        </is>
      </c>
      <c r="F656" t="inlineStr">
        <is>
          <t>Cost / Finances</t>
        </is>
      </c>
      <c r="G656" t="inlineStr">
        <is>
          <t>Cost / Finances; Work Schedule / Time Off</t>
        </is>
      </c>
      <c r="H656" t="inlineStr"/>
    </row>
    <row r="657">
      <c r="A657" t="inlineStr">
        <is>
          <t>No</t>
        </is>
      </c>
      <c r="B657" t="inlineStr"/>
      <c r="C657" t="inlineStr"/>
      <c r="D657" t="inlineStr"/>
      <c r="E657" t="inlineStr">
        <is>
          <t>time away from work, plus added cost</t>
        </is>
      </c>
      <c r="F657" t="inlineStr">
        <is>
          <t>Cost / Finances</t>
        </is>
      </c>
      <c r="G657" t="inlineStr">
        <is>
          <t>Cost / Finances; Work Schedule / Time Off</t>
        </is>
      </c>
      <c r="H657" t="inlineStr"/>
    </row>
    <row r="658">
      <c r="A658" t="inlineStr">
        <is>
          <t>No</t>
        </is>
      </c>
      <c r="B658" t="inlineStr"/>
      <c r="C658" t="inlineStr"/>
      <c r="D658" t="inlineStr"/>
      <c r="E658" t="inlineStr">
        <is>
          <t>Work</t>
        </is>
      </c>
      <c r="F658" t="inlineStr">
        <is>
          <t>Work Schedule / Time Off</t>
        </is>
      </c>
      <c r="G658" t="inlineStr">
        <is>
          <t>Work Schedule / Time Off</t>
        </is>
      </c>
      <c r="H658" t="inlineStr"/>
    </row>
    <row r="659">
      <c r="A659" t="inlineStr">
        <is>
          <t>No</t>
        </is>
      </c>
      <c r="B659" t="inlineStr"/>
      <c r="C659" t="inlineStr"/>
      <c r="D659" t="inlineStr"/>
      <c r="E659" t="inlineStr">
        <is>
          <t>My daughter preferred to go on her own</t>
        </is>
      </c>
      <c r="F659" t="inlineStr">
        <is>
          <t>Wants Child to Have Independent Experience</t>
        </is>
      </c>
      <c r="G659" t="inlineStr">
        <is>
          <t>Wants Child to Have Independent Experience</t>
        </is>
      </c>
      <c r="H659" t="inlineStr"/>
    </row>
    <row r="660">
      <c r="A660" t="inlineStr">
        <is>
          <t>No</t>
        </is>
      </c>
      <c r="B660" t="inlineStr"/>
      <c r="C660" t="inlineStr"/>
      <c r="D660" t="inlineStr"/>
      <c r="E660" t="inlineStr">
        <is>
          <t>I know my daughter will do best without me there!</t>
        </is>
      </c>
      <c r="F660" t="inlineStr">
        <is>
          <t>Wants Child to Have Independent Experience</t>
        </is>
      </c>
      <c r="G660" t="inlineStr">
        <is>
          <t>Wants Child to Have Independent Experience</t>
        </is>
      </c>
      <c r="H660" t="inlineStr"/>
    </row>
    <row r="661">
      <c r="A661" t="inlineStr">
        <is>
          <t>No</t>
        </is>
      </c>
      <c r="B661" t="inlineStr"/>
      <c r="C661" t="inlineStr"/>
      <c r="D661" t="inlineStr"/>
      <c r="E661" t="inlineStr">
        <is>
          <t>I've been before and I wanted my daughter to have the experience sans parent.</t>
        </is>
      </c>
      <c r="F661" t="inlineStr">
        <is>
          <t>Wants Child to Have Independent Experience</t>
        </is>
      </c>
      <c r="G661" t="inlineStr">
        <is>
          <t>Wants Child to Have Independent Experience</t>
        </is>
      </c>
      <c r="H661" t="inlineStr"/>
    </row>
    <row r="662">
      <c r="A662" t="inlineStr">
        <is>
          <t>No</t>
        </is>
      </c>
      <c r="B662" t="inlineStr"/>
      <c r="C662" t="inlineStr"/>
      <c r="D662" t="inlineStr"/>
      <c r="E662" t="inlineStr">
        <is>
          <t>My child specifically said she wanted to go by herself</t>
        </is>
      </c>
      <c r="F662" t="inlineStr">
        <is>
          <t>Child Didn't Want Parent to Come</t>
        </is>
      </c>
      <c r="G662" t="inlineStr">
        <is>
          <t>Child Didn't Want Parent to Come</t>
        </is>
      </c>
      <c r="H662" t="inlineStr"/>
    </row>
    <row r="663">
      <c r="A663" t="inlineStr">
        <is>
          <t>No</t>
        </is>
      </c>
      <c r="B663" t="inlineStr"/>
      <c r="C663" t="inlineStr"/>
      <c r="D663" t="inlineStr"/>
      <c r="E663" t="inlineStr">
        <is>
          <t>too much time off of work, wanted to give my son his space to experience without parent along</t>
        </is>
      </c>
      <c r="F663" t="inlineStr">
        <is>
          <t>Work Schedule / Time Off</t>
        </is>
      </c>
      <c r="G663" t="inlineStr">
        <is>
          <t>Work Schedule / Time Off; Wants Child to Have Independent Experience</t>
        </is>
      </c>
      <c r="H663" t="inlineStr"/>
    </row>
    <row r="664">
      <c r="A664" t="inlineStr">
        <is>
          <t>No</t>
        </is>
      </c>
      <c r="B664" t="inlineStr"/>
      <c r="C664" t="inlineStr"/>
      <c r="D664" t="inlineStr"/>
      <c r="E664" t="inlineStr">
        <is>
          <t>My Job</t>
        </is>
      </c>
      <c r="F664" t="inlineStr">
        <is>
          <t>Work Schedule / Time Off</t>
        </is>
      </c>
      <c r="G664" t="inlineStr">
        <is>
          <t>Work Schedule / Time Off</t>
        </is>
      </c>
      <c r="H664" t="inlineStr"/>
    </row>
    <row r="665">
      <c r="A665" t="inlineStr">
        <is>
          <t>No</t>
        </is>
      </c>
      <c r="B665" t="inlineStr"/>
      <c r="C665" t="inlineStr"/>
      <c r="D665" t="inlineStr"/>
      <c r="E665" t="inlineStr">
        <is>
          <t>Cost</t>
        </is>
      </c>
      <c r="F665" t="inlineStr">
        <is>
          <t>Cost / Finances</t>
        </is>
      </c>
      <c r="G665" t="inlineStr">
        <is>
          <t>Cost / Finances</t>
        </is>
      </c>
      <c r="H665" t="inlineStr"/>
    </row>
    <row r="666">
      <c r="A666" t="inlineStr">
        <is>
          <t>Maybe</t>
        </is>
      </c>
      <c r="B666" t="inlineStr"/>
      <c r="C666" t="inlineStr"/>
      <c r="D666" t="inlineStr"/>
      <c r="E666" t="inlineStr"/>
      <c r="F666" t="inlineStr"/>
      <c r="G666" t="inlineStr"/>
      <c r="H666" t="inlineStr">
        <is>
          <t>Care for my children I leave at home. :)</t>
        </is>
      </c>
    </row>
    <row r="667">
      <c r="A667" t="inlineStr">
        <is>
          <t>No</t>
        </is>
      </c>
      <c r="B667" t="inlineStr"/>
      <c r="C667" t="inlineStr"/>
      <c r="D667" t="inlineStr"/>
      <c r="E667" t="inlineStr">
        <is>
          <t>I think my children would prefer the experience independent of a parent. Didn't want to spend the money.</t>
        </is>
      </c>
      <c r="F667" t="inlineStr">
        <is>
          <t>Cost / Finances</t>
        </is>
      </c>
      <c r="G667" t="inlineStr">
        <is>
          <t>Cost / Finances; Wants Child to Have Independent Experience</t>
        </is>
      </c>
      <c r="H667" t="inlineStr"/>
    </row>
    <row r="668">
      <c r="A668" t="inlineStr">
        <is>
          <t>No</t>
        </is>
      </c>
      <c r="B668" t="inlineStr"/>
      <c r="C668" t="inlineStr"/>
      <c r="D668" t="inlineStr"/>
      <c r="E668" t="inlineStr">
        <is>
          <t>seeing friends go</t>
        </is>
      </c>
      <c r="F668" t="inlineStr">
        <is>
          <t>Other / Uncategorized</t>
        </is>
      </c>
      <c r="G668" t="inlineStr"/>
      <c r="H668" t="inlineStr"/>
    </row>
    <row r="669">
      <c r="A669" t="inlineStr">
        <is>
          <t>No</t>
        </is>
      </c>
      <c r="B669" t="inlineStr"/>
      <c r="C669" t="inlineStr"/>
      <c r="D669" t="inlineStr"/>
      <c r="E669" t="inlineStr">
        <is>
          <t>Nothing. Did not consider it</t>
        </is>
      </c>
      <c r="F669" t="inlineStr">
        <is>
          <t>Not Aware It Was an Option</t>
        </is>
      </c>
      <c r="G669" t="inlineStr">
        <is>
          <t>Not Aware It Was an Option</t>
        </is>
      </c>
      <c r="H669" t="inlineStr"/>
    </row>
    <row r="670">
      <c r="A670" t="inlineStr">
        <is>
          <t>Maybe</t>
        </is>
      </c>
      <c r="B670" t="inlineStr"/>
      <c r="C670" t="inlineStr"/>
      <c r="D670" t="inlineStr"/>
      <c r="E670" t="inlineStr"/>
      <c r="F670" t="inlineStr"/>
      <c r="G670" t="inlineStr"/>
      <c r="H670" t="inlineStr">
        <is>
          <t>Knowing the dates you need help so I can get work off</t>
        </is>
      </c>
    </row>
    <row r="671">
      <c r="A671" t="inlineStr">
        <is>
          <t>No</t>
        </is>
      </c>
      <c r="B671" t="inlineStr"/>
      <c r="C671" t="inlineStr"/>
      <c r="D671" t="inlineStr"/>
      <c r="E671" t="inlineStr">
        <is>
          <t>My other kids went and they had a positive experience.</t>
        </is>
      </c>
      <c r="F671" t="inlineStr">
        <is>
          <t>Other Kids / Family at Home</t>
        </is>
      </c>
      <c r="G671" t="inlineStr">
        <is>
          <t>Other Kids / Family at Home; Wants Child to Have Independent Experience</t>
        </is>
      </c>
      <c r="H671" t="inlineStr"/>
    </row>
    <row r="672">
      <c r="A672" t="inlineStr">
        <is>
          <t>Yes</t>
        </is>
      </c>
      <c r="B672" t="inlineStr">
        <is>
          <t>great experiences with my other two girls. and my daughter asked me to go with her</t>
        </is>
      </c>
      <c r="C672" t="inlineStr">
        <is>
          <t>Wanted Shared Experience with Child</t>
        </is>
      </c>
      <c r="D672" t="inlineStr">
        <is>
          <t>Wanted Shared Experience with Child; Child/Spouse Asked Them to Go</t>
        </is>
      </c>
      <c r="E672" t="inlineStr"/>
      <c r="F672" t="inlineStr"/>
      <c r="G672" t="inlineStr"/>
      <c r="H672" t="inlineStr"/>
    </row>
    <row r="673">
      <c r="A673" t="inlineStr">
        <is>
          <t>No</t>
        </is>
      </c>
      <c r="B673" t="inlineStr"/>
      <c r="C673" t="inlineStr"/>
      <c r="D673" t="inlineStr"/>
      <c r="E673" t="inlineStr">
        <is>
          <t>Cost of paying for both parent and builder and I wanted my kid to have an experience without me</t>
        </is>
      </c>
      <c r="F673" t="inlineStr">
        <is>
          <t>Cost / Finances</t>
        </is>
      </c>
      <c r="G673" t="inlineStr">
        <is>
          <t>Cost / Finances; Wants Child to Have Independent Experience</t>
        </is>
      </c>
      <c r="H673" t="inlineStr"/>
    </row>
    <row r="674">
      <c r="A674" t="inlineStr">
        <is>
          <t>Maybe</t>
        </is>
      </c>
      <c r="B674" t="inlineStr"/>
      <c r="C674" t="inlineStr"/>
      <c r="D674" t="inlineStr"/>
      <c r="E674" t="inlineStr"/>
      <c r="F674" t="inlineStr"/>
      <c r="G674" t="inlineStr"/>
      <c r="H674" t="inlineStr">
        <is>
          <t>Cost</t>
        </is>
      </c>
    </row>
    <row r="675">
      <c r="A675" t="inlineStr">
        <is>
          <t>No</t>
        </is>
      </c>
      <c r="B675" t="inlineStr"/>
      <c r="C675" t="inlineStr"/>
      <c r="D675" t="inlineStr"/>
      <c r="E675" t="inlineStr">
        <is>
          <t>Want our son to have an individual experience without us there :)</t>
        </is>
      </c>
      <c r="F675" t="inlineStr">
        <is>
          <t>Wants Child to Have Independent Experience</t>
        </is>
      </c>
      <c r="G675" t="inlineStr">
        <is>
          <t>Wants Child to Have Independent Experience</t>
        </is>
      </c>
      <c r="H675" t="inlineStr"/>
    </row>
    <row r="676">
      <c r="A676" t="inlineStr">
        <is>
          <t>No</t>
        </is>
      </c>
      <c r="B676" t="inlineStr"/>
      <c r="C676" t="inlineStr"/>
      <c r="D676" t="inlineStr"/>
      <c r="E676" t="inlineStr">
        <is>
          <t>Time commitment. Child didn't want her parents to come.</t>
        </is>
      </c>
      <c r="F676" t="inlineStr">
        <is>
          <t>Work Schedule / Time Off</t>
        </is>
      </c>
      <c r="G676" t="inlineStr">
        <is>
          <t>Work Schedule / Time Off</t>
        </is>
      </c>
      <c r="H676" t="inlineStr"/>
    </row>
    <row r="677">
      <c r="A677" t="inlineStr">
        <is>
          <t>No</t>
        </is>
      </c>
      <c r="B677" t="inlineStr"/>
      <c r="C677" t="inlineStr"/>
      <c r="D677" t="inlineStr"/>
      <c r="E677" t="inlineStr">
        <is>
          <t>Money!</t>
        </is>
      </c>
      <c r="F677" t="inlineStr">
        <is>
          <t>Cost / Finances</t>
        </is>
      </c>
      <c r="G677" t="inlineStr">
        <is>
          <t>Cost / Finances</t>
        </is>
      </c>
      <c r="H677" t="inlineStr"/>
    </row>
    <row r="678">
      <c r="A678" t="inlineStr">
        <is>
          <t>No</t>
        </is>
      </c>
      <c r="B678" t="inlineStr"/>
      <c r="C678" t="inlineStr"/>
      <c r="D678" t="inlineStr"/>
      <c r="E678" t="inlineStr">
        <is>
          <t>Cost</t>
        </is>
      </c>
      <c r="F678" t="inlineStr">
        <is>
          <t>Cost / Finances</t>
        </is>
      </c>
      <c r="G678" t="inlineStr">
        <is>
          <t>Cost / Finances</t>
        </is>
      </c>
      <c r="H678" t="inlineStr"/>
    </row>
    <row r="679">
      <c r="A679" t="inlineStr">
        <is>
          <t>No</t>
        </is>
      </c>
      <c r="B679" t="inlineStr"/>
      <c r="C679" t="inlineStr"/>
      <c r="D679" t="inlineStr"/>
      <c r="E679" t="inlineStr">
        <is>
          <t>time off work, family obligations</t>
        </is>
      </c>
      <c r="F679" t="inlineStr">
        <is>
          <t>Work Schedule / Time Off</t>
        </is>
      </c>
      <c r="G679" t="inlineStr">
        <is>
          <t>Work Schedule / Time Off</t>
        </is>
      </c>
      <c r="H679" t="inlineStr"/>
    </row>
    <row r="680">
      <c r="A680" t="inlineStr">
        <is>
          <t>No</t>
        </is>
      </c>
      <c r="B680" t="inlineStr"/>
      <c r="C680" t="inlineStr"/>
      <c r="D680" t="inlineStr"/>
      <c r="E680" t="inlineStr">
        <is>
          <t>Work</t>
        </is>
      </c>
      <c r="F680" t="inlineStr">
        <is>
          <t>Work Schedule / Time Off</t>
        </is>
      </c>
      <c r="G680" t="inlineStr">
        <is>
          <t>Work Schedule / Time Off</t>
        </is>
      </c>
      <c r="H680" t="inlineStr"/>
    </row>
    <row r="681">
      <c r="A681" t="inlineStr">
        <is>
          <t>No</t>
        </is>
      </c>
      <c r="B681" t="inlineStr"/>
      <c r="C681" t="inlineStr"/>
      <c r="D681" t="inlineStr"/>
      <c r="E681" t="inlineStr">
        <is>
          <t>I really wanted to go and kind of begged my daughter. But she has never traveled alone and wanted to do this one by herself. CRYING FACE EMOJI!!</t>
        </is>
      </c>
      <c r="F681" t="inlineStr">
        <is>
          <t>Child Didn't Want Parent to Come</t>
        </is>
      </c>
      <c r="G681" t="inlineStr">
        <is>
          <t>Child Didn't Want Parent to Come; Wants Child to Have Independent Experience</t>
        </is>
      </c>
      <c r="H681" t="inlineStr"/>
    </row>
    <row r="682">
      <c r="A682" t="inlineStr">
        <is>
          <t>No</t>
        </is>
      </c>
      <c r="B682" t="inlineStr"/>
      <c r="C682" t="inlineStr"/>
      <c r="D682" t="inlineStr"/>
      <c r="E682" t="inlineStr">
        <is>
          <t>I have a 12 year old son who is staying with me at home</t>
        </is>
      </c>
      <c r="F682" t="inlineStr">
        <is>
          <t>Other Kids / Family at Home</t>
        </is>
      </c>
      <c r="G682" t="inlineStr">
        <is>
          <t>Other Kids / Family at Home</t>
        </is>
      </c>
      <c r="H682" t="inlineStr"/>
    </row>
    <row r="683">
      <c r="A683" t="inlineStr">
        <is>
          <t>No</t>
        </is>
      </c>
      <c r="B683" t="inlineStr"/>
      <c r="C683" t="inlineStr"/>
      <c r="D683" t="inlineStr"/>
      <c r="E683" t="inlineStr">
        <is>
          <t>Unavailable due to other children's schedules</t>
        </is>
      </c>
      <c r="F683" t="inlineStr">
        <is>
          <t>Work Schedule / Time Off</t>
        </is>
      </c>
      <c r="G683" t="inlineStr">
        <is>
          <t>Work Schedule / Time Off; Other Kids / Family at Home</t>
        </is>
      </c>
      <c r="H683" t="inlineStr"/>
    </row>
    <row r="684">
      <c r="A684" t="inlineStr">
        <is>
          <t>No</t>
        </is>
      </c>
      <c r="B684" t="inlineStr"/>
      <c r="C684" t="inlineStr"/>
      <c r="D684" t="inlineStr"/>
      <c r="E684" t="inlineStr">
        <is>
          <t>younger kids at home</t>
        </is>
      </c>
      <c r="F684" t="inlineStr">
        <is>
          <t>Other Kids / Family at Home</t>
        </is>
      </c>
      <c r="G684" t="inlineStr">
        <is>
          <t>Other Kids / Family at Home</t>
        </is>
      </c>
      <c r="H684" t="inlineStr"/>
    </row>
    <row r="685">
      <c r="A685" t="inlineStr">
        <is>
          <t>No</t>
        </is>
      </c>
      <c r="B685" t="inlineStr"/>
      <c r="C685" t="inlineStr"/>
      <c r="D685" t="inlineStr"/>
      <c r="E685" t="inlineStr">
        <is>
          <t>My daughter wanted to go alone so she could experience it as a mini-mission growing experience.</t>
        </is>
      </c>
      <c r="F685" t="inlineStr">
        <is>
          <t>Wants Child to Have Independent Experience</t>
        </is>
      </c>
      <c r="G685" t="inlineStr">
        <is>
          <t>Wants Child to Have Independent Experience; Other Life Commitment</t>
        </is>
      </c>
      <c r="H685" t="inlineStr"/>
    </row>
    <row r="686">
      <c r="A686" t="inlineStr">
        <is>
          <t>Maybe</t>
        </is>
      </c>
      <c r="B686" t="inlineStr"/>
      <c r="C686" t="inlineStr"/>
      <c r="D686" t="inlineStr"/>
      <c r="E686" t="inlineStr"/>
      <c r="F686" t="inlineStr"/>
      <c r="G686" t="inlineStr"/>
      <c r="H686" t="inlineStr">
        <is>
          <t>Funds and next child's desire to go</t>
        </is>
      </c>
    </row>
    <row r="687">
      <c r="A687" t="inlineStr">
        <is>
          <t>No</t>
        </is>
      </c>
      <c r="B687" t="inlineStr"/>
      <c r="C687" t="inlineStr"/>
      <c r="D687" t="inlineStr"/>
      <c r="E687" t="inlineStr">
        <is>
          <t>Funds</t>
        </is>
      </c>
      <c r="F687" t="inlineStr">
        <is>
          <t>Cost / Finances</t>
        </is>
      </c>
      <c r="G687" t="inlineStr">
        <is>
          <t>Cost / Finances</t>
        </is>
      </c>
      <c r="H687" t="inlineStr"/>
    </row>
    <row r="688">
      <c r="A688" t="inlineStr">
        <is>
          <t>No</t>
        </is>
      </c>
      <c r="B688" t="inlineStr"/>
      <c r="C688" t="inlineStr"/>
      <c r="D688" t="inlineStr"/>
      <c r="E688" t="inlineStr">
        <is>
          <t>Time and Cost</t>
        </is>
      </c>
      <c r="F688" t="inlineStr">
        <is>
          <t>Cost / Finances</t>
        </is>
      </c>
      <c r="G688" t="inlineStr">
        <is>
          <t>Cost / Finances; Work Schedule / Time Off</t>
        </is>
      </c>
      <c r="H688" t="inlineStr"/>
    </row>
    <row r="689">
      <c r="A689" t="inlineStr">
        <is>
          <t>No</t>
        </is>
      </c>
      <c r="B689" t="inlineStr"/>
      <c r="C689" t="inlineStr"/>
      <c r="D689" t="inlineStr"/>
      <c r="E689" t="inlineStr">
        <is>
          <t>Other children at home.</t>
        </is>
      </c>
      <c r="F689" t="inlineStr">
        <is>
          <t>Other Kids / Family at Home</t>
        </is>
      </c>
      <c r="G689" t="inlineStr">
        <is>
          <t>Other Kids / Family at Home</t>
        </is>
      </c>
      <c r="H689" t="inlineStr"/>
    </row>
    <row r="690">
      <c r="A690" t="inlineStr">
        <is>
          <t>No</t>
        </is>
      </c>
      <c r="B690" t="inlineStr"/>
      <c r="C690" t="inlineStr"/>
      <c r="D690" t="inlineStr"/>
      <c r="E690" t="inlineStr">
        <is>
          <t>money, could only afford to send my kid.</t>
        </is>
      </c>
      <c r="F690" t="inlineStr">
        <is>
          <t>Cost / Finances</t>
        </is>
      </c>
      <c r="G690" t="inlineStr">
        <is>
          <t>Cost / Finances</t>
        </is>
      </c>
      <c r="H690" t="inlineStr"/>
    </row>
    <row r="691">
      <c r="A691" t="inlineStr">
        <is>
          <t>No</t>
        </is>
      </c>
      <c r="B691" t="inlineStr"/>
      <c r="C691" t="inlineStr"/>
      <c r="D691" t="inlineStr"/>
      <c r="E691" t="inlineStr">
        <is>
          <t>Younger kids at home that need me</t>
        </is>
      </c>
      <c r="F691" t="inlineStr">
        <is>
          <t>Other Kids / Family at Home</t>
        </is>
      </c>
      <c r="G691" t="inlineStr">
        <is>
          <t>Other Kids / Family at Home</t>
        </is>
      </c>
      <c r="H691" t="inlineStr"/>
    </row>
    <row r="692">
      <c r="A692" t="inlineStr">
        <is>
          <t>No</t>
        </is>
      </c>
      <c r="B692" t="inlineStr"/>
      <c r="C692" t="inlineStr"/>
      <c r="D692" t="inlineStr"/>
      <c r="E692" t="inlineStr">
        <is>
          <t>It's a good experience for my son without me there</t>
        </is>
      </c>
      <c r="F692" t="inlineStr">
        <is>
          <t>Wants Child to Have Independent Experience</t>
        </is>
      </c>
      <c r="G692" t="inlineStr">
        <is>
          <t>Wants Child to Have Independent Experience</t>
        </is>
      </c>
      <c r="H692" t="inlineStr"/>
    </row>
    <row r="693">
      <c r="A693" t="inlineStr">
        <is>
          <t>No</t>
        </is>
      </c>
      <c r="B693" t="inlineStr"/>
      <c r="C693" t="inlineStr"/>
      <c r="D693" t="inlineStr"/>
      <c r="E693" t="inlineStr">
        <is>
          <t>I don't have time and didn't want to pay for myself.</t>
        </is>
      </c>
      <c r="F693" t="inlineStr">
        <is>
          <t>Work Schedule / Time Off</t>
        </is>
      </c>
      <c r="G693" t="inlineStr">
        <is>
          <t>Work Schedule / Time Off</t>
        </is>
      </c>
      <c r="H693" t="inlineStr"/>
    </row>
    <row r="694">
      <c r="A694" t="inlineStr">
        <is>
          <t>No</t>
        </is>
      </c>
      <c r="B694" t="inlineStr"/>
      <c r="C694" t="inlineStr"/>
      <c r="D694" t="inlineStr"/>
      <c r="E694" t="inlineStr">
        <is>
          <t>Time</t>
        </is>
      </c>
      <c r="F694" t="inlineStr">
        <is>
          <t>Work Schedule / Time Off</t>
        </is>
      </c>
      <c r="G694" t="inlineStr">
        <is>
          <t>Work Schedule / Time Off</t>
        </is>
      </c>
      <c r="H694" t="inlineStr"/>
    </row>
    <row r="695">
      <c r="A695" t="inlineStr">
        <is>
          <t>No</t>
        </is>
      </c>
      <c r="B695" t="inlineStr"/>
      <c r="C695" t="inlineStr"/>
      <c r="D695" t="inlineStr"/>
      <c r="E695" t="inlineStr">
        <is>
          <t>My son doesn't want me to</t>
        </is>
      </c>
      <c r="F695" t="inlineStr">
        <is>
          <t>Child Didn't Want Parent to Come</t>
        </is>
      </c>
      <c r="G695" t="inlineStr">
        <is>
          <t>Child Didn't Want Parent to Come</t>
        </is>
      </c>
      <c r="H695" t="inlineStr"/>
    </row>
    <row r="696">
      <c r="A696" t="inlineStr">
        <is>
          <t>No</t>
        </is>
      </c>
      <c r="B696" t="inlineStr"/>
      <c r="C696" t="inlineStr"/>
      <c r="D696" t="inlineStr"/>
      <c r="E696" t="inlineStr">
        <is>
          <t>Child care</t>
        </is>
      </c>
      <c r="F696" t="inlineStr">
        <is>
          <t>Other Kids / Family at Home</t>
        </is>
      </c>
      <c r="G696" t="inlineStr">
        <is>
          <t>Other Kids / Family at Home</t>
        </is>
      </c>
      <c r="H696" t="inlineStr"/>
    </row>
    <row r="697">
      <c r="A697" t="inlineStr">
        <is>
          <t>Yes</t>
        </is>
      </c>
      <c r="B697" t="inlineStr">
        <is>
          <t>Spending time with my child</t>
        </is>
      </c>
      <c r="C697" t="inlineStr">
        <is>
          <t>Wanted Shared Experience with Child</t>
        </is>
      </c>
      <c r="D697" t="inlineStr">
        <is>
          <t>Wanted Shared Experience with Child</t>
        </is>
      </c>
      <c r="E697" t="inlineStr"/>
      <c r="F697" t="inlineStr"/>
      <c r="G697" t="inlineStr"/>
      <c r="H697" t="inlineStr"/>
    </row>
    <row r="698">
      <c r="A698" t="inlineStr">
        <is>
          <t>Yes</t>
        </is>
      </c>
      <c r="B698" t="inlineStr">
        <is>
          <t>We've gone previously and have had a great experience with it.</t>
        </is>
      </c>
      <c r="C698" t="inlineStr">
        <is>
          <t>Wanted Shared Experience with Child</t>
        </is>
      </c>
      <c r="D698" t="inlineStr">
        <is>
          <t>Wanted Shared Experience with Child; Previous Positive Experience</t>
        </is>
      </c>
      <c r="E698" t="inlineStr"/>
      <c r="F698" t="inlineStr"/>
      <c r="G698" t="inlineStr"/>
      <c r="H698" t="inlineStr"/>
    </row>
    <row r="699">
      <c r="A699" t="inlineStr">
        <is>
          <t>No</t>
        </is>
      </c>
      <c r="B699" t="inlineStr"/>
      <c r="C699" t="inlineStr"/>
      <c r="D699" t="inlineStr"/>
      <c r="E699" t="inlineStr">
        <is>
          <t>I have other children to care for, but plan to go next year!</t>
        </is>
      </c>
      <c r="F699" t="inlineStr">
        <is>
          <t>Other Kids / Family at Home</t>
        </is>
      </c>
      <c r="G699" t="inlineStr">
        <is>
          <t>Other Kids / Family at Home</t>
        </is>
      </c>
      <c r="H699" t="inlineStr"/>
    </row>
    <row r="700">
      <c r="A700" t="inlineStr">
        <is>
          <t>No</t>
        </is>
      </c>
      <c r="B700" t="inlineStr"/>
      <c r="C700" t="inlineStr"/>
      <c r="D700" t="inlineStr"/>
      <c r="E700" t="inlineStr">
        <is>
          <t>She's a mommas girl so I decided it would be better for her to experience it on her own, if for sure go with my son in a few years though</t>
        </is>
      </c>
      <c r="F700" t="inlineStr">
        <is>
          <t>Wants Child to Have Independent Experience</t>
        </is>
      </c>
      <c r="G700" t="inlineStr">
        <is>
          <t>Wants Child to Have Independent Experience</t>
        </is>
      </c>
      <c r="H700" t="inlineStr"/>
    </row>
    <row r="701">
      <c r="A701" t="inlineStr">
        <is>
          <t>No</t>
        </is>
      </c>
      <c r="B701" t="inlineStr"/>
      <c r="C701" t="inlineStr"/>
      <c r="D701" t="inlineStr"/>
      <c r="E701" t="inlineStr">
        <is>
          <t>My daughter/builder wanted this experience on her own.</t>
        </is>
      </c>
      <c r="F701" t="inlineStr">
        <is>
          <t>Wants Child to Have Independent Experience</t>
        </is>
      </c>
      <c r="G701" t="inlineStr">
        <is>
          <t>Wants Child to Have Independent Experience</t>
        </is>
      </c>
      <c r="H701" t="inlineStr"/>
    </row>
    <row r="702">
      <c r="A702" t="inlineStr">
        <is>
          <t>No</t>
        </is>
      </c>
      <c r="B702" t="inlineStr"/>
      <c r="C702" t="inlineStr"/>
      <c r="D702" t="inlineStr"/>
      <c r="E702" t="inlineStr">
        <is>
          <t>cost</t>
        </is>
      </c>
      <c r="F702" t="inlineStr">
        <is>
          <t>Cost / Finances</t>
        </is>
      </c>
      <c r="G702" t="inlineStr">
        <is>
          <t>Cost / Finances</t>
        </is>
      </c>
      <c r="H702" t="inlineStr"/>
    </row>
    <row r="703">
      <c r="A703" t="inlineStr">
        <is>
          <t>No</t>
        </is>
      </c>
      <c r="B703" t="inlineStr"/>
      <c r="C703" t="inlineStr"/>
      <c r="D703" t="inlineStr"/>
      <c r="E703" t="inlineStr">
        <is>
          <t>Money</t>
        </is>
      </c>
      <c r="F703" t="inlineStr">
        <is>
          <t>Cost / Finances</t>
        </is>
      </c>
      <c r="G703" t="inlineStr">
        <is>
          <t>Cost / Finances</t>
        </is>
      </c>
      <c r="H703" t="inlineStr"/>
    </row>
    <row r="704">
      <c r="A704" t="inlineStr">
        <is>
          <t>No</t>
        </is>
      </c>
      <c r="B704" t="inlineStr"/>
      <c r="C704" t="inlineStr"/>
      <c r="D704" t="inlineStr"/>
      <c r="E704" t="inlineStr">
        <is>
          <t>Wanted my son to have his own experience. although I'd love to go as a parent builder with a different group</t>
        </is>
      </c>
      <c r="F704" t="inlineStr">
        <is>
          <t>Wants Child to Have Independent Experience</t>
        </is>
      </c>
      <c r="G704" t="inlineStr">
        <is>
          <t>Wants Child to Have Independent Experience</t>
        </is>
      </c>
      <c r="H704" t="inlineStr"/>
    </row>
    <row r="705">
      <c r="A705" t="inlineStr">
        <is>
          <t>No</t>
        </is>
      </c>
      <c r="B705" t="inlineStr"/>
      <c r="C705" t="inlineStr"/>
      <c r="D705" t="inlineStr"/>
      <c r="E705" t="inlineStr">
        <is>
          <t>Time away from other kids and cost of trip</t>
        </is>
      </c>
      <c r="F705" t="inlineStr">
        <is>
          <t>Cost / Finances</t>
        </is>
      </c>
      <c r="G705" t="inlineStr">
        <is>
          <t>Cost / Finances; Work Schedule / Time Off; Other Kids / Family at Home</t>
        </is>
      </c>
      <c r="H705" t="inlineStr"/>
    </row>
    <row r="706">
      <c r="A706" t="inlineStr">
        <is>
          <t>No</t>
        </is>
      </c>
      <c r="B706" t="inlineStr"/>
      <c r="C706" t="inlineStr"/>
      <c r="D706" t="inlineStr"/>
      <c r="E706" t="inlineStr">
        <is>
          <t>Not in the budget right now.</t>
        </is>
      </c>
      <c r="F706" t="inlineStr">
        <is>
          <t>Cost / Finances</t>
        </is>
      </c>
      <c r="G706" t="inlineStr">
        <is>
          <t>Cost / Finances</t>
        </is>
      </c>
      <c r="H706" t="inlineStr"/>
    </row>
    <row r="707">
      <c r="A707" t="inlineStr">
        <is>
          <t>No</t>
        </is>
      </c>
      <c r="B707" t="inlineStr"/>
      <c r="C707" t="inlineStr"/>
      <c r="D707" t="inlineStr"/>
      <c r="E707" t="inlineStr">
        <is>
          <t>I'm not comfortable in positions like that</t>
        </is>
      </c>
      <c r="F707" t="inlineStr">
        <is>
          <t>Not a Traveler / Personal Preference</t>
        </is>
      </c>
      <c r="G707" t="inlineStr">
        <is>
          <t>Not a Traveler / Personal Preference</t>
        </is>
      </c>
      <c r="H707" t="inlineStr"/>
    </row>
    <row r="708">
      <c r="A708" t="inlineStr">
        <is>
          <t>Yes</t>
        </is>
      </c>
      <c r="B708" t="inlineStr">
        <is>
          <t>We've tried to do something like this with our older 3 kids and I wanted to go to this with Addie.</t>
        </is>
      </c>
      <c r="C708" t="inlineStr">
        <is>
          <t>Other / Uncategorized</t>
        </is>
      </c>
      <c r="D708" t="inlineStr"/>
      <c r="E708" t="inlineStr"/>
      <c r="F708" t="inlineStr"/>
      <c r="G708" t="inlineStr"/>
      <c r="H708" t="inlineStr"/>
    </row>
    <row r="709">
      <c r="A709" t="inlineStr">
        <is>
          <t>No</t>
        </is>
      </c>
      <c r="B709" t="inlineStr"/>
      <c r="C709" t="inlineStr"/>
      <c r="D709" t="inlineStr"/>
      <c r="E709" t="inlineStr">
        <is>
          <t>The cost.</t>
        </is>
      </c>
      <c r="F709" t="inlineStr">
        <is>
          <t>Cost / Finances</t>
        </is>
      </c>
      <c r="G709" t="inlineStr">
        <is>
          <t>Cost / Finances</t>
        </is>
      </c>
      <c r="H709" t="inlineStr"/>
    </row>
    <row r="710">
      <c r="A710" t="inlineStr">
        <is>
          <t>No</t>
        </is>
      </c>
      <c r="B710" t="inlineStr"/>
      <c r="C710" t="inlineStr"/>
      <c r="D710" t="inlineStr"/>
      <c r="E710" t="inlineStr">
        <is>
          <t>My son will open up more when I'm not there.</t>
        </is>
      </c>
      <c r="F710" t="inlineStr">
        <is>
          <t>Wants Child to Have Independent Experience</t>
        </is>
      </c>
      <c r="G710" t="inlineStr">
        <is>
          <t>Wants Child to Have Independent Experience</t>
        </is>
      </c>
      <c r="H710" t="inlineStr"/>
    </row>
    <row r="711">
      <c r="A711" t="inlineStr">
        <is>
          <t>No</t>
        </is>
      </c>
      <c r="B711" t="inlineStr"/>
      <c r="C711" t="inlineStr"/>
      <c r="D711" t="inlineStr"/>
      <c r="E711" t="inlineStr">
        <is>
          <t>I want my son to have this spiritual experience on his own. But I'm so jealous. I'd love to be there.</t>
        </is>
      </c>
      <c r="F711" t="inlineStr">
        <is>
          <t>Wants Child to Have Independent Experience</t>
        </is>
      </c>
      <c r="G711" t="inlineStr">
        <is>
          <t>Wants Child to Have Independent Experience</t>
        </is>
      </c>
      <c r="H711" t="inlineStr"/>
    </row>
    <row r="712">
      <c r="A712" t="inlineStr">
        <is>
          <t>No</t>
        </is>
      </c>
      <c r="B712" t="inlineStr"/>
      <c r="C712" t="inlineStr"/>
      <c r="D712" t="inlineStr"/>
      <c r="E712" t="inlineStr">
        <is>
          <t>Give my kid independence</t>
        </is>
      </c>
      <c r="F712" t="inlineStr">
        <is>
          <t>Wants Child to Have Independent Experience</t>
        </is>
      </c>
      <c r="G712" t="inlineStr">
        <is>
          <t>Wants Child to Have Independent Experience</t>
        </is>
      </c>
      <c r="H712" t="inlineStr"/>
    </row>
    <row r="713">
      <c r="A713" t="inlineStr">
        <is>
          <t>Yes</t>
        </is>
      </c>
      <c r="B713" t="inlineStr">
        <is>
          <t>Getting my daughter to go &amp; just overall experience.</t>
        </is>
      </c>
      <c r="C713" t="inlineStr">
        <is>
          <t>Wanted Shared Experience with Child</t>
        </is>
      </c>
      <c r="D713" t="inlineStr">
        <is>
          <t>Wanted Shared Experience with Child</t>
        </is>
      </c>
      <c r="E713" t="inlineStr"/>
      <c r="F713" t="inlineStr"/>
      <c r="G713" t="inlineStr"/>
      <c r="H713" t="inlineStr"/>
    </row>
    <row r="714">
      <c r="A714" t="inlineStr">
        <is>
          <t>No</t>
        </is>
      </c>
      <c r="B714" t="inlineStr"/>
      <c r="C714" t="inlineStr"/>
      <c r="D714" t="inlineStr"/>
      <c r="E714" t="inlineStr">
        <is>
          <t>Can't miss 3 weeks of work</t>
        </is>
      </c>
      <c r="F714" t="inlineStr">
        <is>
          <t>Work Schedule / Time Off</t>
        </is>
      </c>
      <c r="G714" t="inlineStr">
        <is>
          <t>Work Schedule / Time Off</t>
        </is>
      </c>
      <c r="H714" t="inlineStr"/>
    </row>
    <row r="715">
      <c r="A715" t="inlineStr">
        <is>
          <t>Yes</t>
        </is>
      </c>
      <c r="B715" t="inlineStr">
        <is>
          <t>The videos I watched on youtube from other Parent builders about their experience, one video they shared how the trip made them closer together and to know each other more than just a mom and son but as an individual. those videos trully influenced my decision</t>
        </is>
      </c>
      <c r="C715" t="inlineStr">
        <is>
          <t>Wanted Shared Experience with Child</t>
        </is>
      </c>
      <c r="D715" t="inlineStr">
        <is>
          <t>Wanted Shared Experience with Child</t>
        </is>
      </c>
      <c r="E715" t="inlineStr"/>
      <c r="F715" t="inlineStr"/>
      <c r="G715" t="inlineStr"/>
      <c r="H715" t="inlineStr"/>
    </row>
    <row r="716">
      <c r="A716" t="inlineStr">
        <is>
          <t>No</t>
        </is>
      </c>
      <c r="B716" t="inlineStr"/>
      <c r="C716" t="inlineStr"/>
      <c r="D716" t="inlineStr"/>
      <c r="E716" t="inlineStr">
        <is>
          <t>No PTO available</t>
        </is>
      </c>
      <c r="F716" t="inlineStr">
        <is>
          <t>Work Schedule / Time Off</t>
        </is>
      </c>
      <c r="G716" t="inlineStr">
        <is>
          <t>Work Schedule / Time Off</t>
        </is>
      </c>
      <c r="H716" t="inlineStr"/>
    </row>
    <row r="717">
      <c r="A717" t="inlineStr">
        <is>
          <t>No</t>
        </is>
      </c>
      <c r="B717" t="inlineStr"/>
      <c r="C717" t="inlineStr"/>
      <c r="D717" t="inlineStr"/>
      <c r="E717" t="inlineStr">
        <is>
          <t>Cost. I want my kids to be independent</t>
        </is>
      </c>
      <c r="F717" t="inlineStr">
        <is>
          <t>Cost / Finances</t>
        </is>
      </c>
      <c r="G717" t="inlineStr">
        <is>
          <t>Cost / Finances; Wants Child to Have Independent Experience</t>
        </is>
      </c>
      <c r="H717" t="inlineStr"/>
    </row>
    <row r="718">
      <c r="A718" t="inlineStr">
        <is>
          <t>No</t>
        </is>
      </c>
      <c r="B718" t="inlineStr"/>
      <c r="C718" t="inlineStr"/>
      <c r="D718" t="inlineStr"/>
      <c r="E718" t="inlineStr">
        <is>
          <t>Cost and duration of the trip is too long to leave younger children at home</t>
        </is>
      </c>
      <c r="F718" t="inlineStr">
        <is>
          <t>Cost / Finances</t>
        </is>
      </c>
      <c r="G718" t="inlineStr">
        <is>
          <t>Cost / Finances; Other Kids / Family at Home</t>
        </is>
      </c>
      <c r="H718" t="inlineStr"/>
    </row>
    <row r="719">
      <c r="A719" t="inlineStr">
        <is>
          <t>No</t>
        </is>
      </c>
      <c r="B719" t="inlineStr"/>
      <c r="C719" t="inlineStr"/>
      <c r="D719" t="inlineStr"/>
      <c r="E719" t="inlineStr">
        <is>
          <t>My other kids at home and money</t>
        </is>
      </c>
      <c r="F719" t="inlineStr">
        <is>
          <t>Cost / Finances</t>
        </is>
      </c>
      <c r="G719" t="inlineStr">
        <is>
          <t>Cost / Finances; Other Kids / Family at Home</t>
        </is>
      </c>
      <c r="H719" t="inlineStr"/>
    </row>
    <row r="720">
      <c r="A720" t="inlineStr">
        <is>
          <t>No</t>
        </is>
      </c>
      <c r="B720" t="inlineStr"/>
      <c r="C720" t="inlineStr"/>
      <c r="D720" t="inlineStr"/>
      <c r="E720" t="inlineStr">
        <is>
          <t>Single parent with a little at home</t>
        </is>
      </c>
      <c r="F720" t="inlineStr">
        <is>
          <t>Other Kids / Family at Home</t>
        </is>
      </c>
      <c r="G720" t="inlineStr">
        <is>
          <t>Other Kids / Family at Home</t>
        </is>
      </c>
      <c r="H720" t="inlineStr"/>
    </row>
    <row r="721">
      <c r="A721" t="inlineStr">
        <is>
          <t>No</t>
        </is>
      </c>
      <c r="B721" t="inlineStr"/>
      <c r="C721" t="inlineStr"/>
      <c r="D721" t="inlineStr"/>
      <c r="E721" t="inlineStr"/>
      <c r="F721" t="inlineStr"/>
      <c r="G721" t="inlineStr"/>
      <c r="H721" t="inlineStr"/>
    </row>
    <row r="722">
      <c r="A722" t="inlineStr">
        <is>
          <t>No</t>
        </is>
      </c>
      <c r="B722" t="inlineStr"/>
      <c r="C722" t="inlineStr"/>
      <c r="D722" t="inlineStr"/>
      <c r="E722" t="inlineStr">
        <is>
          <t>Wanted child to have the privilege of independence.</t>
        </is>
      </c>
      <c r="F722" t="inlineStr">
        <is>
          <t>Wants Child to Have Independent Experience</t>
        </is>
      </c>
      <c r="G722" t="inlineStr">
        <is>
          <t>Wants Child to Have Independent Experience</t>
        </is>
      </c>
      <c r="H722" t="inlineStr"/>
    </row>
    <row r="723">
      <c r="A723" t="inlineStr">
        <is>
          <t>No</t>
        </is>
      </c>
      <c r="B723" t="inlineStr"/>
      <c r="C723" t="inlineStr"/>
      <c r="D723" t="inlineStr"/>
      <c r="E723" t="inlineStr">
        <is>
          <t>too much money for the parent builder</t>
        </is>
      </c>
      <c r="F723" t="inlineStr">
        <is>
          <t>Cost / Finances</t>
        </is>
      </c>
      <c r="G723" t="inlineStr">
        <is>
          <t>Cost / Finances</t>
        </is>
      </c>
      <c r="H723" t="inlineStr"/>
    </row>
    <row r="724">
      <c r="A724" t="inlineStr">
        <is>
          <t>No</t>
        </is>
      </c>
      <c r="B724" t="inlineStr"/>
      <c r="C724" t="inlineStr"/>
      <c r="D724" t="inlineStr"/>
      <c r="E724" t="inlineStr">
        <is>
          <t>Finances</t>
        </is>
      </c>
      <c r="F724" t="inlineStr">
        <is>
          <t>Cost / Finances</t>
        </is>
      </c>
      <c r="G724" t="inlineStr">
        <is>
          <t>Cost / Finances</t>
        </is>
      </c>
      <c r="H724" t="inlineStr"/>
    </row>
    <row r="725">
      <c r="A725" t="inlineStr">
        <is>
          <t>No</t>
        </is>
      </c>
      <c r="B725" t="inlineStr"/>
      <c r="C725" t="inlineStr"/>
      <c r="D725" t="inlineStr"/>
      <c r="E725" t="inlineStr">
        <is>
          <t>scheduling conlicts</t>
        </is>
      </c>
      <c r="F725" t="inlineStr">
        <is>
          <t>Work Schedule / Time Off</t>
        </is>
      </c>
      <c r="G725" t="inlineStr">
        <is>
          <t>Work Schedule / Time Off</t>
        </is>
      </c>
      <c r="H725" t="inlineStr"/>
    </row>
    <row r="726">
      <c r="A726" t="inlineStr">
        <is>
          <t>No</t>
        </is>
      </c>
      <c r="B726" t="inlineStr"/>
      <c r="C726" t="inlineStr"/>
      <c r="D726" t="inlineStr"/>
      <c r="E726" t="inlineStr">
        <is>
          <t>work conflicts</t>
        </is>
      </c>
      <c r="F726" t="inlineStr">
        <is>
          <t>Work Schedule / Time Off</t>
        </is>
      </c>
      <c r="G726" t="inlineStr">
        <is>
          <t>Work Schedule / Time Off</t>
        </is>
      </c>
      <c r="H726" t="inlineStr"/>
    </row>
    <row r="727">
      <c r="A727" t="inlineStr">
        <is>
          <t>No</t>
        </is>
      </c>
      <c r="B727" t="inlineStr"/>
      <c r="C727" t="inlineStr"/>
      <c r="D727" t="inlineStr"/>
      <c r="E727" t="inlineStr">
        <is>
          <t>My work won't allow for it.</t>
        </is>
      </c>
      <c r="F727" t="inlineStr">
        <is>
          <t>Work Schedule / Time Off</t>
        </is>
      </c>
      <c r="G727" t="inlineStr">
        <is>
          <t>Work Schedule / Time Off</t>
        </is>
      </c>
      <c r="H727" t="inlineStr"/>
    </row>
    <row r="728">
      <c r="A728" t="inlineStr">
        <is>
          <t>No</t>
        </is>
      </c>
      <c r="B728" t="inlineStr"/>
      <c r="C728" t="inlineStr"/>
      <c r="D728" t="inlineStr"/>
      <c r="E728" t="inlineStr">
        <is>
          <t>Price and time off</t>
        </is>
      </c>
      <c r="F728" t="inlineStr">
        <is>
          <t>Cost / Finances</t>
        </is>
      </c>
      <c r="G728" t="inlineStr">
        <is>
          <t>Cost / Finances; Work Schedule / Time Off</t>
        </is>
      </c>
      <c r="H728" t="inlineStr"/>
    </row>
    <row r="729">
      <c r="A729" t="inlineStr">
        <is>
          <t>No</t>
        </is>
      </c>
      <c r="B729" t="inlineStr"/>
      <c r="C729" t="inlineStr"/>
      <c r="D729" t="inlineStr"/>
      <c r="E729" t="inlineStr">
        <is>
          <t>Price</t>
        </is>
      </c>
      <c r="F729" t="inlineStr">
        <is>
          <t>Cost / Finances</t>
        </is>
      </c>
      <c r="G729" t="inlineStr">
        <is>
          <t>Cost / Finances</t>
        </is>
      </c>
      <c r="H729" t="inlineStr"/>
    </row>
    <row r="730">
      <c r="A730" t="inlineStr">
        <is>
          <t>No</t>
        </is>
      </c>
      <c r="B730" t="inlineStr"/>
      <c r="C730" t="inlineStr"/>
      <c r="D730" t="inlineStr"/>
      <c r="E730" t="inlineStr">
        <is>
          <t>Sister went and looking for a testimony builder for my son</t>
        </is>
      </c>
      <c r="F730" t="inlineStr">
        <is>
          <t>Another Family Member Going Instead</t>
        </is>
      </c>
      <c r="G730" t="inlineStr">
        <is>
          <t>Another Family Member Going Instead</t>
        </is>
      </c>
      <c r="H730" t="inlineStr"/>
    </row>
    <row r="731">
      <c r="A731" t="inlineStr">
        <is>
          <t>No</t>
        </is>
      </c>
      <c r="B731" t="inlineStr"/>
      <c r="C731" t="inlineStr"/>
      <c r="D731" t="inlineStr"/>
      <c r="E731" t="inlineStr">
        <is>
          <t>Money, time and my son needed experiences indépendant of me.</t>
        </is>
      </c>
      <c r="F731" t="inlineStr">
        <is>
          <t>Cost / Finances</t>
        </is>
      </c>
      <c r="G731" t="inlineStr">
        <is>
          <t>Cost / Finances; Work Schedule / Time Off</t>
        </is>
      </c>
      <c r="H731" t="inlineStr"/>
    </row>
    <row r="732">
      <c r="A732" t="inlineStr">
        <is>
          <t>No</t>
        </is>
      </c>
      <c r="B732" t="inlineStr"/>
      <c r="C732" t="inlineStr"/>
      <c r="D732" t="inlineStr"/>
      <c r="E732" t="inlineStr">
        <is>
          <t>Money, 3 of my kids are doing hxp trips and I can't afford to go too, although I would love to!!</t>
        </is>
      </c>
      <c r="F732" t="inlineStr">
        <is>
          <t>Cost / Finances</t>
        </is>
      </c>
      <c r="G732" t="inlineStr">
        <is>
          <t>Cost / Finances</t>
        </is>
      </c>
      <c r="H732" t="inlineStr"/>
    </row>
    <row r="733">
      <c r="A733" t="inlineStr">
        <is>
          <t>Yes</t>
        </is>
      </c>
      <c r="B733" t="inlineStr">
        <is>
          <t>They were in need of a female parent builder and it sounded like a great experience</t>
        </is>
      </c>
      <c r="C733" t="inlineStr">
        <is>
          <t>Wanted Shared Experience with Child</t>
        </is>
      </c>
      <c r="D733" t="inlineStr">
        <is>
          <t>Wanted Shared Experience with Child</t>
        </is>
      </c>
      <c r="E733" t="inlineStr"/>
      <c r="F733" t="inlineStr"/>
      <c r="G733" t="inlineStr"/>
      <c r="H733" t="inlineStr"/>
    </row>
    <row r="734">
      <c r="A734" t="inlineStr">
        <is>
          <t>No</t>
        </is>
      </c>
      <c r="B734" t="inlineStr"/>
      <c r="C734" t="inlineStr"/>
      <c r="D734" t="inlineStr"/>
      <c r="E734" t="inlineStr">
        <is>
          <t>money and time</t>
        </is>
      </c>
      <c r="F734" t="inlineStr">
        <is>
          <t>Cost / Finances</t>
        </is>
      </c>
      <c r="G734" t="inlineStr">
        <is>
          <t>Cost / Finances; Work Schedule / Time Off</t>
        </is>
      </c>
      <c r="H734" t="inlineStr"/>
    </row>
    <row r="735">
      <c r="A735" t="inlineStr">
        <is>
          <t>No</t>
        </is>
      </c>
      <c r="B735" t="inlineStr"/>
      <c r="C735" t="inlineStr"/>
      <c r="D735" t="inlineStr"/>
      <c r="E735" t="inlineStr">
        <is>
          <t>My husband is going :)</t>
        </is>
      </c>
      <c r="F735" t="inlineStr">
        <is>
          <t>Another Family Member Going Instead</t>
        </is>
      </c>
      <c r="G735" t="inlineStr">
        <is>
          <t>Another Family Member Going Instead</t>
        </is>
      </c>
      <c r="H735" t="inlineStr"/>
    </row>
    <row r="736">
      <c r="A736" t="inlineStr">
        <is>
          <t>Yes</t>
        </is>
      </c>
      <c r="B736" t="inlineStr">
        <is>
          <t>I had a great experience last year in Ghana</t>
        </is>
      </c>
      <c r="C736" t="inlineStr">
        <is>
          <t>Wanted Shared Experience with Child</t>
        </is>
      </c>
      <c r="D736" t="inlineStr">
        <is>
          <t>Wanted Shared Experience with Child; Previous Positive Experience</t>
        </is>
      </c>
      <c r="E736" t="inlineStr"/>
      <c r="F736" t="inlineStr"/>
      <c r="G736" t="inlineStr"/>
      <c r="H736" t="inlineStr"/>
    </row>
    <row r="737">
      <c r="A737" t="inlineStr">
        <is>
          <t>No</t>
        </is>
      </c>
      <c r="B737" t="inlineStr"/>
      <c r="C737" t="inlineStr"/>
      <c r="D737" t="inlineStr"/>
      <c r="E737" t="inlineStr">
        <is>
          <t>I want my child to have this experience separate from us. I actually really want to go!!!</t>
        </is>
      </c>
      <c r="F737" t="inlineStr">
        <is>
          <t>Wants Child to Have Independent Experience</t>
        </is>
      </c>
      <c r="G737" t="inlineStr">
        <is>
          <t>Wants Child to Have Independent Experience</t>
        </is>
      </c>
      <c r="H737" t="inlineStr"/>
    </row>
    <row r="738">
      <c r="A738" t="inlineStr">
        <is>
          <t>No</t>
        </is>
      </c>
      <c r="B738" t="inlineStr"/>
      <c r="C738" t="inlineStr"/>
      <c r="D738" t="inlineStr"/>
      <c r="E738" t="inlineStr">
        <is>
          <t>Work</t>
        </is>
      </c>
      <c r="F738" t="inlineStr">
        <is>
          <t>Work Schedule / Time Off</t>
        </is>
      </c>
      <c r="G738" t="inlineStr">
        <is>
          <t>Work Schedule / Time Off</t>
        </is>
      </c>
      <c r="H738" t="inlineStr"/>
    </row>
    <row r="739">
      <c r="A739" t="inlineStr">
        <is>
          <t>No</t>
        </is>
      </c>
      <c r="B739" t="inlineStr"/>
      <c r="C739" t="inlineStr"/>
      <c r="D739" t="inlineStr"/>
      <c r="E739" t="inlineStr">
        <is>
          <t>Too busy with other kids and life</t>
        </is>
      </c>
      <c r="F739" t="inlineStr">
        <is>
          <t>Work Schedule / Time Off</t>
        </is>
      </c>
      <c r="G739" t="inlineStr">
        <is>
          <t>Work Schedule / Time Off; Other Kids / Family at Home</t>
        </is>
      </c>
      <c r="H739" t="inlineStr"/>
    </row>
    <row r="740">
      <c r="A740" t="inlineStr">
        <is>
          <t>No</t>
        </is>
      </c>
      <c r="B740" t="inlineStr"/>
      <c r="C740" t="inlineStr"/>
      <c r="D740" t="inlineStr"/>
      <c r="E740" t="inlineStr">
        <is>
          <t>Want my builder to have that time for just her</t>
        </is>
      </c>
      <c r="F740" t="inlineStr">
        <is>
          <t>Work Schedule / Time Off</t>
        </is>
      </c>
      <c r="G740" t="inlineStr">
        <is>
          <t>Work Schedule / Time Off</t>
        </is>
      </c>
      <c r="H740" t="inlineStr"/>
    </row>
    <row r="741">
      <c r="A741" t="inlineStr">
        <is>
          <t>No</t>
        </is>
      </c>
      <c r="B741" t="inlineStr"/>
      <c r="C741" t="inlineStr"/>
      <c r="D741" t="inlineStr"/>
      <c r="E741" t="inlineStr">
        <is>
          <t>Our son wanted to go on his own.</t>
        </is>
      </c>
      <c r="F741" t="inlineStr">
        <is>
          <t>Wants Child to Have Independent Experience</t>
        </is>
      </c>
      <c r="G741" t="inlineStr">
        <is>
          <t>Wants Child to Have Independent Experience</t>
        </is>
      </c>
      <c r="H741" t="inlineStr"/>
    </row>
    <row r="742">
      <c r="A742" t="inlineStr">
        <is>
          <t>No</t>
        </is>
      </c>
      <c r="B742" t="inlineStr"/>
      <c r="C742" t="inlineStr"/>
      <c r="D742" t="inlineStr"/>
      <c r="E742" t="inlineStr">
        <is>
          <t>Cost prohibitive and the length of time away from other younger kids</t>
        </is>
      </c>
      <c r="F742" t="inlineStr">
        <is>
          <t>Cost / Finances</t>
        </is>
      </c>
      <c r="G742" t="inlineStr">
        <is>
          <t>Cost / Finances; Work Schedule / Time Off; Other Kids / Family at Home</t>
        </is>
      </c>
      <c r="H742" t="inlineStr"/>
    </row>
    <row r="743">
      <c r="A743" t="inlineStr">
        <is>
          <t>No</t>
        </is>
      </c>
      <c r="B743" t="inlineStr"/>
      <c r="C743" t="inlineStr"/>
      <c r="D743" t="inlineStr"/>
      <c r="E743" t="inlineStr">
        <is>
          <t>My spouse is going with our daughter</t>
        </is>
      </c>
      <c r="F743" t="inlineStr">
        <is>
          <t>Another Family Member Going Instead</t>
        </is>
      </c>
      <c r="G743" t="inlineStr">
        <is>
          <t>Another Family Member Going Instead</t>
        </is>
      </c>
      <c r="H743" t="inlineStr"/>
    </row>
    <row r="744">
      <c r="A744" t="inlineStr">
        <is>
          <t>Yes</t>
        </is>
      </c>
      <c r="B744" t="inlineStr">
        <is>
          <t>My daughter asked me to accompany her on her first international trip.</t>
        </is>
      </c>
      <c r="C744" t="inlineStr">
        <is>
          <t>Child/Spouse Asked Them to Go</t>
        </is>
      </c>
      <c r="D744" t="inlineStr">
        <is>
          <t>Child/Spouse Asked Them to Go</t>
        </is>
      </c>
      <c r="E744" t="inlineStr"/>
      <c r="F744" t="inlineStr"/>
      <c r="G744" t="inlineStr"/>
      <c r="H744" t="inlineStr"/>
    </row>
    <row r="745">
      <c r="A745" t="inlineStr">
        <is>
          <t>No</t>
        </is>
      </c>
      <c r="B745" t="inlineStr"/>
      <c r="C745" t="inlineStr"/>
      <c r="D745" t="inlineStr"/>
      <c r="E745" t="inlineStr">
        <is>
          <t>Too many young children at home</t>
        </is>
      </c>
      <c r="F745" t="inlineStr">
        <is>
          <t>Other Kids / Family at Home</t>
        </is>
      </c>
      <c r="G745" t="inlineStr">
        <is>
          <t>Other Kids / Family at Home</t>
        </is>
      </c>
      <c r="H745" t="inlineStr"/>
    </row>
    <row r="746">
      <c r="A746" t="inlineStr">
        <is>
          <t>No</t>
        </is>
      </c>
      <c r="B746" t="inlineStr"/>
      <c r="C746" t="inlineStr"/>
      <c r="D746" t="inlineStr"/>
      <c r="E746" t="inlineStr">
        <is>
          <t>I felt like it would be good for my daughter to go on her own.</t>
        </is>
      </c>
      <c r="F746" t="inlineStr">
        <is>
          <t>Wants Child to Have Independent Experience</t>
        </is>
      </c>
      <c r="G746" t="inlineStr">
        <is>
          <t>Wants Child to Have Independent Experience</t>
        </is>
      </c>
      <c r="H746" t="inlineStr"/>
    </row>
    <row r="747">
      <c r="A747" t="inlineStr">
        <is>
          <t>No</t>
        </is>
      </c>
      <c r="B747" t="inlineStr"/>
      <c r="C747" t="inlineStr"/>
      <c r="D747" t="inlineStr"/>
      <c r="E747" t="inlineStr"/>
      <c r="F747" t="inlineStr"/>
      <c r="G747" t="inlineStr"/>
      <c r="H747" t="inlineStr"/>
    </row>
    <row r="748">
      <c r="A748" t="inlineStr">
        <is>
          <t>No</t>
        </is>
      </c>
      <c r="B748" t="inlineStr"/>
      <c r="C748" t="inlineStr"/>
      <c r="D748" t="inlineStr"/>
      <c r="E748" t="inlineStr">
        <is>
          <t>I have 6 younger kids at home.</t>
        </is>
      </c>
      <c r="F748" t="inlineStr">
        <is>
          <t>Other Kids / Family at Home</t>
        </is>
      </c>
      <c r="G748" t="inlineStr">
        <is>
          <t>Other Kids / Family at Home</t>
        </is>
      </c>
      <c r="H748" t="inlineStr"/>
    </row>
    <row r="749">
      <c r="A749" t="inlineStr">
        <is>
          <t>No</t>
        </is>
      </c>
      <c r="B749" t="inlineStr"/>
      <c r="C749" t="inlineStr"/>
      <c r="D749" t="inlineStr"/>
      <c r="E749" t="inlineStr">
        <is>
          <t>My child needing to be on their own- and cost</t>
        </is>
      </c>
      <c r="F749" t="inlineStr">
        <is>
          <t>Cost / Finances</t>
        </is>
      </c>
      <c r="G749" t="inlineStr">
        <is>
          <t>Cost / Finances; Wants Child to Have Independent Experience</t>
        </is>
      </c>
      <c r="H749" t="inlineStr"/>
    </row>
    <row r="750">
      <c r="A750" t="inlineStr">
        <is>
          <t>Yes</t>
        </is>
      </c>
      <c r="B750" t="inlineStr">
        <is>
          <t>To be with my son, opportunity to serve</t>
        </is>
      </c>
      <c r="C750" t="inlineStr">
        <is>
          <t>Faith / Service Motivation</t>
        </is>
      </c>
      <c r="D750" t="inlineStr">
        <is>
          <t>Faith / Service Motivation</t>
        </is>
      </c>
      <c r="E750" t="inlineStr"/>
      <c r="F750" t="inlineStr"/>
      <c r="G750" t="inlineStr"/>
      <c r="H750" t="inlineStr"/>
    </row>
    <row r="751">
      <c r="A751" t="inlineStr">
        <is>
          <t>No</t>
        </is>
      </c>
      <c r="B751" t="inlineStr"/>
      <c r="C751" t="inlineStr"/>
      <c r="D751" t="inlineStr"/>
      <c r="E751" t="inlineStr">
        <is>
          <t>Money</t>
        </is>
      </c>
      <c r="F751" t="inlineStr">
        <is>
          <t>Cost / Finances</t>
        </is>
      </c>
      <c r="G751" t="inlineStr">
        <is>
          <t>Cost / Finances</t>
        </is>
      </c>
      <c r="H751" t="inlineStr"/>
    </row>
    <row r="752">
      <c r="A752" t="inlineStr">
        <is>
          <t>No</t>
        </is>
      </c>
      <c r="B752" t="inlineStr"/>
      <c r="C752" t="inlineStr"/>
      <c r="D752" t="inlineStr"/>
      <c r="E752" t="inlineStr"/>
      <c r="F752" t="inlineStr"/>
      <c r="G752" t="inlineStr"/>
      <c r="H752" t="inlineStr"/>
    </row>
    <row r="753">
      <c r="A753" t="inlineStr">
        <is>
          <t>No</t>
        </is>
      </c>
      <c r="B753" t="inlineStr"/>
      <c r="C753" t="inlineStr"/>
      <c r="D753" t="inlineStr"/>
      <c r="E753" t="inlineStr">
        <is>
          <t>My husband is going.</t>
        </is>
      </c>
      <c r="F753" t="inlineStr">
        <is>
          <t>Another Family Member Going Instead</t>
        </is>
      </c>
      <c r="G753" t="inlineStr">
        <is>
          <t>Another Family Member Going Instead</t>
        </is>
      </c>
      <c r="H753" t="inlineStr"/>
    </row>
    <row r="754">
      <c r="A754" t="inlineStr">
        <is>
          <t>No</t>
        </is>
      </c>
      <c r="B754" t="inlineStr"/>
      <c r="C754" t="inlineStr"/>
      <c r="D754" t="inlineStr"/>
      <c r="E754" t="inlineStr">
        <is>
          <t>Too busy</t>
        </is>
      </c>
      <c r="F754" t="inlineStr">
        <is>
          <t>Work Schedule / Time Off</t>
        </is>
      </c>
      <c r="G754" t="inlineStr">
        <is>
          <t>Work Schedule / Time Off</t>
        </is>
      </c>
      <c r="H754" t="inlineStr"/>
    </row>
    <row r="755">
      <c r="A755" t="inlineStr">
        <is>
          <t>Maybe</t>
        </is>
      </c>
      <c r="B755" t="inlineStr"/>
      <c r="C755" t="inlineStr"/>
      <c r="D755" t="inlineStr"/>
      <c r="E755" t="inlineStr"/>
      <c r="F755" t="inlineStr"/>
      <c r="G755" t="inlineStr"/>
      <c r="H755" t="inlineStr">
        <is>
          <t>Cost timing</t>
        </is>
      </c>
    </row>
    <row r="756">
      <c r="A756" t="inlineStr">
        <is>
          <t>No</t>
        </is>
      </c>
      <c r="B756" t="inlineStr"/>
      <c r="C756" t="inlineStr"/>
      <c r="D756" t="inlineStr"/>
      <c r="E756" t="inlineStr">
        <is>
          <t>I want my kid to have his own personal experience without me there. This is his adventure.</t>
        </is>
      </c>
      <c r="F756" t="inlineStr">
        <is>
          <t>Wants Child to Have Independent Experience</t>
        </is>
      </c>
      <c r="G756" t="inlineStr">
        <is>
          <t>Wants Child to Have Independent Experience</t>
        </is>
      </c>
      <c r="H756" t="inlineStr"/>
    </row>
    <row r="757">
      <c r="A757" t="inlineStr">
        <is>
          <t>No</t>
        </is>
      </c>
      <c r="B757" t="inlineStr"/>
      <c r="C757" t="inlineStr"/>
      <c r="D757" t="inlineStr"/>
      <c r="E757" t="inlineStr"/>
      <c r="F757" t="inlineStr"/>
      <c r="G757" t="inlineStr"/>
      <c r="H757" t="inlineStr"/>
    </row>
    <row r="758">
      <c r="A758" t="inlineStr">
        <is>
          <t>No</t>
        </is>
      </c>
      <c r="B758" t="inlineStr"/>
      <c r="C758" t="inlineStr"/>
      <c r="D758" t="inlineStr"/>
      <c r="E758" t="inlineStr">
        <is>
          <t>Work</t>
        </is>
      </c>
      <c r="F758" t="inlineStr">
        <is>
          <t>Work Schedule / Time Off</t>
        </is>
      </c>
      <c r="G758" t="inlineStr">
        <is>
          <t>Work Schedule / Time Off</t>
        </is>
      </c>
      <c r="H758" t="inlineStr"/>
    </row>
    <row r="759">
      <c r="A759" t="inlineStr">
        <is>
          <t>No</t>
        </is>
      </c>
      <c r="B759" t="inlineStr"/>
      <c r="C759" t="inlineStr"/>
      <c r="D759" t="inlineStr"/>
      <c r="E759" t="inlineStr">
        <is>
          <t>My daughter said I couldn't</t>
        </is>
      </c>
      <c r="F759" t="inlineStr">
        <is>
          <t>Child Didn't Want Parent to Come</t>
        </is>
      </c>
      <c r="G759" t="inlineStr">
        <is>
          <t>Child Didn't Want Parent to Come</t>
        </is>
      </c>
      <c r="H759" t="inlineStr"/>
    </row>
    <row r="760">
      <c r="A760" t="inlineStr">
        <is>
          <t>No</t>
        </is>
      </c>
      <c r="B760" t="inlineStr"/>
      <c r="C760" t="inlineStr"/>
      <c r="D760" t="inlineStr"/>
      <c r="E760" t="inlineStr">
        <is>
          <t>I have young ones at home.</t>
        </is>
      </c>
      <c r="F760" t="inlineStr">
        <is>
          <t>Other Kids / Family at Home</t>
        </is>
      </c>
      <c r="G760" t="inlineStr">
        <is>
          <t>Other Kids / Family at Home</t>
        </is>
      </c>
      <c r="H760" t="inlineStr"/>
    </row>
    <row r="761">
      <c r="A761" t="inlineStr">
        <is>
          <t>No</t>
        </is>
      </c>
      <c r="B761" t="inlineStr"/>
      <c r="C761" t="inlineStr"/>
      <c r="D761" t="inlineStr"/>
      <c r="E761" t="inlineStr">
        <is>
          <t>My son didn't want me to go, lol. I really wanted to go.</t>
        </is>
      </c>
      <c r="F761" t="inlineStr">
        <is>
          <t>Child Didn't Want Parent to Come</t>
        </is>
      </c>
      <c r="G761" t="inlineStr">
        <is>
          <t>Child Didn't Want Parent to Come</t>
        </is>
      </c>
      <c r="H761" t="inlineStr"/>
    </row>
    <row r="762">
      <c r="A762" t="inlineStr">
        <is>
          <t>No</t>
        </is>
      </c>
      <c r="B762" t="inlineStr"/>
      <c r="C762" t="inlineStr"/>
      <c r="D762" t="inlineStr"/>
      <c r="E762" t="inlineStr">
        <is>
          <t>To busy</t>
        </is>
      </c>
      <c r="F762" t="inlineStr">
        <is>
          <t>Work Schedule / Time Off</t>
        </is>
      </c>
      <c r="G762" t="inlineStr">
        <is>
          <t>Work Schedule / Time Off</t>
        </is>
      </c>
      <c r="H762" t="inlineStr"/>
    </row>
    <row r="763">
      <c r="A763" t="inlineStr">
        <is>
          <t>No</t>
        </is>
      </c>
      <c r="B763" t="inlineStr"/>
      <c r="C763" t="inlineStr"/>
      <c r="D763" t="inlineStr"/>
      <c r="E763" t="inlineStr">
        <is>
          <t>My child needed this time away from home to grow</t>
        </is>
      </c>
      <c r="F763" t="inlineStr">
        <is>
          <t>Work Schedule / Time Off</t>
        </is>
      </c>
      <c r="G763" t="inlineStr">
        <is>
          <t>Work Schedule / Time Off; Other Kids / Family at Home; Wants Child to Have Independent Experience</t>
        </is>
      </c>
      <c r="H763" t="inlineStr"/>
    </row>
    <row r="764">
      <c r="A764" t="inlineStr">
        <is>
          <t>No</t>
        </is>
      </c>
      <c r="B764" t="inlineStr"/>
      <c r="C764" t="inlineStr"/>
      <c r="D764" t="inlineStr"/>
      <c r="E764" t="inlineStr">
        <is>
          <t>Younger Children at Home</t>
        </is>
      </c>
      <c r="F764" t="inlineStr">
        <is>
          <t>Other Kids / Family at Home</t>
        </is>
      </c>
      <c r="G764" t="inlineStr">
        <is>
          <t>Other Kids / Family at Home</t>
        </is>
      </c>
      <c r="H764" t="inlineStr"/>
    </row>
    <row r="765">
      <c r="A765" t="inlineStr">
        <is>
          <t>No</t>
        </is>
      </c>
      <c r="B765" t="inlineStr"/>
      <c r="C765" t="inlineStr"/>
      <c r="D765" t="inlineStr"/>
      <c r="E765" t="inlineStr">
        <is>
          <t>independence for my daughter being away from us</t>
        </is>
      </c>
      <c r="F765" t="inlineStr">
        <is>
          <t>Wants Child to Have Independent Experience</t>
        </is>
      </c>
      <c r="G765" t="inlineStr">
        <is>
          <t>Wants Child to Have Independent Experience</t>
        </is>
      </c>
      <c r="H765" t="inlineStr"/>
    </row>
    <row r="766">
      <c r="A766" t="inlineStr">
        <is>
          <t>No</t>
        </is>
      </c>
      <c r="B766" t="inlineStr"/>
      <c r="C766" t="inlineStr"/>
      <c r="D766" t="inlineStr"/>
      <c r="E766" t="inlineStr">
        <is>
          <t>I have other kids at home and I felt that this would be a good experience for my daughter without her parents.</t>
        </is>
      </c>
      <c r="F766" t="inlineStr">
        <is>
          <t>Other Kids / Family at Home</t>
        </is>
      </c>
      <c r="G766" t="inlineStr">
        <is>
          <t>Other Kids / Family at Home; Wants Child to Have Independent Experience</t>
        </is>
      </c>
      <c r="H766" t="inlineStr"/>
    </row>
    <row r="767">
      <c r="A767" t="inlineStr">
        <is>
          <t>No</t>
        </is>
      </c>
      <c r="B767" t="inlineStr"/>
      <c r="C767" t="inlineStr"/>
      <c r="D767" t="inlineStr"/>
      <c r="E767" t="inlineStr"/>
      <c r="F767" t="inlineStr"/>
      <c r="G767" t="inlineStr"/>
      <c r="H767" t="inlineStr"/>
    </row>
    <row r="768">
      <c r="A768" t="inlineStr">
        <is>
          <t>No</t>
        </is>
      </c>
      <c r="B768" t="inlineStr"/>
      <c r="C768" t="inlineStr"/>
      <c r="D768" t="inlineStr"/>
      <c r="E768" t="inlineStr">
        <is>
          <t>The desire to serve</t>
        </is>
      </c>
      <c r="F768" t="inlineStr">
        <is>
          <t>Other / Uncategorized</t>
        </is>
      </c>
      <c r="G768" t="inlineStr"/>
      <c r="H768" t="inlineStr"/>
    </row>
    <row r="769">
      <c r="A769" t="inlineStr">
        <is>
          <t>No</t>
        </is>
      </c>
      <c r="B769" t="inlineStr"/>
      <c r="C769" t="inlineStr"/>
      <c r="D769" t="inlineStr"/>
      <c r="E769" t="inlineStr">
        <is>
          <t>Time / work</t>
        </is>
      </c>
      <c r="F769" t="inlineStr">
        <is>
          <t>Work Schedule / Time Off</t>
        </is>
      </c>
      <c r="G769" t="inlineStr">
        <is>
          <t>Work Schedule / Time Off</t>
        </is>
      </c>
      <c r="H769" t="inlineStr"/>
    </row>
    <row r="770">
      <c r="A770" t="inlineStr">
        <is>
          <t>No</t>
        </is>
      </c>
      <c r="B770" t="inlineStr"/>
      <c r="C770" t="inlineStr"/>
      <c r="D770" t="inlineStr"/>
      <c r="E770" t="inlineStr">
        <is>
          <t>We have a lot of kids and responsibilities at home. Hard to step away even though we'd have loved to have gone.</t>
        </is>
      </c>
      <c r="F770" t="inlineStr">
        <is>
          <t>Work Schedule / Time Off</t>
        </is>
      </c>
      <c r="G770" t="inlineStr">
        <is>
          <t>Work Schedule / Time Off; Other Kids / Family at Home</t>
        </is>
      </c>
      <c r="H770" t="inlineStr"/>
    </row>
    <row r="771">
      <c r="A771" t="inlineStr">
        <is>
          <t>No</t>
        </is>
      </c>
      <c r="B771" t="inlineStr"/>
      <c r="C771" t="inlineStr"/>
      <c r="D771" t="inlineStr"/>
      <c r="E771" t="inlineStr">
        <is>
          <t>I might go when my you gear son goes.</t>
        </is>
      </c>
      <c r="F771" t="inlineStr">
        <is>
          <t>Other / Uncategorized</t>
        </is>
      </c>
      <c r="G771" t="inlineStr"/>
      <c r="H771" t="inlineStr"/>
    </row>
    <row r="772">
      <c r="A772" t="inlineStr">
        <is>
          <t>No</t>
        </is>
      </c>
      <c r="B772" t="inlineStr"/>
      <c r="C772" t="inlineStr"/>
      <c r="D772" t="inlineStr"/>
      <c r="E772" t="inlineStr">
        <is>
          <t>My son asked me not to</t>
        </is>
      </c>
      <c r="F772" t="inlineStr">
        <is>
          <t>Child Didn't Want Parent to Come</t>
        </is>
      </c>
      <c r="G772" t="inlineStr">
        <is>
          <t>Child Didn't Want Parent to Come</t>
        </is>
      </c>
      <c r="H772" t="inlineStr"/>
    </row>
    <row r="773">
      <c r="A773" t="inlineStr">
        <is>
          <t>No</t>
        </is>
      </c>
      <c r="B773" t="inlineStr"/>
      <c r="C773" t="inlineStr"/>
      <c r="D773" t="inlineStr"/>
      <c r="E773" t="inlineStr">
        <is>
          <t>I do't have the time to take off of work and leave my younger children</t>
        </is>
      </c>
      <c r="F773" t="inlineStr">
        <is>
          <t>Work Schedule / Time Off</t>
        </is>
      </c>
      <c r="G773" t="inlineStr">
        <is>
          <t>Work Schedule / Time Off; Other Kids / Family at Home</t>
        </is>
      </c>
      <c r="H773" t="inlineStr"/>
    </row>
    <row r="774">
      <c r="A774" t="inlineStr">
        <is>
          <t>No</t>
        </is>
      </c>
      <c r="B774" t="inlineStr"/>
      <c r="C774" t="inlineStr"/>
      <c r="D774" t="inlineStr"/>
      <c r="E774" t="inlineStr">
        <is>
          <t>I want my son to have influences outside of his parents</t>
        </is>
      </c>
      <c r="F774" t="inlineStr">
        <is>
          <t>Wants Child to Have Independent Experience</t>
        </is>
      </c>
      <c r="G774" t="inlineStr">
        <is>
          <t>Wants Child to Have Independent Experience</t>
        </is>
      </c>
      <c r="H774" t="inlineStr"/>
    </row>
    <row r="775">
      <c r="A775" t="inlineStr">
        <is>
          <t>No</t>
        </is>
      </c>
      <c r="B775" t="inlineStr"/>
      <c r="C775" t="inlineStr"/>
      <c r="D775" t="inlineStr"/>
      <c r="E775" t="inlineStr">
        <is>
          <t>Money</t>
        </is>
      </c>
      <c r="F775" t="inlineStr">
        <is>
          <t>Cost / Finances</t>
        </is>
      </c>
      <c r="G775" t="inlineStr">
        <is>
          <t>Cost / Finances</t>
        </is>
      </c>
      <c r="H775" t="inlineStr"/>
    </row>
    <row r="776">
      <c r="A776" t="inlineStr">
        <is>
          <t>No</t>
        </is>
      </c>
      <c r="B776" t="inlineStr"/>
      <c r="C776" t="inlineStr"/>
      <c r="D776" t="inlineStr"/>
      <c r="E776" t="inlineStr">
        <is>
          <t>Cost and time</t>
        </is>
      </c>
      <c r="F776" t="inlineStr">
        <is>
          <t>Cost / Finances</t>
        </is>
      </c>
      <c r="G776" t="inlineStr">
        <is>
          <t>Cost / Finances; Work Schedule / Time Off</t>
        </is>
      </c>
      <c r="H776" t="inlineStr"/>
    </row>
    <row r="777">
      <c r="A777" t="inlineStr">
        <is>
          <t>Yes</t>
        </is>
      </c>
      <c r="B777" t="inlineStr">
        <is>
          <t>The opportunity to travel and serve</t>
        </is>
      </c>
      <c r="C777" t="inlineStr">
        <is>
          <t>Love of Travel / Culture</t>
        </is>
      </c>
      <c r="D777" t="inlineStr">
        <is>
          <t>Love of Travel / Culture; Faith / Service Motivation</t>
        </is>
      </c>
      <c r="E777" t="inlineStr"/>
      <c r="F777" t="inlineStr"/>
      <c r="G777" t="inlineStr"/>
      <c r="H777" t="inlineStr"/>
    </row>
    <row r="778">
      <c r="A778" t="inlineStr">
        <is>
          <t>No</t>
        </is>
      </c>
      <c r="B778" t="inlineStr"/>
      <c r="C778" t="inlineStr"/>
      <c r="D778" t="inlineStr"/>
      <c r="E778" t="inlineStr">
        <is>
          <t>Time, other children</t>
        </is>
      </c>
      <c r="F778" t="inlineStr">
        <is>
          <t>Work Schedule / Time Off</t>
        </is>
      </c>
      <c r="G778" t="inlineStr">
        <is>
          <t>Work Schedule / Time Off; Other Kids / Family at Home</t>
        </is>
      </c>
      <c r="H778" t="inlineStr"/>
    </row>
    <row r="779">
      <c r="A779" t="inlineStr">
        <is>
          <t>No</t>
        </is>
      </c>
      <c r="B779" t="inlineStr"/>
      <c r="C779" t="inlineStr"/>
      <c r="D779" t="inlineStr"/>
      <c r="E779" t="inlineStr">
        <is>
          <t>I don't have time, I have other kids at home</t>
        </is>
      </c>
      <c r="F779" t="inlineStr">
        <is>
          <t>Work Schedule / Time Off</t>
        </is>
      </c>
      <c r="G779" t="inlineStr">
        <is>
          <t>Work Schedule / Time Off; Other Kids / Family at Home</t>
        </is>
      </c>
      <c r="H779" t="inlineStr"/>
    </row>
    <row r="780">
      <c r="A780" t="inlineStr">
        <is>
          <t>Yes</t>
        </is>
      </c>
      <c r="B780" t="inlineStr">
        <is>
          <t>Spend time with my son</t>
        </is>
      </c>
      <c r="C780" t="inlineStr">
        <is>
          <t>Wanted Shared Experience with Child</t>
        </is>
      </c>
      <c r="D780" t="inlineStr">
        <is>
          <t>Wanted Shared Experience with Child</t>
        </is>
      </c>
      <c r="E780" t="inlineStr"/>
      <c r="F780" t="inlineStr"/>
      <c r="G780" t="inlineStr"/>
      <c r="H780" t="inlineStr"/>
    </row>
    <row r="781">
      <c r="A781" t="inlineStr">
        <is>
          <t>No</t>
        </is>
      </c>
      <c r="B781" t="inlineStr"/>
      <c r="C781" t="inlineStr"/>
      <c r="D781" t="inlineStr"/>
      <c r="E781" t="inlineStr">
        <is>
          <t>I wanted this to be my daughters experience, not mine.</t>
        </is>
      </c>
      <c r="F781" t="inlineStr">
        <is>
          <t>Wants Child to Have Independent Experience</t>
        </is>
      </c>
      <c r="G781" t="inlineStr">
        <is>
          <t>Wants Child to Have Independent Experience</t>
        </is>
      </c>
      <c r="H781" t="inlineStr"/>
    </row>
    <row r="782">
      <c r="A782" t="inlineStr">
        <is>
          <t>No</t>
        </is>
      </c>
      <c r="B782" t="inlineStr"/>
      <c r="C782" t="inlineStr"/>
      <c r="D782" t="inlineStr"/>
      <c r="E782" t="inlineStr"/>
      <c r="F782" t="inlineStr"/>
      <c r="G782" t="inlineStr"/>
      <c r="H782" t="inlineStr"/>
    </row>
    <row r="783">
      <c r="A783" t="inlineStr">
        <is>
          <t>Yes</t>
        </is>
      </c>
      <c r="B783" t="inlineStr">
        <is>
          <t>wanting to share an experience with my daughter</t>
        </is>
      </c>
      <c r="C783" t="inlineStr">
        <is>
          <t>Wanted Shared Experience with Child</t>
        </is>
      </c>
      <c r="D783" t="inlineStr">
        <is>
          <t>Wanted Shared Experience with Child</t>
        </is>
      </c>
      <c r="E783" t="inlineStr"/>
      <c r="F783" t="inlineStr"/>
      <c r="G783" t="inlineStr"/>
      <c r="H783" t="inlineStr"/>
    </row>
    <row r="784">
      <c r="A784" t="inlineStr">
        <is>
          <t>No</t>
        </is>
      </c>
      <c r="B784" t="inlineStr"/>
      <c r="C784" t="inlineStr"/>
      <c r="D784" t="inlineStr"/>
      <c r="E784" t="inlineStr">
        <is>
          <t>originally a friend recommendation, this trip though was because other siblings have gone and loved it.</t>
        </is>
      </c>
      <c r="F784" t="inlineStr">
        <is>
          <t>Other Kids / Family at Home</t>
        </is>
      </c>
      <c r="G784" t="inlineStr">
        <is>
          <t>Other Kids / Family at Home</t>
        </is>
      </c>
      <c r="H784" t="inlineStr"/>
    </row>
    <row r="785">
      <c r="A785" t="inlineStr">
        <is>
          <t>No</t>
        </is>
      </c>
      <c r="B785" t="inlineStr"/>
      <c r="C785" t="inlineStr"/>
      <c r="D785" t="inlineStr"/>
      <c r="E785" t="inlineStr">
        <is>
          <t>I have other kids who need me. Daughter didn't want me to.</t>
        </is>
      </c>
      <c r="F785" t="inlineStr">
        <is>
          <t>Other Kids / Family at Home</t>
        </is>
      </c>
      <c r="G785" t="inlineStr">
        <is>
          <t>Other Kids / Family at Home; Child Didn't Want Parent to Come</t>
        </is>
      </c>
      <c r="H785" t="inlineStr"/>
    </row>
    <row r="786">
      <c r="A786" t="inlineStr">
        <is>
          <t>No</t>
        </is>
      </c>
      <c r="B786" t="inlineStr"/>
      <c r="C786" t="inlineStr"/>
      <c r="D786" t="inlineStr"/>
      <c r="E786" t="inlineStr">
        <is>
          <t>responsibilities at home</t>
        </is>
      </c>
      <c r="F786" t="inlineStr">
        <is>
          <t>Work Schedule / Time Off</t>
        </is>
      </c>
      <c r="G786" t="inlineStr">
        <is>
          <t>Work Schedule / Time Off</t>
        </is>
      </c>
      <c r="H786" t="inlineStr"/>
    </row>
    <row r="787">
      <c r="A787" t="inlineStr">
        <is>
          <t>No</t>
        </is>
      </c>
      <c r="B787" t="inlineStr"/>
      <c r="C787" t="inlineStr"/>
      <c r="D787" t="inlineStr"/>
      <c r="E787" t="inlineStr">
        <is>
          <t>Kids at home</t>
        </is>
      </c>
      <c r="F787" t="inlineStr">
        <is>
          <t>Other Kids / Family at Home</t>
        </is>
      </c>
      <c r="G787" t="inlineStr">
        <is>
          <t>Other Kids / Family at Home</t>
        </is>
      </c>
      <c r="H787" t="inlineStr"/>
    </row>
    <row r="788">
      <c r="A788" t="inlineStr">
        <is>
          <t>No</t>
        </is>
      </c>
      <c r="B788" t="inlineStr"/>
      <c r="C788" t="inlineStr"/>
      <c r="D788" t="inlineStr"/>
      <c r="E788" t="inlineStr">
        <is>
          <t>Work</t>
        </is>
      </c>
      <c r="F788" t="inlineStr">
        <is>
          <t>Work Schedule / Time Off</t>
        </is>
      </c>
      <c r="G788" t="inlineStr">
        <is>
          <t>Work Schedule / Time Off</t>
        </is>
      </c>
      <c r="H788" t="inlineStr"/>
    </row>
    <row r="789">
      <c r="A789" t="inlineStr">
        <is>
          <t>No</t>
        </is>
      </c>
      <c r="B789" t="inlineStr"/>
      <c r="C789" t="inlineStr"/>
      <c r="D789" t="inlineStr"/>
      <c r="E789" t="inlineStr">
        <is>
          <t>Other responsibilities at home</t>
        </is>
      </c>
      <c r="F789" t="inlineStr">
        <is>
          <t>Work Schedule / Time Off</t>
        </is>
      </c>
      <c r="G789" t="inlineStr">
        <is>
          <t>Work Schedule / Time Off</t>
        </is>
      </c>
      <c r="H789" t="inlineStr"/>
    </row>
    <row r="790">
      <c r="A790" t="inlineStr">
        <is>
          <t>No</t>
        </is>
      </c>
      <c r="B790" t="inlineStr"/>
      <c r="C790" t="inlineStr"/>
      <c r="D790" t="inlineStr"/>
      <c r="E790" t="inlineStr">
        <is>
          <t>Didn't get my head in the game soon enough. :)</t>
        </is>
      </c>
      <c r="F790" t="inlineStr">
        <is>
          <t>Other / Uncategorized</t>
        </is>
      </c>
      <c r="G790" t="inlineStr"/>
      <c r="H790" t="inlineStr"/>
    </row>
    <row r="791">
      <c r="A791" t="inlineStr">
        <is>
          <t>No</t>
        </is>
      </c>
      <c r="B791" t="inlineStr"/>
      <c r="C791" t="inlineStr"/>
      <c r="D791" t="inlineStr"/>
      <c r="E791" t="inlineStr">
        <is>
          <t>Time away from work</t>
        </is>
      </c>
      <c r="F791" t="inlineStr">
        <is>
          <t>Work Schedule / Time Off</t>
        </is>
      </c>
      <c r="G791" t="inlineStr">
        <is>
          <t>Work Schedule / Time Off</t>
        </is>
      </c>
      <c r="H791" t="inlineStr"/>
    </row>
    <row r="792">
      <c r="A792" t="inlineStr">
        <is>
          <t>No</t>
        </is>
      </c>
      <c r="B792" t="inlineStr"/>
      <c r="C792" t="inlineStr"/>
      <c r="D792" t="inlineStr"/>
      <c r="E792" t="inlineStr">
        <is>
          <t>Chronic illness (nothing to do with HXP)</t>
        </is>
      </c>
      <c r="F792" t="inlineStr">
        <is>
          <t>Health / Physical / Age</t>
        </is>
      </c>
      <c r="G792" t="inlineStr">
        <is>
          <t>Health / Physical / Age</t>
        </is>
      </c>
      <c r="H792" t="inlineStr"/>
    </row>
    <row r="793">
      <c r="A793" t="inlineStr">
        <is>
          <t>No</t>
        </is>
      </c>
      <c r="B793" t="inlineStr"/>
      <c r="C793" t="inlineStr"/>
      <c r="D793" t="inlineStr"/>
      <c r="E793" t="inlineStr">
        <is>
          <t>Health issues</t>
        </is>
      </c>
      <c r="F793" t="inlineStr">
        <is>
          <t>Health / Physical / Age</t>
        </is>
      </c>
      <c r="G793" t="inlineStr">
        <is>
          <t>Health / Physical / Age</t>
        </is>
      </c>
      <c r="H793" t="inlineStr"/>
    </row>
    <row r="794">
      <c r="A794" t="inlineStr">
        <is>
          <t>No</t>
        </is>
      </c>
      <c r="B794" t="inlineStr"/>
      <c r="C794" t="inlineStr"/>
      <c r="D794" t="inlineStr"/>
      <c r="E794" t="inlineStr">
        <is>
          <t>Time</t>
        </is>
      </c>
      <c r="F794" t="inlineStr">
        <is>
          <t>Work Schedule / Time Off</t>
        </is>
      </c>
      <c r="G794" t="inlineStr">
        <is>
          <t>Work Schedule / Time Off</t>
        </is>
      </c>
      <c r="H794" t="inlineStr"/>
    </row>
    <row r="795">
      <c r="A795" t="inlineStr">
        <is>
          <t>No</t>
        </is>
      </c>
      <c r="B795" t="inlineStr"/>
      <c r="C795" t="inlineStr"/>
      <c r="D795" t="inlineStr"/>
      <c r="E795" t="inlineStr">
        <is>
          <t>Cost and other vacations already planned.</t>
        </is>
      </c>
      <c r="F795" t="inlineStr">
        <is>
          <t>Cost / Finances</t>
        </is>
      </c>
      <c r="G795" t="inlineStr">
        <is>
          <t>Cost / Finances; Work Schedule / Time Off</t>
        </is>
      </c>
      <c r="H795" t="inlineStr"/>
    </row>
    <row r="796">
      <c r="A796" t="inlineStr">
        <is>
          <t>No</t>
        </is>
      </c>
      <c r="B796" t="inlineStr"/>
      <c r="C796" t="inlineStr"/>
      <c r="D796" t="inlineStr"/>
      <c r="E796" t="inlineStr"/>
      <c r="F796" t="inlineStr"/>
      <c r="G796" t="inlineStr"/>
      <c r="H796" t="inlineStr"/>
    </row>
    <row r="797">
      <c r="A797" t="inlineStr">
        <is>
          <t>Yes</t>
        </is>
      </c>
      <c r="B797" t="inlineStr">
        <is>
          <t>My wife</t>
        </is>
      </c>
      <c r="C797" t="inlineStr">
        <is>
          <t>Family Member Was the Reason (No Elaboration)</t>
        </is>
      </c>
      <c r="D797" t="inlineStr">
        <is>
          <t>Family Member Was the Reason (No Elaboration)</t>
        </is>
      </c>
      <c r="E797" t="inlineStr"/>
      <c r="F797" t="inlineStr"/>
      <c r="G797" t="inlineStr"/>
      <c r="H797" t="inlineStr"/>
    </row>
    <row r="798">
      <c r="A798" t="inlineStr">
        <is>
          <t>No</t>
        </is>
      </c>
      <c r="B798" t="inlineStr"/>
      <c r="C798" t="inlineStr"/>
      <c r="D798" t="inlineStr"/>
      <c r="E798" t="inlineStr">
        <is>
          <t>Daughter wanted to be independent</t>
        </is>
      </c>
      <c r="F798" t="inlineStr">
        <is>
          <t>Wants Child to Have Independent Experience</t>
        </is>
      </c>
      <c r="G798" t="inlineStr">
        <is>
          <t>Wants Child to Have Independent Experience</t>
        </is>
      </c>
      <c r="H798" t="inlineStr"/>
    </row>
    <row r="799">
      <c r="A799" t="inlineStr">
        <is>
          <t>No</t>
        </is>
      </c>
      <c r="B799" t="inlineStr"/>
      <c r="C799" t="inlineStr"/>
      <c r="D799" t="inlineStr"/>
      <c r="E799" t="inlineStr">
        <is>
          <t>Various factors including cost, time away, other children at home and work obligations. As well as wanting my child to have her own experience.</t>
        </is>
      </c>
      <c r="F799" t="inlineStr">
        <is>
          <t>Cost / Finances</t>
        </is>
      </c>
      <c r="G799" t="inlineStr">
        <is>
          <t>Cost / Finances; Work Schedule / Time Off; Other Kids / Family at Home; Wants Child to Have Independent Experience</t>
        </is>
      </c>
      <c r="H799" t="inlineStr"/>
    </row>
    <row r="800">
      <c r="A800" t="inlineStr">
        <is>
          <t>No</t>
        </is>
      </c>
      <c r="B800" t="inlineStr"/>
      <c r="C800" t="inlineStr"/>
      <c r="D800" t="inlineStr"/>
      <c r="E800" t="inlineStr">
        <is>
          <t>Our son wanted to go by himself</t>
        </is>
      </c>
      <c r="F800" t="inlineStr">
        <is>
          <t>Child Didn't Want Parent to Come</t>
        </is>
      </c>
      <c r="G800" t="inlineStr">
        <is>
          <t>Child Didn't Want Parent to Come</t>
        </is>
      </c>
      <c r="H800" t="inlineStr"/>
    </row>
    <row r="801">
      <c r="A801" t="inlineStr">
        <is>
          <t>No</t>
        </is>
      </c>
      <c r="B801" t="inlineStr"/>
      <c r="C801" t="inlineStr"/>
      <c r="D801" t="inlineStr"/>
      <c r="E801" t="inlineStr">
        <is>
          <t>Daughter didn't want me to go with her</t>
        </is>
      </c>
      <c r="F801" t="inlineStr">
        <is>
          <t>Child Didn't Want Parent to Come</t>
        </is>
      </c>
      <c r="G801" t="inlineStr">
        <is>
          <t>Child Didn't Want Parent to Come</t>
        </is>
      </c>
      <c r="H801" t="inlineStr"/>
    </row>
    <row r="802">
      <c r="A802" t="inlineStr">
        <is>
          <t>No</t>
        </is>
      </c>
      <c r="B802" t="inlineStr"/>
      <c r="C802" t="inlineStr"/>
      <c r="D802" t="inlineStr"/>
      <c r="E802" t="inlineStr">
        <is>
          <t>Want her to go with out me</t>
        </is>
      </c>
      <c r="F802" t="inlineStr">
        <is>
          <t>Wants Child to Have Independent Experience</t>
        </is>
      </c>
      <c r="G802" t="inlineStr">
        <is>
          <t>Wants Child to Have Independent Experience</t>
        </is>
      </c>
      <c r="H802" t="inlineStr"/>
    </row>
    <row r="803">
      <c r="A803" t="inlineStr">
        <is>
          <t>No</t>
        </is>
      </c>
      <c r="B803" t="inlineStr"/>
      <c r="C803" t="inlineStr"/>
      <c r="D803" t="inlineStr"/>
      <c r="E803" t="inlineStr">
        <is>
          <t>Two factors, cost and the need to go without a parent. 1- The cost-- I can barely afford to send one child and the bill for one of the parent's to attend would have not been in our budget. 2- This trip is to help prepare my child for serving a mission and having experiences away from family. The ability to send him on his own for an extended period of tine was important in our decision when choosing which experience for him.</t>
        </is>
      </c>
      <c r="F803" t="inlineStr">
        <is>
          <t>Cost / Finances</t>
        </is>
      </c>
      <c r="G803" t="inlineStr">
        <is>
          <t>Cost / Finances; Other Kids / Family at Home; Wants Child to Have Independent Experience; Other Life Commitment</t>
        </is>
      </c>
      <c r="H803" t="inlineStr"/>
    </row>
    <row r="804">
      <c r="A804" t="inlineStr">
        <is>
          <t>No</t>
        </is>
      </c>
      <c r="B804" t="inlineStr"/>
      <c r="C804" t="inlineStr"/>
      <c r="D804" t="inlineStr"/>
      <c r="E804" t="inlineStr">
        <is>
          <t>Son didn't want me to go</t>
        </is>
      </c>
      <c r="F804" t="inlineStr">
        <is>
          <t>Child Didn't Want Parent to Come</t>
        </is>
      </c>
      <c r="G804" t="inlineStr">
        <is>
          <t>Child Didn't Want Parent to Come</t>
        </is>
      </c>
      <c r="H804" t="inlineStr"/>
    </row>
    <row r="805">
      <c r="A805" t="inlineStr">
        <is>
          <t>No</t>
        </is>
      </c>
      <c r="B805" t="inlineStr"/>
      <c r="C805" t="inlineStr"/>
      <c r="D805" t="inlineStr"/>
      <c r="E805" t="inlineStr">
        <is>
          <t>Time</t>
        </is>
      </c>
      <c r="F805" t="inlineStr">
        <is>
          <t>Work Schedule / Time Off</t>
        </is>
      </c>
      <c r="G805" t="inlineStr">
        <is>
          <t>Work Schedule / Time Off</t>
        </is>
      </c>
      <c r="H805" t="inlineStr"/>
    </row>
    <row r="806">
      <c r="A806" t="inlineStr">
        <is>
          <t>No</t>
        </is>
      </c>
      <c r="B806" t="inlineStr"/>
      <c r="C806" t="inlineStr"/>
      <c r="D806" t="inlineStr"/>
      <c r="E806" t="inlineStr">
        <is>
          <t>Give my son more opportunity for individual growth</t>
        </is>
      </c>
      <c r="F806" t="inlineStr">
        <is>
          <t>Wants Child to Have Independent Experience</t>
        </is>
      </c>
      <c r="G806" t="inlineStr">
        <is>
          <t>Wants Child to Have Independent Experience</t>
        </is>
      </c>
      <c r="H806" t="inlineStr"/>
    </row>
    <row r="807">
      <c r="A807" t="inlineStr">
        <is>
          <t>Yes</t>
        </is>
      </c>
      <c r="B807" t="inlineStr">
        <is>
          <t>Time with my daughter; opportunity to serve</t>
        </is>
      </c>
      <c r="C807" t="inlineStr">
        <is>
          <t>Wanted Shared Experience with Child</t>
        </is>
      </c>
      <c r="D807" t="inlineStr">
        <is>
          <t>Wanted Shared Experience with Child; Faith / Service Motivation</t>
        </is>
      </c>
      <c r="E807" t="inlineStr"/>
      <c r="F807" t="inlineStr"/>
      <c r="G807" t="inlineStr"/>
      <c r="H807" t="inlineStr"/>
    </row>
    <row r="808">
      <c r="A808" t="inlineStr">
        <is>
          <t>No</t>
        </is>
      </c>
      <c r="B808" t="inlineStr"/>
      <c r="C808" t="inlineStr"/>
      <c r="D808" t="inlineStr"/>
      <c r="E808" t="inlineStr">
        <is>
          <t>I think its better for my daughter not to have me there as someone to lean ion. She will need to trust herself and those shes with</t>
        </is>
      </c>
      <c r="F808" t="inlineStr">
        <is>
          <t>Wants Child to Have Independent Experience</t>
        </is>
      </c>
      <c r="G808" t="inlineStr">
        <is>
          <t>Wants Child to Have Independent Experience</t>
        </is>
      </c>
      <c r="H808" t="inlineStr"/>
    </row>
    <row r="809">
      <c r="A809" t="inlineStr">
        <is>
          <t>No</t>
        </is>
      </c>
      <c r="B809" t="inlineStr"/>
      <c r="C809" t="inlineStr"/>
      <c r="D809" t="inlineStr"/>
      <c r="E809" t="inlineStr">
        <is>
          <t>work</t>
        </is>
      </c>
      <c r="F809" t="inlineStr">
        <is>
          <t>Work Schedule / Time Off</t>
        </is>
      </c>
      <c r="G809" t="inlineStr">
        <is>
          <t>Work Schedule / Time Off</t>
        </is>
      </c>
      <c r="H809" t="inlineStr"/>
    </row>
    <row r="810">
      <c r="A810" t="inlineStr">
        <is>
          <t>No</t>
        </is>
      </c>
      <c r="B810" t="inlineStr"/>
      <c r="C810" t="inlineStr"/>
      <c r="D810" t="inlineStr"/>
      <c r="E810" t="inlineStr">
        <is>
          <t>My husband is going, that's why.</t>
        </is>
      </c>
      <c r="F810" t="inlineStr">
        <is>
          <t>Another Family Member Going Instead</t>
        </is>
      </c>
      <c r="G810" t="inlineStr">
        <is>
          <t>Another Family Member Going Instead</t>
        </is>
      </c>
      <c r="H810" t="inlineStr"/>
    </row>
    <row r="811">
      <c r="A811" t="inlineStr">
        <is>
          <t>No</t>
        </is>
      </c>
      <c r="B811" t="inlineStr"/>
      <c r="C811" t="inlineStr"/>
      <c r="D811" t="inlineStr"/>
      <c r="E811" t="inlineStr">
        <is>
          <t>I would like to go as a parent builder in the future</t>
        </is>
      </c>
      <c r="F811" t="inlineStr">
        <is>
          <t>Other / Uncategorized</t>
        </is>
      </c>
      <c r="G811" t="inlineStr"/>
      <c r="H811" t="inlineStr"/>
    </row>
    <row r="812">
      <c r="A812" t="inlineStr">
        <is>
          <t>No</t>
        </is>
      </c>
      <c r="B812" t="inlineStr"/>
      <c r="C812" t="inlineStr"/>
      <c r="D812" t="inlineStr"/>
      <c r="E812" t="inlineStr"/>
      <c r="F812" t="inlineStr"/>
      <c r="G812" t="inlineStr"/>
      <c r="H812" t="inlineStr"/>
    </row>
    <row r="813">
      <c r="A813" t="inlineStr">
        <is>
          <t>No</t>
        </is>
      </c>
      <c r="B813" t="inlineStr"/>
      <c r="C813" t="inlineStr"/>
      <c r="D813" t="inlineStr"/>
      <c r="E813" t="inlineStr">
        <is>
          <t>Heard positive report from someone else that went.</t>
        </is>
      </c>
      <c r="F813" t="inlineStr">
        <is>
          <t>Other / Uncategorized</t>
        </is>
      </c>
      <c r="G813" t="inlineStr"/>
      <c r="H813" t="inlineStr"/>
    </row>
    <row r="814">
      <c r="A814" t="inlineStr">
        <is>
          <t>No</t>
        </is>
      </c>
      <c r="B814" t="inlineStr"/>
      <c r="C814" t="inlineStr"/>
      <c r="D814" t="inlineStr"/>
      <c r="E814" t="inlineStr">
        <is>
          <t>How long the trip is, It's a long time to be away from the rest of my family</t>
        </is>
      </c>
      <c r="F814" t="inlineStr">
        <is>
          <t>Work Schedule / Time Off</t>
        </is>
      </c>
      <c r="G814" t="inlineStr">
        <is>
          <t>Work Schedule / Time Off</t>
        </is>
      </c>
      <c r="H814" t="inlineStr"/>
    </row>
    <row r="815">
      <c r="A815" t="inlineStr">
        <is>
          <t>No</t>
        </is>
      </c>
      <c r="B815" t="inlineStr"/>
      <c r="C815" t="inlineStr"/>
      <c r="D815" t="inlineStr"/>
      <c r="E815" t="inlineStr">
        <is>
          <t>Want child to have experience away from parent</t>
        </is>
      </c>
      <c r="F815" t="inlineStr">
        <is>
          <t>Wants Child to Have Independent Experience</t>
        </is>
      </c>
      <c r="G815" t="inlineStr">
        <is>
          <t>Wants Child to Have Independent Experience</t>
        </is>
      </c>
      <c r="H815" t="inlineStr"/>
    </row>
    <row r="816">
      <c r="A816" t="inlineStr">
        <is>
          <t>No</t>
        </is>
      </c>
      <c r="B816" t="inlineStr"/>
      <c r="C816" t="inlineStr"/>
      <c r="D816" t="inlineStr"/>
      <c r="E816" t="inlineStr">
        <is>
          <t>previous children have gone</t>
        </is>
      </c>
      <c r="F816" t="inlineStr">
        <is>
          <t>Another Family Member Going Instead</t>
        </is>
      </c>
      <c r="G816" t="inlineStr">
        <is>
          <t>Another Family Member Going Instead</t>
        </is>
      </c>
      <c r="H816" t="inlineStr"/>
    </row>
    <row r="817">
      <c r="A817" t="inlineStr">
        <is>
          <t>No</t>
        </is>
      </c>
      <c r="B817" t="inlineStr"/>
      <c r="C817" t="inlineStr"/>
      <c r="D817" t="inlineStr"/>
      <c r="E817" t="inlineStr">
        <is>
          <t>not interested</t>
        </is>
      </c>
      <c r="F817" t="inlineStr">
        <is>
          <t>Not a Traveler / Personal Preference</t>
        </is>
      </c>
      <c r="G817" t="inlineStr">
        <is>
          <t>Not a Traveler / Personal Preference</t>
        </is>
      </c>
      <c r="H817" t="inlineStr"/>
    </row>
    <row r="818">
      <c r="A818" t="inlineStr">
        <is>
          <t>No</t>
        </is>
      </c>
      <c r="B818" t="inlineStr"/>
      <c r="C818" t="inlineStr"/>
      <c r="D818" t="inlineStr"/>
      <c r="E818" t="inlineStr"/>
      <c r="F818" t="inlineStr"/>
      <c r="G818" t="inlineStr"/>
      <c r="H818" t="inlineStr"/>
    </row>
    <row r="819">
      <c r="A819" t="inlineStr">
        <is>
          <t>No</t>
        </is>
      </c>
      <c r="B819" t="inlineStr"/>
      <c r="C819" t="inlineStr"/>
      <c r="D819" t="inlineStr"/>
      <c r="E819" t="inlineStr"/>
      <c r="F819" t="inlineStr"/>
      <c r="G819" t="inlineStr"/>
      <c r="H819" t="inlineStr"/>
    </row>
    <row r="820">
      <c r="A820" t="inlineStr">
        <is>
          <t>No</t>
        </is>
      </c>
      <c r="B820" t="inlineStr"/>
      <c r="C820" t="inlineStr"/>
      <c r="D820" t="inlineStr"/>
      <c r="E820" t="inlineStr">
        <is>
          <t>I have 6 kids and a husband that works a busy job. Just not my season yet.</t>
        </is>
      </c>
      <c r="F820" t="inlineStr">
        <is>
          <t>Work Schedule / Time Off</t>
        </is>
      </c>
      <c r="G820" t="inlineStr">
        <is>
          <t>Work Schedule / Time Off; Other Kids / Family at Home</t>
        </is>
      </c>
      <c r="H820" t="inlineStr"/>
    </row>
    <row r="821">
      <c r="A821" t="inlineStr">
        <is>
          <t>No</t>
        </is>
      </c>
      <c r="B821" t="inlineStr"/>
      <c r="C821" t="inlineStr"/>
      <c r="D821" t="inlineStr"/>
      <c r="E821" t="inlineStr">
        <is>
          <t>Daughter wants to go alone</t>
        </is>
      </c>
      <c r="F821" t="inlineStr">
        <is>
          <t>Wants Child to Have Independent Experience</t>
        </is>
      </c>
      <c r="G821" t="inlineStr">
        <is>
          <t>Wants Child to Have Independent Experience</t>
        </is>
      </c>
      <c r="H821" t="inlineStr"/>
    </row>
    <row r="822">
      <c r="A822" t="inlineStr">
        <is>
          <t>No</t>
        </is>
      </c>
      <c r="B822" t="inlineStr"/>
      <c r="C822" t="inlineStr"/>
      <c r="D822" t="inlineStr"/>
      <c r="E822" t="inlineStr">
        <is>
          <t>My husband is going this year</t>
        </is>
      </c>
      <c r="F822" t="inlineStr">
        <is>
          <t>Another Family Member Going Instead</t>
        </is>
      </c>
      <c r="G822" t="inlineStr">
        <is>
          <t>Another Family Member Going Instead</t>
        </is>
      </c>
      <c r="H822" t="inlineStr"/>
    </row>
    <row r="823">
      <c r="A823" t="inlineStr">
        <is>
          <t>No</t>
        </is>
      </c>
      <c r="B823" t="inlineStr"/>
      <c r="C823" t="inlineStr"/>
      <c r="D823" t="inlineStr"/>
      <c r="E823" t="inlineStr">
        <is>
          <t>Already full and I have my most busy time at work in the summer.</t>
        </is>
      </c>
      <c r="F823" t="inlineStr">
        <is>
          <t>Work Schedule / Time Off</t>
        </is>
      </c>
      <c r="G823" t="inlineStr">
        <is>
          <t>Work Schedule / Time Off</t>
        </is>
      </c>
      <c r="H823" t="inlineStr"/>
    </row>
    <row r="824">
      <c r="A824" t="inlineStr">
        <is>
          <t>No</t>
        </is>
      </c>
      <c r="B824" t="inlineStr"/>
      <c r="C824" t="inlineStr"/>
      <c r="D824" t="inlineStr"/>
      <c r="E824" t="inlineStr">
        <is>
          <t>Couldn't leave my other kids home that long</t>
        </is>
      </c>
      <c r="F824" t="inlineStr">
        <is>
          <t>Other Kids / Family at Home</t>
        </is>
      </c>
      <c r="G824" t="inlineStr">
        <is>
          <t>Other Kids / Family at Home</t>
        </is>
      </c>
      <c r="H824" t="inlineStr"/>
    </row>
    <row r="825">
      <c r="A825" t="inlineStr">
        <is>
          <t>Maybe</t>
        </is>
      </c>
      <c r="B825" t="inlineStr"/>
      <c r="C825" t="inlineStr"/>
      <c r="D825" t="inlineStr"/>
      <c r="E825" t="inlineStr"/>
      <c r="F825" t="inlineStr"/>
      <c r="G825" t="inlineStr"/>
      <c r="H825" t="inlineStr"/>
    </row>
    <row r="826">
      <c r="A826" t="inlineStr">
        <is>
          <t>No</t>
        </is>
      </c>
      <c r="B826" t="inlineStr"/>
      <c r="C826" t="inlineStr"/>
      <c r="D826" t="inlineStr"/>
      <c r="E826" t="inlineStr">
        <is>
          <t>I can't leave my kids.</t>
        </is>
      </c>
      <c r="F826" t="inlineStr">
        <is>
          <t>Other Kids / Family at Home</t>
        </is>
      </c>
      <c r="G826" t="inlineStr">
        <is>
          <t>Other Kids / Family at Home</t>
        </is>
      </c>
      <c r="H826" t="inlineStr"/>
    </row>
    <row r="827">
      <c r="A827" t="inlineStr">
        <is>
          <t>No</t>
        </is>
      </c>
      <c r="B827" t="inlineStr"/>
      <c r="C827" t="inlineStr"/>
      <c r="D827" t="inlineStr"/>
      <c r="E827" t="inlineStr">
        <is>
          <t>I never heard it as an option from my child (or as you call her “builder”)</t>
        </is>
      </c>
      <c r="F827" t="inlineStr">
        <is>
          <t>Not Aware It Was an Option</t>
        </is>
      </c>
      <c r="G827" t="inlineStr">
        <is>
          <t>Not Aware It Was an Option</t>
        </is>
      </c>
      <c r="H827" t="inlineStr"/>
    </row>
    <row r="828">
      <c r="A828" t="inlineStr">
        <is>
          <t>No</t>
        </is>
      </c>
      <c r="B828" t="inlineStr"/>
      <c r="C828" t="inlineStr"/>
      <c r="D828" t="inlineStr"/>
      <c r="E828" t="inlineStr">
        <is>
          <t>have other kids to take care of</t>
        </is>
      </c>
      <c r="F828" t="inlineStr">
        <is>
          <t>Other Kids / Family at Home</t>
        </is>
      </c>
      <c r="G828" t="inlineStr">
        <is>
          <t>Other Kids / Family at Home</t>
        </is>
      </c>
      <c r="H828" t="inlineStr"/>
    </row>
    <row r="829">
      <c r="A829" t="inlineStr">
        <is>
          <t>Maybe</t>
        </is>
      </c>
      <c r="B829" t="inlineStr"/>
      <c r="C829" t="inlineStr"/>
      <c r="D829" t="inlineStr"/>
      <c r="E829" t="inlineStr"/>
      <c r="F829" t="inlineStr"/>
      <c r="G829" t="inlineStr"/>
      <c r="H829" t="inlineStr">
        <is>
          <t>cost</t>
        </is>
      </c>
    </row>
    <row r="830">
      <c r="A830" t="inlineStr">
        <is>
          <t>Maybe</t>
        </is>
      </c>
      <c r="B830" t="inlineStr"/>
      <c r="C830" t="inlineStr"/>
      <c r="D830" t="inlineStr"/>
      <c r="E830" t="inlineStr"/>
      <c r="F830" t="inlineStr"/>
      <c r="G830" t="inlineStr"/>
      <c r="H830" t="inlineStr">
        <is>
          <t>I might go when my youngest is old enough so I don't have to worry about other kids being left unattended at home.</t>
        </is>
      </c>
    </row>
    <row r="831">
      <c r="A831" t="inlineStr">
        <is>
          <t>No</t>
        </is>
      </c>
      <c r="B831" t="inlineStr"/>
      <c r="C831" t="inlineStr"/>
      <c r="D831" t="inlineStr"/>
      <c r="E831" t="inlineStr">
        <is>
          <t>Cost</t>
        </is>
      </c>
      <c r="F831" t="inlineStr">
        <is>
          <t>Cost / Finances</t>
        </is>
      </c>
      <c r="G831" t="inlineStr">
        <is>
          <t>Cost / Finances</t>
        </is>
      </c>
      <c r="H831" t="inlineStr"/>
    </row>
    <row r="832">
      <c r="A832" t="inlineStr">
        <is>
          <t>No</t>
        </is>
      </c>
      <c r="B832" t="inlineStr"/>
      <c r="C832" t="inlineStr"/>
      <c r="D832" t="inlineStr"/>
      <c r="E832" t="inlineStr">
        <is>
          <t>💵</t>
        </is>
      </c>
      <c r="F832" t="inlineStr">
        <is>
          <t>Cost / Finances</t>
        </is>
      </c>
      <c r="G832" t="inlineStr">
        <is>
          <t>Cost / Finances</t>
        </is>
      </c>
      <c r="H832" t="inlineStr"/>
    </row>
    <row r="833">
      <c r="A833" t="inlineStr">
        <is>
          <t>No</t>
        </is>
      </c>
      <c r="B833" t="inlineStr"/>
      <c r="C833" t="inlineStr"/>
      <c r="D833" t="inlineStr"/>
      <c r="E833" t="inlineStr"/>
      <c r="F833" t="inlineStr"/>
      <c r="G833" t="inlineStr"/>
      <c r="H833" t="inlineStr"/>
    </row>
    <row r="834">
      <c r="A834" t="inlineStr">
        <is>
          <t>No</t>
        </is>
      </c>
      <c r="B834" t="inlineStr"/>
      <c r="C834" t="inlineStr"/>
      <c r="D834" t="inlineStr"/>
      <c r="E834" t="inlineStr">
        <is>
          <t>Daughter wanted own experience</t>
        </is>
      </c>
      <c r="F834" t="inlineStr">
        <is>
          <t>Wants Child to Have Independent Experience</t>
        </is>
      </c>
      <c r="G834" t="inlineStr">
        <is>
          <t>Wants Child to Have Independent Experience</t>
        </is>
      </c>
      <c r="H834" t="inlineStr"/>
    </row>
    <row r="835">
      <c r="A835" t="inlineStr">
        <is>
          <t>Yes</t>
        </is>
      </c>
      <c r="B835" t="inlineStr">
        <is>
          <t>I was asked to go by HXP. I've considered it for all of my kids' trips, but didn't want to negatively impact their experience. I only decided to go because my daughter agreed.</t>
        </is>
      </c>
      <c r="C835" t="inlineStr">
        <is>
          <t>Wanted Shared Experience with Child</t>
        </is>
      </c>
      <c r="D835" t="inlineStr">
        <is>
          <t>Wanted Shared Experience with Child</t>
        </is>
      </c>
      <c r="E835" t="inlineStr"/>
      <c r="F835" t="inlineStr"/>
      <c r="G835" t="inlineStr"/>
      <c r="H835" t="inlineStr"/>
    </row>
    <row r="836">
      <c r="A836" t="inlineStr">
        <is>
          <t>No</t>
        </is>
      </c>
      <c r="B836" t="inlineStr"/>
      <c r="C836" t="inlineStr"/>
      <c r="D836" t="inlineStr"/>
      <c r="E836" t="inlineStr">
        <is>
          <t>Cost</t>
        </is>
      </c>
      <c r="F836" t="inlineStr">
        <is>
          <t>Cost / Finances</t>
        </is>
      </c>
      <c r="G836" t="inlineStr">
        <is>
          <t>Cost / Finances</t>
        </is>
      </c>
      <c r="H836" t="inlineStr"/>
    </row>
    <row r="837">
      <c r="A837" t="inlineStr">
        <is>
          <t>No</t>
        </is>
      </c>
      <c r="B837" t="inlineStr"/>
      <c r="C837" t="inlineStr"/>
      <c r="D837" t="inlineStr"/>
      <c r="E837" t="inlineStr">
        <is>
          <t>I wanted to give my son a chance to have a trip all by himself.</t>
        </is>
      </c>
      <c r="F837" t="inlineStr">
        <is>
          <t>Child Didn't Want Parent to Come</t>
        </is>
      </c>
      <c r="G837" t="inlineStr">
        <is>
          <t>Child Didn't Want Parent to Come</t>
        </is>
      </c>
      <c r="H837" t="inlineStr"/>
    </row>
    <row r="838">
      <c r="A838" t="inlineStr">
        <is>
          <t>No</t>
        </is>
      </c>
      <c r="B838" t="inlineStr"/>
      <c r="C838" t="inlineStr"/>
      <c r="D838" t="inlineStr"/>
      <c r="E838" t="inlineStr">
        <is>
          <t>My husband is going, I'm excited for both him and my daughter!</t>
        </is>
      </c>
      <c r="F838" t="inlineStr">
        <is>
          <t>Another Family Member Going Instead</t>
        </is>
      </c>
      <c r="G838" t="inlineStr">
        <is>
          <t>Another Family Member Going Instead</t>
        </is>
      </c>
      <c r="H838" t="inlineStr"/>
    </row>
    <row r="839">
      <c r="A839" t="inlineStr">
        <is>
          <t>No</t>
        </is>
      </c>
      <c r="B839" t="inlineStr"/>
      <c r="C839" t="inlineStr"/>
      <c r="D839" t="inlineStr"/>
      <c r="E839" t="inlineStr">
        <is>
          <t>Work schedule</t>
        </is>
      </c>
      <c r="F839" t="inlineStr">
        <is>
          <t>Work Schedule / Time Off</t>
        </is>
      </c>
      <c r="G839" t="inlineStr">
        <is>
          <t>Work Schedule / Time Off</t>
        </is>
      </c>
      <c r="H839" t="inlineStr"/>
    </row>
    <row r="840">
      <c r="A840" t="inlineStr">
        <is>
          <t>No</t>
        </is>
      </c>
      <c r="B840" t="inlineStr"/>
      <c r="C840" t="inlineStr"/>
      <c r="D840" t="inlineStr"/>
      <c r="E840" t="inlineStr">
        <is>
          <t>Work</t>
        </is>
      </c>
      <c r="F840" t="inlineStr">
        <is>
          <t>Work Schedule / Time Off</t>
        </is>
      </c>
      <c r="G840" t="inlineStr">
        <is>
          <t>Work Schedule / Time Off</t>
        </is>
      </c>
      <c r="H840" t="inlineStr"/>
    </row>
    <row r="841">
      <c r="A841" t="inlineStr">
        <is>
          <t>No</t>
        </is>
      </c>
      <c r="B841" t="inlineStr"/>
      <c r="C841" t="inlineStr"/>
      <c r="D841" t="inlineStr"/>
      <c r="E841" t="inlineStr">
        <is>
          <t>Flight time</t>
        </is>
      </c>
      <c r="F841" t="inlineStr">
        <is>
          <t>Work Schedule / Time Off</t>
        </is>
      </c>
      <c r="G841" t="inlineStr">
        <is>
          <t>Work Schedule / Time Off</t>
        </is>
      </c>
      <c r="H841" t="inlineStr"/>
    </row>
    <row r="842">
      <c r="A842" t="inlineStr">
        <is>
          <t>No</t>
        </is>
      </c>
      <c r="B842" t="inlineStr"/>
      <c r="C842" t="inlineStr"/>
      <c r="D842" t="inlineStr"/>
      <c r="E842" t="inlineStr">
        <is>
          <t>Time and money</t>
        </is>
      </c>
      <c r="F842" t="inlineStr">
        <is>
          <t>Cost / Finances</t>
        </is>
      </c>
      <c r="G842" t="inlineStr">
        <is>
          <t>Cost / Finances; Work Schedule / Time Off</t>
        </is>
      </c>
      <c r="H842" t="inlineStr"/>
    </row>
    <row r="843">
      <c r="A843" t="inlineStr">
        <is>
          <t>No</t>
        </is>
      </c>
      <c r="B843" t="inlineStr"/>
      <c r="C843" t="inlineStr"/>
      <c r="D843" t="inlineStr"/>
      <c r="E843" t="inlineStr">
        <is>
          <t>Cost and time off work</t>
        </is>
      </c>
      <c r="F843" t="inlineStr">
        <is>
          <t>Cost / Finances</t>
        </is>
      </c>
      <c r="G843" t="inlineStr">
        <is>
          <t>Cost / Finances; Work Schedule / Time Off</t>
        </is>
      </c>
      <c r="H843" t="inlineStr"/>
    </row>
    <row r="844">
      <c r="A844" t="inlineStr">
        <is>
          <t>Yes</t>
        </is>
      </c>
      <c r="B844" t="inlineStr">
        <is>
          <t>Daughter</t>
        </is>
      </c>
      <c r="C844" t="inlineStr">
        <is>
          <t>Family Member Was the Reason (No Elaboration)</t>
        </is>
      </c>
      <c r="D844" t="inlineStr">
        <is>
          <t>Family Member Was the Reason (No Elaboration)</t>
        </is>
      </c>
      <c r="E844" t="inlineStr"/>
      <c r="F844" t="inlineStr"/>
      <c r="G844" t="inlineStr"/>
      <c r="H844" t="inlineStr"/>
    </row>
    <row r="845">
      <c r="A845" t="inlineStr">
        <is>
          <t>Yes</t>
        </is>
      </c>
      <c r="B845" t="inlineStr">
        <is>
          <t>My daughter</t>
        </is>
      </c>
      <c r="C845" t="inlineStr">
        <is>
          <t>Family Member Was the Reason (No Elaboration)</t>
        </is>
      </c>
      <c r="D845" t="inlineStr">
        <is>
          <t>Family Member Was the Reason (No Elaboration)</t>
        </is>
      </c>
      <c r="E845" t="inlineStr"/>
      <c r="F845" t="inlineStr"/>
      <c r="G845" t="inlineStr"/>
      <c r="H845" t="inlineStr"/>
    </row>
    <row r="846">
      <c r="A846" t="inlineStr">
        <is>
          <t>No</t>
        </is>
      </c>
      <c r="B846" t="inlineStr"/>
      <c r="C846" t="inlineStr"/>
      <c r="D846" t="inlineStr"/>
      <c r="E846" t="inlineStr"/>
      <c r="F846" t="inlineStr"/>
      <c r="G846" t="inlineStr"/>
      <c r="H846" t="inlineStr"/>
    </row>
    <row r="847">
      <c r="A847" t="inlineStr">
        <is>
          <t>No</t>
        </is>
      </c>
      <c r="B847" t="inlineStr"/>
      <c r="C847" t="inlineStr"/>
      <c r="D847" t="inlineStr"/>
      <c r="E847" t="inlineStr">
        <is>
          <t>My daughter didn't want me to :)</t>
        </is>
      </c>
      <c r="F847" t="inlineStr">
        <is>
          <t>Child Didn't Want Parent to Come</t>
        </is>
      </c>
      <c r="G847" t="inlineStr">
        <is>
          <t>Child Didn't Want Parent to Come</t>
        </is>
      </c>
      <c r="H847" t="inlineStr"/>
    </row>
    <row r="848">
      <c r="A848" t="inlineStr">
        <is>
          <t>No</t>
        </is>
      </c>
      <c r="B848" t="inlineStr"/>
      <c r="C848" t="inlineStr"/>
      <c r="D848" t="inlineStr"/>
      <c r="E848" t="inlineStr"/>
      <c r="F848" t="inlineStr"/>
      <c r="G848" t="inlineStr"/>
      <c r="H848" t="inlineStr"/>
    </row>
    <row r="849">
      <c r="A849" t="inlineStr">
        <is>
          <t>No</t>
        </is>
      </c>
      <c r="B849" t="inlineStr"/>
      <c r="C849" t="inlineStr"/>
      <c r="D849" t="inlineStr"/>
      <c r="E849" t="inlineStr">
        <is>
          <t>The cost. I would have loved to go.</t>
        </is>
      </c>
      <c r="F849" t="inlineStr">
        <is>
          <t>Cost / Finances</t>
        </is>
      </c>
      <c r="G849" t="inlineStr">
        <is>
          <t>Cost / Finances</t>
        </is>
      </c>
      <c r="H849" t="inlineStr"/>
    </row>
    <row r="850">
      <c r="A850" t="inlineStr">
        <is>
          <t>No</t>
        </is>
      </c>
      <c r="B850" t="inlineStr"/>
      <c r="C850" t="inlineStr"/>
      <c r="D850" t="inlineStr"/>
      <c r="E850" t="inlineStr">
        <is>
          <t>My daughter went to West Virginia last summer and had an amazing experience!</t>
        </is>
      </c>
      <c r="F850" t="inlineStr">
        <is>
          <t>Wants Child to Have Independent Experience</t>
        </is>
      </c>
      <c r="G850" t="inlineStr">
        <is>
          <t>Wants Child to Have Independent Experience</t>
        </is>
      </c>
      <c r="H850" t="inlineStr"/>
    </row>
    <row r="851">
      <c r="A851" t="inlineStr">
        <is>
          <t>No</t>
        </is>
      </c>
      <c r="B851" t="inlineStr"/>
      <c r="C851" t="inlineStr"/>
      <c r="D851" t="inlineStr"/>
      <c r="E851" t="inlineStr">
        <is>
          <t>Time and money</t>
        </is>
      </c>
      <c r="F851" t="inlineStr">
        <is>
          <t>Cost / Finances</t>
        </is>
      </c>
      <c r="G851" t="inlineStr">
        <is>
          <t>Cost / Finances; Work Schedule / Time Off</t>
        </is>
      </c>
      <c r="H851" t="inlineStr"/>
    </row>
    <row r="852">
      <c r="A852" t="inlineStr">
        <is>
          <t>No</t>
        </is>
      </c>
      <c r="B852" t="inlineStr"/>
      <c r="C852" t="inlineStr"/>
      <c r="D852" t="inlineStr"/>
      <c r="E852" t="inlineStr">
        <is>
          <t>Too busy and my child wants to go on her own</t>
        </is>
      </c>
      <c r="F852" t="inlineStr">
        <is>
          <t>Work Schedule / Time Off</t>
        </is>
      </c>
      <c r="G852" t="inlineStr">
        <is>
          <t>Work Schedule / Time Off; Wants Child to Have Independent Experience</t>
        </is>
      </c>
      <c r="H852" t="inlineStr"/>
    </row>
    <row r="853">
      <c r="A853" t="inlineStr">
        <is>
          <t>No</t>
        </is>
      </c>
      <c r="B853" t="inlineStr"/>
      <c r="C853" t="inlineStr"/>
      <c r="D853" t="inlineStr"/>
      <c r="E853" t="inlineStr">
        <is>
          <t>Builder did not want me to go</t>
        </is>
      </c>
      <c r="F853" t="inlineStr">
        <is>
          <t>Child Didn't Want Parent to Come</t>
        </is>
      </c>
      <c r="G853" t="inlineStr">
        <is>
          <t>Child Didn't Want Parent to Come</t>
        </is>
      </c>
      <c r="H853" t="inlineStr"/>
    </row>
    <row r="854">
      <c r="A854" t="inlineStr">
        <is>
          <t>No</t>
        </is>
      </c>
      <c r="B854" t="inlineStr"/>
      <c r="C854" t="inlineStr"/>
      <c r="D854" t="inlineStr"/>
      <c r="E854" t="inlineStr"/>
      <c r="F854" t="inlineStr"/>
      <c r="G854" t="inlineStr"/>
      <c r="H854" t="inlineStr"/>
    </row>
    <row r="855">
      <c r="A855" t="inlineStr">
        <is>
          <t>No</t>
        </is>
      </c>
      <c r="B855" t="inlineStr"/>
      <c r="C855" t="inlineStr"/>
      <c r="D855" t="inlineStr"/>
      <c r="E855" t="inlineStr">
        <is>
          <t>Younger children still at home</t>
        </is>
      </c>
      <c r="F855" t="inlineStr">
        <is>
          <t>Other Kids / Family at Home</t>
        </is>
      </c>
      <c r="G855" t="inlineStr">
        <is>
          <t>Other Kids / Family at Home</t>
        </is>
      </c>
      <c r="H855" t="inlineStr"/>
    </row>
    <row r="856">
      <c r="A856" t="inlineStr">
        <is>
          <t>No</t>
        </is>
      </c>
      <c r="B856" t="inlineStr"/>
      <c r="C856" t="inlineStr"/>
      <c r="D856" t="inlineStr"/>
      <c r="E856" t="inlineStr">
        <is>
          <t>I wanted my child to have his own experience.</t>
        </is>
      </c>
      <c r="F856" t="inlineStr">
        <is>
          <t>Wants Child to Have Independent Experience</t>
        </is>
      </c>
      <c r="G856" t="inlineStr">
        <is>
          <t>Wants Child to Have Independent Experience</t>
        </is>
      </c>
      <c r="H856" t="inlineStr"/>
    </row>
    <row r="857">
      <c r="A857" t="inlineStr">
        <is>
          <t>No</t>
        </is>
      </c>
      <c r="B857" t="inlineStr"/>
      <c r="C857" t="inlineStr"/>
      <c r="D857" t="inlineStr"/>
      <c r="E857" t="inlineStr">
        <is>
          <t>Already went, it was awesome</t>
        </is>
      </c>
      <c r="F857" t="inlineStr">
        <is>
          <t>Other / Uncategorized</t>
        </is>
      </c>
      <c r="G857" t="inlineStr"/>
      <c r="H857" t="inlineStr"/>
    </row>
    <row r="858">
      <c r="A858" t="inlineStr">
        <is>
          <t>Maybe</t>
        </is>
      </c>
      <c r="B858" t="inlineStr"/>
      <c r="C858" t="inlineStr"/>
      <c r="D858" t="inlineStr"/>
      <c r="E858" t="inlineStr"/>
      <c r="F858" t="inlineStr"/>
      <c r="G858" t="inlineStr"/>
      <c r="H858" t="inlineStr">
        <is>
          <t>Less expensive.</t>
        </is>
      </c>
    </row>
    <row r="859">
      <c r="A859" t="inlineStr">
        <is>
          <t>No</t>
        </is>
      </c>
      <c r="B859" t="inlineStr"/>
      <c r="C859" t="inlineStr"/>
      <c r="D859" t="inlineStr"/>
      <c r="E859" t="inlineStr">
        <is>
          <t>Trying to let my kids experience trust in themselves to go.</t>
        </is>
      </c>
      <c r="F859" t="inlineStr">
        <is>
          <t>Wants Child to Have Independent Experience</t>
        </is>
      </c>
      <c r="G859" t="inlineStr">
        <is>
          <t>Wants Child to Have Independent Experience</t>
        </is>
      </c>
      <c r="H859" t="inlineStr"/>
    </row>
    <row r="860">
      <c r="A860" t="inlineStr">
        <is>
          <t>Yes</t>
        </is>
      </c>
      <c r="B860" t="inlineStr">
        <is>
          <t>I wanted my kid and I to be closer together and close to Jesus together</t>
        </is>
      </c>
      <c r="C860" t="inlineStr">
        <is>
          <t>Wanted Shared Experience with Child</t>
        </is>
      </c>
      <c r="D860" t="inlineStr">
        <is>
          <t>Wanted Shared Experience with Child</t>
        </is>
      </c>
      <c r="E860" t="inlineStr"/>
      <c r="F860" t="inlineStr"/>
      <c r="G860" t="inlineStr"/>
      <c r="H860" t="inlineStr"/>
    </row>
    <row r="861">
      <c r="A861" t="inlineStr">
        <is>
          <t>No</t>
        </is>
      </c>
      <c r="B861" t="inlineStr"/>
      <c r="C861" t="inlineStr"/>
      <c r="D861" t="inlineStr"/>
      <c r="E861" t="inlineStr">
        <is>
          <t>Husband travels and I still have a son at home</t>
        </is>
      </c>
      <c r="F861" t="inlineStr">
        <is>
          <t>Other Kids / Family at Home</t>
        </is>
      </c>
      <c r="G861" t="inlineStr">
        <is>
          <t>Other Kids / Family at Home</t>
        </is>
      </c>
      <c r="H861" t="inlineStr"/>
    </row>
    <row r="862">
      <c r="A862" t="inlineStr">
        <is>
          <t>No</t>
        </is>
      </c>
      <c r="B862" t="inlineStr"/>
      <c r="C862" t="inlineStr"/>
      <c r="D862" t="inlineStr"/>
      <c r="E862" t="inlineStr">
        <is>
          <t>Our builder wanted to go solo</t>
        </is>
      </c>
      <c r="F862" t="inlineStr">
        <is>
          <t>Wants Child to Have Independent Experience</t>
        </is>
      </c>
      <c r="G862" t="inlineStr">
        <is>
          <t>Wants Child to Have Independent Experience</t>
        </is>
      </c>
      <c r="H862" t="inlineStr"/>
    </row>
    <row r="863">
      <c r="A863" t="inlineStr">
        <is>
          <t>No</t>
        </is>
      </c>
      <c r="B863" t="inlineStr"/>
      <c r="C863" t="inlineStr"/>
      <c r="D863" t="inlineStr"/>
      <c r="E863" t="inlineStr">
        <is>
          <t>Sibling went 2 years ago and loves it.</t>
        </is>
      </c>
      <c r="F863" t="inlineStr">
        <is>
          <t>Other Kids / Family at Home</t>
        </is>
      </c>
      <c r="G863" t="inlineStr">
        <is>
          <t>Other Kids / Family at Home</t>
        </is>
      </c>
      <c r="H863" t="inlineStr"/>
    </row>
    <row r="864">
      <c r="A864" t="inlineStr">
        <is>
          <t>Maybe</t>
        </is>
      </c>
      <c r="B864" t="inlineStr"/>
      <c r="C864" t="inlineStr"/>
      <c r="D864" t="inlineStr"/>
      <c r="E864" t="inlineStr"/>
      <c r="F864" t="inlineStr"/>
      <c r="G864" t="inlineStr"/>
      <c r="H864" t="inlineStr">
        <is>
          <t>Mostly not going as my child is wanting to experience things on his own and grow without mom or dad, however we have another one going next year who would love our company so next year is an option. Also, cost, which is a necessary unavoidable, priority trip options prior to the older age group.</t>
        </is>
      </c>
    </row>
    <row r="865">
      <c r="A865" t="inlineStr">
        <is>
          <t>No</t>
        </is>
      </c>
      <c r="B865" t="inlineStr"/>
      <c r="C865" t="inlineStr"/>
      <c r="D865" t="inlineStr"/>
      <c r="E865" t="inlineStr">
        <is>
          <t>Kids at home</t>
        </is>
      </c>
      <c r="F865" t="inlineStr">
        <is>
          <t>Other Kids / Family at Home</t>
        </is>
      </c>
      <c r="G865" t="inlineStr">
        <is>
          <t>Other Kids / Family at Home</t>
        </is>
      </c>
      <c r="H865" t="inlineStr"/>
    </row>
    <row r="866">
      <c r="A866" t="inlineStr">
        <is>
          <t>Maybe</t>
        </is>
      </c>
      <c r="B866" t="inlineStr"/>
      <c r="C866" t="inlineStr"/>
      <c r="D866" t="inlineStr"/>
      <c r="E866" t="inlineStr"/>
      <c r="F866" t="inlineStr"/>
      <c r="G866" t="inlineStr"/>
      <c r="H866" t="inlineStr"/>
    </row>
    <row r="867">
      <c r="A867" t="inlineStr">
        <is>
          <t>No</t>
        </is>
      </c>
      <c r="B867" t="inlineStr"/>
      <c r="C867" t="inlineStr"/>
      <c r="D867" t="inlineStr"/>
      <c r="E867" t="inlineStr">
        <is>
          <t>Money</t>
        </is>
      </c>
      <c r="F867" t="inlineStr">
        <is>
          <t>Cost / Finances</t>
        </is>
      </c>
      <c r="G867" t="inlineStr">
        <is>
          <t>Cost / Finances</t>
        </is>
      </c>
      <c r="H867" t="inlineStr"/>
    </row>
    <row r="868">
      <c r="A868" t="inlineStr">
        <is>
          <t>No</t>
        </is>
      </c>
      <c r="B868" t="inlineStr"/>
      <c r="C868" t="inlineStr"/>
      <c r="D868" t="inlineStr"/>
      <c r="E868" t="inlineStr">
        <is>
          <t>I have younger kids I can't leave</t>
        </is>
      </c>
      <c r="F868" t="inlineStr">
        <is>
          <t>Other Kids / Family at Home</t>
        </is>
      </c>
      <c r="G868" t="inlineStr">
        <is>
          <t>Other Kids / Family at Home</t>
        </is>
      </c>
      <c r="H868" t="inlineStr"/>
    </row>
    <row r="869">
      <c r="A869" t="inlineStr">
        <is>
          <t>No</t>
        </is>
      </c>
      <c r="B869" t="inlineStr"/>
      <c r="C869" t="inlineStr"/>
      <c r="D869" t="inlineStr"/>
      <c r="E869" t="inlineStr">
        <is>
          <t>Logistics with kids at home</t>
        </is>
      </c>
      <c r="F869" t="inlineStr">
        <is>
          <t>Other Kids / Family at Home</t>
        </is>
      </c>
      <c r="G869" t="inlineStr">
        <is>
          <t>Other Kids / Family at Home</t>
        </is>
      </c>
      <c r="H869" t="inlineStr"/>
    </row>
    <row r="870">
      <c r="A870" t="inlineStr">
        <is>
          <t>No</t>
        </is>
      </c>
      <c r="B870" t="inlineStr"/>
      <c r="C870" t="inlineStr"/>
      <c r="D870" t="inlineStr"/>
      <c r="E870" t="inlineStr">
        <is>
          <t>Cost</t>
        </is>
      </c>
      <c r="F870" t="inlineStr">
        <is>
          <t>Cost / Finances</t>
        </is>
      </c>
      <c r="G870" t="inlineStr">
        <is>
          <t>Cost / Finances</t>
        </is>
      </c>
      <c r="H870" t="inlineStr"/>
    </row>
    <row r="871">
      <c r="A871" t="inlineStr">
        <is>
          <t>No</t>
        </is>
      </c>
      <c r="B871" t="inlineStr"/>
      <c r="C871" t="inlineStr"/>
      <c r="D871" t="inlineStr"/>
      <c r="E871" t="inlineStr">
        <is>
          <t>Work</t>
        </is>
      </c>
      <c r="F871" t="inlineStr">
        <is>
          <t>Work Schedule / Time Off</t>
        </is>
      </c>
      <c r="G871" t="inlineStr">
        <is>
          <t>Work Schedule / Time Off</t>
        </is>
      </c>
      <c r="H871" t="inlineStr"/>
    </row>
    <row r="872">
      <c r="A872" t="inlineStr">
        <is>
          <t>No</t>
        </is>
      </c>
      <c r="B872" t="inlineStr"/>
      <c r="C872" t="inlineStr"/>
      <c r="D872" t="inlineStr"/>
      <c r="E872" t="inlineStr">
        <is>
          <t>We wanted our son to have an experience serving others, but also wanted him to experience being on his own (since he is graduation age)</t>
        </is>
      </c>
      <c r="F872" t="inlineStr">
        <is>
          <t>Wants Child to Have Independent Experience</t>
        </is>
      </c>
      <c r="G872" t="inlineStr">
        <is>
          <t>Wants Child to Have Independent Experience; Health / Physical / Age; Other Life Commitment</t>
        </is>
      </c>
      <c r="H872" t="inlineStr"/>
    </row>
    <row r="873">
      <c r="A873" t="inlineStr">
        <is>
          <t>No</t>
        </is>
      </c>
      <c r="B873" t="inlineStr"/>
      <c r="C873" t="inlineStr"/>
      <c r="D873" t="inlineStr"/>
      <c r="E873" t="inlineStr">
        <is>
          <t>Child didn't want us to come. We also wanted her to have this experience separate from us.</t>
        </is>
      </c>
      <c r="F873" t="inlineStr">
        <is>
          <t>Child Didn't Want Parent to Come</t>
        </is>
      </c>
      <c r="G873" t="inlineStr">
        <is>
          <t>Child Didn't Want Parent to Come; Wants Child to Have Independent Experience</t>
        </is>
      </c>
      <c r="H873" t="inlineStr"/>
    </row>
    <row r="874">
      <c r="A874" t="inlineStr">
        <is>
          <t>No</t>
        </is>
      </c>
      <c r="B874" t="inlineStr"/>
      <c r="C874" t="inlineStr"/>
      <c r="D874" t="inlineStr"/>
      <c r="E874" t="inlineStr">
        <is>
          <t>Work</t>
        </is>
      </c>
      <c r="F874" t="inlineStr">
        <is>
          <t>Work Schedule / Time Off</t>
        </is>
      </c>
      <c r="G874" t="inlineStr">
        <is>
          <t>Work Schedule / Time Off</t>
        </is>
      </c>
      <c r="H874" t="inlineStr"/>
    </row>
    <row r="875">
      <c r="A875" t="inlineStr">
        <is>
          <t>Yes</t>
        </is>
      </c>
      <c r="B875" t="inlineStr">
        <is>
          <t>My daughter invited me</t>
        </is>
      </c>
      <c r="C875" t="inlineStr">
        <is>
          <t>Child/Spouse Asked Them to Go</t>
        </is>
      </c>
      <c r="D875" t="inlineStr">
        <is>
          <t>Child/Spouse Asked Them to Go</t>
        </is>
      </c>
      <c r="E875" t="inlineStr"/>
      <c r="F875" t="inlineStr"/>
      <c r="G875" t="inlineStr"/>
      <c r="H875" t="inlineStr"/>
    </row>
    <row r="876">
      <c r="A876" t="inlineStr">
        <is>
          <t>No</t>
        </is>
      </c>
      <c r="B876" t="inlineStr"/>
      <c r="C876" t="inlineStr"/>
      <c r="D876" t="inlineStr"/>
      <c r="E876" t="inlineStr">
        <is>
          <t>We like the humanitarian trip experience before high school graduation</t>
        </is>
      </c>
      <c r="F876" t="inlineStr">
        <is>
          <t>Wants Child to Have Independent Experience</t>
        </is>
      </c>
      <c r="G876" t="inlineStr">
        <is>
          <t>Wants Child to Have Independent Experience; Other Life Commitment</t>
        </is>
      </c>
      <c r="H876" t="inlineStr"/>
    </row>
    <row r="877">
      <c r="A877" t="inlineStr">
        <is>
          <t>No</t>
        </is>
      </c>
      <c r="B877" t="inlineStr"/>
      <c r="C877" t="inlineStr"/>
      <c r="D877" t="inlineStr"/>
      <c r="E877" t="inlineStr">
        <is>
          <t>Money</t>
        </is>
      </c>
      <c r="F877" t="inlineStr">
        <is>
          <t>Cost / Finances</t>
        </is>
      </c>
      <c r="G877" t="inlineStr">
        <is>
          <t>Cost / Finances</t>
        </is>
      </c>
      <c r="H877" t="inlineStr"/>
    </row>
    <row r="878">
      <c r="A878" t="inlineStr">
        <is>
          <t>No</t>
        </is>
      </c>
      <c r="B878" t="inlineStr"/>
      <c r="C878" t="inlineStr"/>
      <c r="D878" t="inlineStr"/>
      <c r="E878" t="inlineStr">
        <is>
          <t>Money</t>
        </is>
      </c>
      <c r="F878" t="inlineStr">
        <is>
          <t>Cost / Finances</t>
        </is>
      </c>
      <c r="G878" t="inlineStr">
        <is>
          <t>Cost / Finances</t>
        </is>
      </c>
      <c r="H878" t="inlineStr"/>
    </row>
    <row r="879">
      <c r="A879" t="inlineStr">
        <is>
          <t>No</t>
        </is>
      </c>
      <c r="B879" t="inlineStr"/>
      <c r="C879" t="inlineStr"/>
      <c r="D879" t="inlineStr"/>
      <c r="E879" t="inlineStr">
        <is>
          <t>Cost and time away from home (family and job commitments)</t>
        </is>
      </c>
      <c r="F879" t="inlineStr">
        <is>
          <t>Cost / Finances</t>
        </is>
      </c>
      <c r="G879" t="inlineStr">
        <is>
          <t>Cost / Finances; Work Schedule / Time Off; Other Kids / Family at Home</t>
        </is>
      </c>
      <c r="H879" t="inlineStr"/>
    </row>
    <row r="880">
      <c r="A880" t="inlineStr">
        <is>
          <t>No</t>
        </is>
      </c>
      <c r="B880" t="inlineStr"/>
      <c r="C880" t="inlineStr"/>
      <c r="D880" t="inlineStr"/>
      <c r="E880" t="inlineStr">
        <is>
          <t>Wanted my son to have an experience living independently from parents.</t>
        </is>
      </c>
      <c r="F880" t="inlineStr">
        <is>
          <t>Wants Child to Have Independent Experience</t>
        </is>
      </c>
      <c r="G880" t="inlineStr">
        <is>
          <t>Wants Child to Have Independent Experience</t>
        </is>
      </c>
      <c r="H880" t="inlineStr"/>
    </row>
    <row r="881">
      <c r="A881" t="inlineStr">
        <is>
          <t>No</t>
        </is>
      </c>
      <c r="B881" t="inlineStr"/>
      <c r="C881" t="inlineStr"/>
      <c r="D881" t="inlineStr"/>
      <c r="E881" t="inlineStr"/>
      <c r="F881" t="inlineStr"/>
      <c r="G881" t="inlineStr"/>
      <c r="H881" t="inlineStr"/>
    </row>
    <row r="882">
      <c r="A882" t="inlineStr">
        <is>
          <t>No</t>
        </is>
      </c>
      <c r="B882" t="inlineStr"/>
      <c r="C882" t="inlineStr"/>
      <c r="D882" t="inlineStr"/>
      <c r="E882" t="inlineStr">
        <is>
          <t>Cost</t>
        </is>
      </c>
      <c r="F882" t="inlineStr">
        <is>
          <t>Cost / Finances</t>
        </is>
      </c>
      <c r="G882" t="inlineStr">
        <is>
          <t>Cost / Finances</t>
        </is>
      </c>
      <c r="H882" t="inlineStr"/>
    </row>
    <row r="883">
      <c r="A883" t="inlineStr">
        <is>
          <t>No</t>
        </is>
      </c>
      <c r="B883" t="inlineStr"/>
      <c r="C883" t="inlineStr"/>
      <c r="D883" t="inlineStr"/>
      <c r="E883" t="inlineStr">
        <is>
          <t>Didn't know it was an option, money, time commitment</t>
        </is>
      </c>
      <c r="F883" t="inlineStr">
        <is>
          <t>Cost / Finances</t>
        </is>
      </c>
      <c r="G883" t="inlineStr">
        <is>
          <t>Cost / Finances; Work Schedule / Time Off; Not Aware It Was an Option</t>
        </is>
      </c>
      <c r="H883" t="inlineStr"/>
    </row>
    <row r="884">
      <c r="A884" t="inlineStr">
        <is>
          <t>No</t>
        </is>
      </c>
      <c r="B884" t="inlineStr"/>
      <c r="C884" t="inlineStr"/>
      <c r="D884" t="inlineStr"/>
      <c r="E884" t="inlineStr">
        <is>
          <t>Wanted my child to have her own experience.</t>
        </is>
      </c>
      <c r="F884" t="inlineStr">
        <is>
          <t>Wants Child to Have Independent Experience</t>
        </is>
      </c>
      <c r="G884" t="inlineStr">
        <is>
          <t>Wants Child to Have Independent Experience</t>
        </is>
      </c>
      <c r="H884" t="inlineStr"/>
    </row>
    <row r="885">
      <c r="A885" t="inlineStr">
        <is>
          <t>No</t>
        </is>
      </c>
      <c r="B885" t="inlineStr"/>
      <c r="C885" t="inlineStr"/>
      <c r="D885" t="inlineStr"/>
      <c r="E885" t="inlineStr">
        <is>
          <t>Small children at home. The cost of a nanny while I am gone would be difficult to manage.</t>
        </is>
      </c>
      <c r="F885" t="inlineStr">
        <is>
          <t>Cost / Finances</t>
        </is>
      </c>
      <c r="G885" t="inlineStr">
        <is>
          <t>Cost / Finances; Other Kids / Family at Home</t>
        </is>
      </c>
      <c r="H885" t="inlineStr"/>
    </row>
    <row r="886">
      <c r="A886" t="inlineStr">
        <is>
          <t>No</t>
        </is>
      </c>
      <c r="B886" t="inlineStr"/>
      <c r="C886" t="inlineStr"/>
      <c r="D886" t="inlineStr"/>
      <c r="E886" t="inlineStr">
        <is>
          <t>Cost and logistics of leaving my other children at home for that length of time</t>
        </is>
      </c>
      <c r="F886" t="inlineStr">
        <is>
          <t>Cost / Finances</t>
        </is>
      </c>
      <c r="G886" t="inlineStr">
        <is>
          <t>Cost / Finances; Work Schedule / Time Off; Other Kids / Family at Home</t>
        </is>
      </c>
      <c r="H886" t="inlineStr"/>
    </row>
    <row r="887">
      <c r="A887" t="inlineStr">
        <is>
          <t>No</t>
        </is>
      </c>
      <c r="B887" t="inlineStr"/>
      <c r="C887" t="inlineStr"/>
      <c r="D887" t="inlineStr"/>
      <c r="E887" t="inlineStr">
        <is>
          <t>Expense</t>
        </is>
      </c>
      <c r="F887" t="inlineStr">
        <is>
          <t>Cost / Finances</t>
        </is>
      </c>
      <c r="G887" t="inlineStr">
        <is>
          <t>Cost / Finances</t>
        </is>
      </c>
      <c r="H887" t="inlineStr"/>
    </row>
    <row r="888">
      <c r="A888" t="inlineStr">
        <is>
          <t>No</t>
        </is>
      </c>
      <c r="B888" t="inlineStr"/>
      <c r="C888" t="inlineStr"/>
      <c r="D888" t="inlineStr"/>
      <c r="E888" t="inlineStr">
        <is>
          <t>My son likes going without a parent there</t>
        </is>
      </c>
      <c r="F888" t="inlineStr">
        <is>
          <t>Wants Child to Have Independent Experience</t>
        </is>
      </c>
      <c r="G888" t="inlineStr">
        <is>
          <t>Wants Child to Have Independent Experience</t>
        </is>
      </c>
      <c r="H888" t="inlineStr"/>
    </row>
    <row r="889">
      <c r="A889" t="inlineStr">
        <is>
          <t>No</t>
        </is>
      </c>
      <c r="B889" t="inlineStr"/>
      <c r="C889" t="inlineStr"/>
      <c r="D889" t="inlineStr"/>
      <c r="E889" t="inlineStr">
        <is>
          <t>My son didn't want me on the trip.</t>
        </is>
      </c>
      <c r="F889" t="inlineStr">
        <is>
          <t>Child Didn't Want Parent to Come</t>
        </is>
      </c>
      <c r="G889" t="inlineStr">
        <is>
          <t>Child Didn't Want Parent to Come</t>
        </is>
      </c>
      <c r="H889" t="inlineStr"/>
    </row>
    <row r="890">
      <c r="A890" t="inlineStr">
        <is>
          <t>No</t>
        </is>
      </c>
      <c r="B890" t="inlineStr"/>
      <c r="C890" t="inlineStr"/>
      <c r="D890" t="inlineStr"/>
      <c r="E890" t="inlineStr">
        <is>
          <t>I work full time and just don't have the time, otherwise I would go.</t>
        </is>
      </c>
      <c r="F890" t="inlineStr">
        <is>
          <t>Work Schedule / Time Off</t>
        </is>
      </c>
      <c r="G890" t="inlineStr">
        <is>
          <t>Work Schedule / Time Off</t>
        </is>
      </c>
      <c r="H890" t="inlineStr"/>
    </row>
    <row r="891">
      <c r="A891" t="inlineStr">
        <is>
          <t>No</t>
        </is>
      </c>
      <c r="B891" t="inlineStr"/>
      <c r="C891" t="inlineStr"/>
      <c r="D891" t="inlineStr"/>
      <c r="E891" t="inlineStr">
        <is>
          <t>Time away from my other kids</t>
        </is>
      </c>
      <c r="F891" t="inlineStr">
        <is>
          <t>Work Schedule / Time Off</t>
        </is>
      </c>
      <c r="G891" t="inlineStr">
        <is>
          <t>Work Schedule / Time Off; Other Kids / Family at Home</t>
        </is>
      </c>
      <c r="H891" t="inlineStr"/>
    </row>
    <row r="892">
      <c r="A892" t="inlineStr">
        <is>
          <t>No</t>
        </is>
      </c>
      <c r="B892" t="inlineStr"/>
      <c r="C892" t="inlineStr"/>
      <c r="D892" t="inlineStr"/>
      <c r="E892" t="inlineStr">
        <is>
          <t>I'm busy working.</t>
        </is>
      </c>
      <c r="F892" t="inlineStr">
        <is>
          <t>Work Schedule / Time Off</t>
        </is>
      </c>
      <c r="G892" t="inlineStr">
        <is>
          <t>Work Schedule / Time Off</t>
        </is>
      </c>
      <c r="H892" t="inlineStr"/>
    </row>
    <row r="893">
      <c r="A893" t="inlineStr">
        <is>
          <t>No</t>
        </is>
      </c>
      <c r="B893" t="inlineStr"/>
      <c r="C893" t="inlineStr"/>
      <c r="D893" t="inlineStr"/>
      <c r="E893" t="inlineStr"/>
      <c r="F893" t="inlineStr"/>
      <c r="G893" t="inlineStr"/>
      <c r="H893" t="inlineStr"/>
    </row>
    <row r="894">
      <c r="A894" t="inlineStr">
        <is>
          <t>No</t>
        </is>
      </c>
      <c r="B894" t="inlineStr"/>
      <c r="C894" t="inlineStr"/>
      <c r="D894" t="inlineStr"/>
      <c r="E894" t="inlineStr">
        <is>
          <t>Money. Time away from work</t>
        </is>
      </c>
      <c r="F894" t="inlineStr">
        <is>
          <t>Cost / Finances</t>
        </is>
      </c>
      <c r="G894" t="inlineStr">
        <is>
          <t>Cost / Finances; Work Schedule / Time Off</t>
        </is>
      </c>
      <c r="H894" t="inlineStr"/>
    </row>
    <row r="895">
      <c r="A895" t="inlineStr">
        <is>
          <t>No</t>
        </is>
      </c>
      <c r="B895" t="inlineStr"/>
      <c r="C895" t="inlineStr"/>
      <c r="D895" t="inlineStr"/>
      <c r="E895" t="inlineStr">
        <is>
          <t>My child would like to have their own experience away from home.</t>
        </is>
      </c>
      <c r="F895" t="inlineStr">
        <is>
          <t>Other Kids / Family at Home</t>
        </is>
      </c>
      <c r="G895" t="inlineStr">
        <is>
          <t>Other Kids / Family at Home; Wants Child to Have Independent Experience</t>
        </is>
      </c>
      <c r="H895" t="inlineStr"/>
    </row>
    <row r="896">
      <c r="A896" t="inlineStr">
        <is>
          <t>No</t>
        </is>
      </c>
      <c r="B896" t="inlineStr"/>
      <c r="C896" t="inlineStr"/>
      <c r="D896" t="inlineStr"/>
      <c r="E896" t="inlineStr">
        <is>
          <t>Other kids at home</t>
        </is>
      </c>
      <c r="F896" t="inlineStr">
        <is>
          <t>Other Kids / Family at Home</t>
        </is>
      </c>
      <c r="G896" t="inlineStr">
        <is>
          <t>Other Kids / Family at Home</t>
        </is>
      </c>
      <c r="H896" t="inlineStr"/>
    </row>
    <row r="897">
      <c r="A897" t="inlineStr">
        <is>
          <t>No</t>
        </is>
      </c>
      <c r="B897" t="inlineStr"/>
      <c r="C897" t="inlineStr"/>
      <c r="D897" t="inlineStr"/>
      <c r="E897" t="inlineStr">
        <is>
          <t>I wanted my child to have the experience of doing it alone!</t>
        </is>
      </c>
      <c r="F897" t="inlineStr">
        <is>
          <t>Wants Child to Have Independent Experience</t>
        </is>
      </c>
      <c r="G897" t="inlineStr">
        <is>
          <t>Wants Child to Have Independent Experience</t>
        </is>
      </c>
      <c r="H897" t="inlineStr"/>
    </row>
    <row r="898">
      <c r="A898" t="inlineStr">
        <is>
          <t>No</t>
        </is>
      </c>
      <c r="B898" t="inlineStr"/>
      <c r="C898" t="inlineStr"/>
      <c r="D898" t="inlineStr"/>
      <c r="E898" t="inlineStr">
        <is>
          <t>My schedule doesn't work</t>
        </is>
      </c>
      <c r="F898" t="inlineStr">
        <is>
          <t>Work Schedule / Time Off</t>
        </is>
      </c>
      <c r="G898" t="inlineStr">
        <is>
          <t>Work Schedule / Time Off</t>
        </is>
      </c>
      <c r="H898" t="inlineStr"/>
    </row>
    <row r="899">
      <c r="A899" t="inlineStr">
        <is>
          <t>No</t>
        </is>
      </c>
      <c r="B899" t="inlineStr"/>
      <c r="C899" t="inlineStr"/>
      <c r="D899" t="inlineStr"/>
      <c r="E899" t="inlineStr">
        <is>
          <t>My oldest daughter is leaving for her mission during the trip</t>
        </is>
      </c>
      <c r="F899" t="inlineStr">
        <is>
          <t>Other Life Commitment</t>
        </is>
      </c>
      <c r="G899" t="inlineStr">
        <is>
          <t>Other Life Commitment</t>
        </is>
      </c>
      <c r="H899" t="inlineStr"/>
    </row>
    <row r="900">
      <c r="A900" t="inlineStr">
        <is>
          <t>No</t>
        </is>
      </c>
      <c r="B900" t="inlineStr"/>
      <c r="C900" t="inlineStr"/>
      <c r="D900" t="inlineStr"/>
      <c r="E900" t="inlineStr">
        <is>
          <t>Money</t>
        </is>
      </c>
      <c r="F900" t="inlineStr">
        <is>
          <t>Cost / Finances</t>
        </is>
      </c>
      <c r="G900" t="inlineStr">
        <is>
          <t>Cost / Finances</t>
        </is>
      </c>
      <c r="H900" t="inlineStr"/>
    </row>
    <row r="901">
      <c r="A901" t="inlineStr">
        <is>
          <t>Yes</t>
        </is>
      </c>
      <c r="B901" t="inlineStr">
        <is>
          <t>My daughter asked for me to come and this will be the last summer before she graduates from HS.</t>
        </is>
      </c>
      <c r="C901" t="inlineStr">
        <is>
          <t>Child/Spouse Asked Them to Go</t>
        </is>
      </c>
      <c r="D901" t="inlineStr">
        <is>
          <t>Child/Spouse Asked Them to Go</t>
        </is>
      </c>
      <c r="E901" t="inlineStr"/>
      <c r="F901" t="inlineStr"/>
      <c r="G901" t="inlineStr"/>
      <c r="H901" t="inlineStr"/>
    </row>
    <row r="902">
      <c r="A902" t="inlineStr">
        <is>
          <t>No</t>
        </is>
      </c>
      <c r="B902" t="inlineStr"/>
      <c r="C902" t="inlineStr"/>
      <c r="D902" t="inlineStr"/>
      <c r="E902" t="inlineStr">
        <is>
          <t>More kids at home</t>
        </is>
      </c>
      <c r="F902" t="inlineStr">
        <is>
          <t>Other Kids / Family at Home</t>
        </is>
      </c>
      <c r="G902" t="inlineStr">
        <is>
          <t>Other Kids / Family at Home</t>
        </is>
      </c>
      <c r="H902" t="inlineStr"/>
    </row>
    <row r="903">
      <c r="A903" t="inlineStr">
        <is>
          <t>No</t>
        </is>
      </c>
      <c r="B903" t="inlineStr"/>
      <c r="C903" t="inlineStr"/>
      <c r="D903" t="inlineStr"/>
      <c r="E903" t="inlineStr">
        <is>
          <t>Couldn't take the time off, younger siblings at home.</t>
        </is>
      </c>
      <c r="F903" t="inlineStr">
        <is>
          <t>Work Schedule / Time Off</t>
        </is>
      </c>
      <c r="G903" t="inlineStr">
        <is>
          <t>Work Schedule / Time Off; Other Kids / Family at Home</t>
        </is>
      </c>
      <c r="H903" t="inlineStr"/>
    </row>
    <row r="904">
      <c r="A904" t="inlineStr">
        <is>
          <t>No</t>
        </is>
      </c>
      <c r="B904" t="inlineStr"/>
      <c r="C904" t="inlineStr"/>
      <c r="D904" t="inlineStr"/>
      <c r="E904" t="inlineStr">
        <is>
          <t>My son needs to be on a trip without me.</t>
        </is>
      </c>
      <c r="F904" t="inlineStr">
        <is>
          <t>Wants Child to Have Independent Experience</t>
        </is>
      </c>
      <c r="G904" t="inlineStr">
        <is>
          <t>Wants Child to Have Independent Experience</t>
        </is>
      </c>
      <c r="H904" t="inlineStr"/>
    </row>
    <row r="905">
      <c r="A905" t="inlineStr">
        <is>
          <t>Yes</t>
        </is>
      </c>
      <c r="B905" t="inlineStr">
        <is>
          <t>I was asked by the trip leader if I could go.</t>
        </is>
      </c>
      <c r="C905" t="inlineStr">
        <is>
          <t>Personally Invited by HXP Staff/Trip Leader</t>
        </is>
      </c>
      <c r="D905" t="inlineStr">
        <is>
          <t>Personally Invited by HXP Staff/Trip Leader</t>
        </is>
      </c>
      <c r="E905" t="inlineStr"/>
      <c r="F905" t="inlineStr"/>
      <c r="G905" t="inlineStr"/>
      <c r="H905" t="inlineStr"/>
    </row>
    <row r="906">
      <c r="A906" t="inlineStr">
        <is>
          <t>No</t>
        </is>
      </c>
      <c r="B906" t="inlineStr"/>
      <c r="C906" t="inlineStr"/>
      <c r="D906" t="inlineStr"/>
      <c r="E906" t="inlineStr">
        <is>
          <t>Wanted my child to have the experience without me overseeing</t>
        </is>
      </c>
      <c r="F906" t="inlineStr">
        <is>
          <t>Wants Child to Have Independent Experience</t>
        </is>
      </c>
      <c r="G906" t="inlineStr">
        <is>
          <t>Wants Child to Have Independent Experience</t>
        </is>
      </c>
      <c r="H906" t="inlineStr"/>
    </row>
    <row r="907">
      <c r="A907" t="inlineStr">
        <is>
          <t>No</t>
        </is>
      </c>
      <c r="B907" t="inlineStr"/>
      <c r="C907" t="inlineStr"/>
      <c r="D907" t="inlineStr"/>
      <c r="E907" t="inlineStr">
        <is>
          <t>Child care for other kids</t>
        </is>
      </c>
      <c r="F907" t="inlineStr">
        <is>
          <t>Other Kids / Family at Home</t>
        </is>
      </c>
      <c r="G907" t="inlineStr">
        <is>
          <t>Other Kids / Family at Home</t>
        </is>
      </c>
      <c r="H907" t="inlineStr"/>
    </row>
    <row r="908">
      <c r="A908" t="inlineStr">
        <is>
          <t>No</t>
        </is>
      </c>
      <c r="B908" t="inlineStr"/>
      <c r="C908" t="inlineStr"/>
      <c r="D908" t="inlineStr"/>
      <c r="E908" t="inlineStr">
        <is>
          <t>I have had three other children participate in this experience and it has always been great!</t>
        </is>
      </c>
      <c r="F908" t="inlineStr">
        <is>
          <t>Other Kids / Family at Home</t>
        </is>
      </c>
      <c r="G908" t="inlineStr">
        <is>
          <t>Other Kids / Family at Home; Wants Child to Have Independent Experience</t>
        </is>
      </c>
      <c r="H908" t="inlineStr"/>
    </row>
    <row r="909">
      <c r="A909" t="inlineStr">
        <is>
          <t>Yes</t>
        </is>
      </c>
      <c r="B909" t="inlineStr">
        <is>
          <t>My daughter and wife</t>
        </is>
      </c>
      <c r="C909" t="inlineStr">
        <is>
          <t>Family Member Was the Reason (No Elaboration)</t>
        </is>
      </c>
      <c r="D909" t="inlineStr">
        <is>
          <t>Family Member Was the Reason (No Elaboration)</t>
        </is>
      </c>
      <c r="E909" t="inlineStr"/>
      <c r="F909" t="inlineStr"/>
      <c r="G909" t="inlineStr"/>
      <c r="H909" t="inlineStr"/>
    </row>
    <row r="910">
      <c r="A910" t="inlineStr">
        <is>
          <t>No</t>
        </is>
      </c>
      <c r="B910" t="inlineStr"/>
      <c r="C910" t="inlineStr"/>
      <c r="D910" t="inlineStr"/>
      <c r="E910" t="inlineStr">
        <is>
          <t>My daughter did not want me to go.</t>
        </is>
      </c>
      <c r="F910" t="inlineStr">
        <is>
          <t>Child Didn't Want Parent to Come</t>
        </is>
      </c>
      <c r="G910" t="inlineStr">
        <is>
          <t>Child Didn't Want Parent to Come</t>
        </is>
      </c>
      <c r="H910" t="inlineStr"/>
    </row>
    <row r="911">
      <c r="A911" t="inlineStr">
        <is>
          <t>No</t>
        </is>
      </c>
      <c r="B911" t="inlineStr"/>
      <c r="C911" t="inlineStr"/>
      <c r="D911" t="inlineStr"/>
      <c r="E911" t="inlineStr">
        <is>
          <t>Kids at home</t>
        </is>
      </c>
      <c r="F911" t="inlineStr">
        <is>
          <t>Other Kids / Family at Home</t>
        </is>
      </c>
      <c r="G911" t="inlineStr">
        <is>
          <t>Other Kids / Family at Home</t>
        </is>
      </c>
      <c r="H911" t="inlineStr"/>
    </row>
    <row r="912">
      <c r="A912" t="inlineStr">
        <is>
          <t>No</t>
        </is>
      </c>
      <c r="B912" t="inlineStr"/>
      <c r="C912" t="inlineStr"/>
      <c r="D912" t="inlineStr"/>
      <c r="E912" t="inlineStr">
        <is>
          <t>Did it before - amazing experience</t>
        </is>
      </c>
      <c r="F912" t="inlineStr">
        <is>
          <t>Wants Child to Have Independent Experience</t>
        </is>
      </c>
      <c r="G912" t="inlineStr">
        <is>
          <t>Wants Child to Have Independent Experience</t>
        </is>
      </c>
      <c r="H912" t="inlineStr"/>
    </row>
    <row r="913">
      <c r="A913" t="inlineStr">
        <is>
          <t>No</t>
        </is>
      </c>
      <c r="B913" t="inlineStr"/>
      <c r="C913" t="inlineStr"/>
      <c r="D913" t="inlineStr"/>
      <c r="E913" t="inlineStr">
        <is>
          <t>four younger children</t>
        </is>
      </c>
      <c r="F913" t="inlineStr">
        <is>
          <t>Other Kids / Family at Home</t>
        </is>
      </c>
      <c r="G913" t="inlineStr">
        <is>
          <t>Other Kids / Family at Home</t>
        </is>
      </c>
      <c r="H913" t="inlineStr"/>
    </row>
    <row r="914">
      <c r="A914" t="inlineStr">
        <is>
          <t>No</t>
        </is>
      </c>
      <c r="B914" t="inlineStr"/>
      <c r="C914" t="inlineStr"/>
      <c r="D914" t="inlineStr"/>
      <c r="E914" t="inlineStr">
        <is>
          <t>Don't have time to be gone that long</t>
        </is>
      </c>
      <c r="F914" t="inlineStr">
        <is>
          <t>Work Schedule / Time Off</t>
        </is>
      </c>
      <c r="G914" t="inlineStr">
        <is>
          <t>Work Schedule / Time Off</t>
        </is>
      </c>
      <c r="H914" t="inlineStr"/>
    </row>
    <row r="915">
      <c r="A915" t="inlineStr">
        <is>
          <t>No</t>
        </is>
      </c>
      <c r="B915" t="inlineStr"/>
      <c r="C915" t="inlineStr"/>
      <c r="D915" t="inlineStr"/>
      <c r="E915" t="inlineStr"/>
      <c r="F915" t="inlineStr"/>
      <c r="G915" t="inlineStr"/>
      <c r="H915" t="inlineStr"/>
    </row>
    <row r="916">
      <c r="A916" t="inlineStr">
        <is>
          <t>No</t>
        </is>
      </c>
      <c r="B916" t="inlineStr"/>
      <c r="C916" t="inlineStr"/>
      <c r="D916" t="inlineStr"/>
      <c r="E916" t="inlineStr">
        <is>
          <t>Too long being away from home</t>
        </is>
      </c>
      <c r="F916" t="inlineStr">
        <is>
          <t>Other Kids / Family at Home</t>
        </is>
      </c>
      <c r="G916" t="inlineStr">
        <is>
          <t>Other Kids / Family at Home</t>
        </is>
      </c>
      <c r="H916" t="inlineStr"/>
    </row>
    <row r="917">
      <c r="A917" t="inlineStr">
        <is>
          <t>Yes</t>
        </is>
      </c>
      <c r="B917" t="inlineStr">
        <is>
          <t>Love the youth and quality time with our children.</t>
        </is>
      </c>
      <c r="C917" t="inlineStr">
        <is>
          <t>Wanted Shared Experience with Child</t>
        </is>
      </c>
      <c r="D917" t="inlineStr">
        <is>
          <t>Wanted Shared Experience with Child</t>
        </is>
      </c>
      <c r="E917" t="inlineStr"/>
      <c r="F917" t="inlineStr"/>
      <c r="G917" t="inlineStr"/>
      <c r="H917" t="inlineStr"/>
    </row>
    <row r="918">
      <c r="A918" t="inlineStr">
        <is>
          <t>No</t>
        </is>
      </c>
      <c r="B918" t="inlineStr"/>
      <c r="C918" t="inlineStr"/>
      <c r="D918" t="inlineStr"/>
      <c r="E918" t="inlineStr">
        <is>
          <t>My son needs to have his own experience</t>
        </is>
      </c>
      <c r="F918" t="inlineStr">
        <is>
          <t>Wants Child to Have Independent Experience</t>
        </is>
      </c>
      <c r="G918" t="inlineStr">
        <is>
          <t>Wants Child to Have Independent Experience</t>
        </is>
      </c>
      <c r="H918" t="inlineStr"/>
    </row>
    <row r="919">
      <c r="A919" t="inlineStr">
        <is>
          <t>No</t>
        </is>
      </c>
      <c r="B919" t="inlineStr"/>
      <c r="C919" t="inlineStr"/>
      <c r="D919" t="inlineStr"/>
      <c r="E919" t="inlineStr">
        <is>
          <t>Work</t>
        </is>
      </c>
      <c r="F919" t="inlineStr">
        <is>
          <t>Work Schedule / Time Off</t>
        </is>
      </c>
      <c r="G919" t="inlineStr">
        <is>
          <t>Work Schedule / Time Off</t>
        </is>
      </c>
      <c r="H919" t="inlineStr"/>
    </row>
    <row r="920">
      <c r="A920" t="inlineStr">
        <is>
          <t>No</t>
        </is>
      </c>
      <c r="B920" t="inlineStr"/>
      <c r="C920" t="inlineStr"/>
      <c r="D920" t="inlineStr"/>
      <c r="E920" t="inlineStr">
        <is>
          <t>I have another son with special needs that I need to care for and the other parent is a surgeon who can't take time off work for that long.</t>
        </is>
      </c>
      <c r="F920" t="inlineStr">
        <is>
          <t>Work Schedule / Time Off</t>
        </is>
      </c>
      <c r="G920" t="inlineStr">
        <is>
          <t>Work Schedule / Time Off; Other Kids / Family at Home</t>
        </is>
      </c>
      <c r="H920" t="inlineStr"/>
    </row>
    <row r="921">
      <c r="A921" t="inlineStr">
        <is>
          <t>No</t>
        </is>
      </c>
      <c r="B921" t="inlineStr"/>
      <c r="C921" t="inlineStr"/>
      <c r="D921" t="inlineStr"/>
      <c r="E921" t="inlineStr">
        <is>
          <t>Other children at home to care for</t>
        </is>
      </c>
      <c r="F921" t="inlineStr">
        <is>
          <t>Other Kids / Family at Home</t>
        </is>
      </c>
      <c r="G921" t="inlineStr">
        <is>
          <t>Other Kids / Family at Home</t>
        </is>
      </c>
      <c r="H921" t="inlineStr"/>
    </row>
    <row r="922">
      <c r="A922" t="inlineStr">
        <is>
          <t>No</t>
        </is>
      </c>
      <c r="B922" t="inlineStr"/>
      <c r="C922" t="inlineStr"/>
      <c r="D922" t="inlineStr"/>
      <c r="E922" t="inlineStr">
        <is>
          <t>Too much time away from my other kids.</t>
        </is>
      </c>
      <c r="F922" t="inlineStr">
        <is>
          <t>Work Schedule / Time Off</t>
        </is>
      </c>
      <c r="G922" t="inlineStr">
        <is>
          <t>Work Schedule / Time Off; Other Kids / Family at Home</t>
        </is>
      </c>
      <c r="H922" t="inlineStr"/>
    </row>
    <row r="923">
      <c r="A923" t="inlineStr">
        <is>
          <t>No</t>
        </is>
      </c>
      <c r="B923" t="inlineStr"/>
      <c r="C923" t="inlineStr"/>
      <c r="D923" t="inlineStr"/>
      <c r="E923" t="inlineStr">
        <is>
          <t>Wanted my daughter to have her own experience. Would like to go in future, but a little too pricey to help her and me go.</t>
        </is>
      </c>
      <c r="F923" t="inlineStr">
        <is>
          <t>Wants Child to Have Independent Experience</t>
        </is>
      </c>
      <c r="G923" t="inlineStr">
        <is>
          <t>Wants Child to Have Independent Experience</t>
        </is>
      </c>
      <c r="H923" t="inlineStr"/>
    </row>
    <row r="924">
      <c r="A924" t="inlineStr">
        <is>
          <t>No</t>
        </is>
      </c>
      <c r="B924" t="inlineStr"/>
      <c r="C924" t="inlineStr"/>
      <c r="D924" t="inlineStr"/>
      <c r="E924" t="inlineStr">
        <is>
          <t>Cost</t>
        </is>
      </c>
      <c r="F924" t="inlineStr">
        <is>
          <t>Cost / Finances</t>
        </is>
      </c>
      <c r="G924" t="inlineStr">
        <is>
          <t>Cost / Finances</t>
        </is>
      </c>
      <c r="H924" t="inlineStr"/>
    </row>
    <row r="925">
      <c r="A925" t="inlineStr">
        <is>
          <t>No</t>
        </is>
      </c>
      <c r="B925" t="inlineStr"/>
      <c r="C925" t="inlineStr"/>
      <c r="D925" t="inlineStr"/>
      <c r="E925" t="inlineStr">
        <is>
          <t>My daughter wanted this to be HER experience away from home.</t>
        </is>
      </c>
      <c r="F925" t="inlineStr">
        <is>
          <t>Other Kids / Family at Home</t>
        </is>
      </c>
      <c r="G925" t="inlineStr">
        <is>
          <t>Other Kids / Family at Home; Wants Child to Have Independent Experience</t>
        </is>
      </c>
      <c r="H925" t="inlineStr"/>
    </row>
    <row r="926">
      <c r="A926" t="inlineStr">
        <is>
          <t>No</t>
        </is>
      </c>
      <c r="B926" t="inlineStr"/>
      <c r="C926" t="inlineStr"/>
      <c r="D926" t="inlineStr"/>
      <c r="E926" t="inlineStr">
        <is>
          <t>Want to go next year when our youngest can be on the trip with us.</t>
        </is>
      </c>
      <c r="F926" t="inlineStr">
        <is>
          <t>Other Kids / Family at Home</t>
        </is>
      </c>
      <c r="G926" t="inlineStr">
        <is>
          <t>Other Kids / Family at Home</t>
        </is>
      </c>
      <c r="H926" t="inlineStr"/>
    </row>
    <row r="927">
      <c r="A927" t="inlineStr">
        <is>
          <t>No</t>
        </is>
      </c>
      <c r="B927" t="inlineStr"/>
      <c r="C927" t="inlineStr"/>
      <c r="D927" t="inlineStr"/>
      <c r="E927" t="inlineStr">
        <is>
          <t>My other daughter did it last year and loved it. Wanted Brenna to have the same type of experience.</t>
        </is>
      </c>
      <c r="F927" t="inlineStr">
        <is>
          <t>Wants Child to Have Independent Experience</t>
        </is>
      </c>
      <c r="G927" t="inlineStr">
        <is>
          <t>Wants Child to Have Independent Experience</t>
        </is>
      </c>
      <c r="H927" t="inlineStr"/>
    </row>
    <row r="928">
      <c r="A928" t="inlineStr">
        <is>
          <t>No</t>
        </is>
      </c>
      <c r="B928" t="inlineStr"/>
      <c r="C928" t="inlineStr"/>
      <c r="D928" t="inlineStr"/>
      <c r="E928" t="inlineStr">
        <is>
          <t>Current Mission Leaders and can't leave the mission.</t>
        </is>
      </c>
      <c r="F928" t="inlineStr">
        <is>
          <t>Other Kids / Family at Home</t>
        </is>
      </c>
      <c r="G928" t="inlineStr">
        <is>
          <t>Other Kids / Family at Home; Other Life Commitment</t>
        </is>
      </c>
      <c r="H928" t="inlineStr"/>
    </row>
    <row r="929">
      <c r="A929" t="inlineStr">
        <is>
          <t>No</t>
        </is>
      </c>
      <c r="B929" t="inlineStr"/>
      <c r="C929" t="inlineStr"/>
      <c r="D929" t="inlineStr"/>
      <c r="E929" t="inlineStr">
        <is>
          <t>Money. I would love to go but cannot afford it.</t>
        </is>
      </c>
      <c r="F929" t="inlineStr">
        <is>
          <t>Cost / Finances</t>
        </is>
      </c>
      <c r="G929" t="inlineStr">
        <is>
          <t>Cost / Finances</t>
        </is>
      </c>
      <c r="H929" t="inlineStr"/>
    </row>
    <row r="930">
      <c r="A930" t="inlineStr">
        <is>
          <t>No</t>
        </is>
      </c>
      <c r="B930" t="inlineStr"/>
      <c r="C930" t="inlineStr"/>
      <c r="D930" t="inlineStr"/>
      <c r="E930" t="inlineStr">
        <is>
          <t>I have a daughter leaving for a mission at the same time</t>
        </is>
      </c>
      <c r="F930" t="inlineStr">
        <is>
          <t>Work Schedule / Time Off</t>
        </is>
      </c>
      <c r="G930" t="inlineStr">
        <is>
          <t>Work Schedule / Time Off; Other Life Commitment</t>
        </is>
      </c>
      <c r="H930" t="inlineStr"/>
    </row>
    <row r="931">
      <c r="A931" t="inlineStr">
        <is>
          <t>No</t>
        </is>
      </c>
      <c r="B931" t="inlineStr"/>
      <c r="C931" t="inlineStr"/>
      <c r="D931" t="inlineStr"/>
      <c r="E931" t="inlineStr">
        <is>
          <t>Her uncle is going with her.</t>
        </is>
      </c>
      <c r="F931" t="inlineStr">
        <is>
          <t>Another Family Member Going Instead</t>
        </is>
      </c>
      <c r="G931" t="inlineStr">
        <is>
          <t>Another Family Member Going Instead</t>
        </is>
      </c>
      <c r="H931" t="inlineStr"/>
    </row>
    <row r="932">
      <c r="A932" t="inlineStr">
        <is>
          <t>No</t>
        </is>
      </c>
      <c r="B932" t="inlineStr"/>
      <c r="C932" t="inlineStr"/>
      <c r="D932" t="inlineStr"/>
      <c r="E932" t="inlineStr">
        <is>
          <t>I may go in the future but I want my daughter to have an experience away from home and her parents. I think it'll be a great growing experience for her!</t>
        </is>
      </c>
      <c r="F932" t="inlineStr">
        <is>
          <t>Other Kids / Family at Home</t>
        </is>
      </c>
      <c r="G932" t="inlineStr">
        <is>
          <t>Other Kids / Family at Home; Wants Child to Have Independent Experience</t>
        </is>
      </c>
      <c r="H932" t="inlineStr"/>
    </row>
    <row r="933">
      <c r="A933" t="inlineStr">
        <is>
          <t>No</t>
        </is>
      </c>
      <c r="B933" t="inlineStr"/>
      <c r="C933" t="inlineStr"/>
      <c r="D933" t="inlineStr"/>
      <c r="E933" t="inlineStr"/>
      <c r="F933" t="inlineStr"/>
      <c r="G933" t="inlineStr"/>
      <c r="H933" t="inlineStr"/>
    </row>
    <row r="934">
      <c r="A934" t="inlineStr">
        <is>
          <t>No</t>
        </is>
      </c>
      <c r="B934" t="inlineStr"/>
      <c r="C934" t="inlineStr"/>
      <c r="D934" t="inlineStr"/>
      <c r="E934" t="inlineStr">
        <is>
          <t>I'm a mission leader in Utah St. George Mission</t>
        </is>
      </c>
      <c r="F934" t="inlineStr">
        <is>
          <t>Other Life Commitment</t>
        </is>
      </c>
      <c r="G934" t="inlineStr">
        <is>
          <t>Other Life Commitment</t>
        </is>
      </c>
      <c r="H934" t="inlineStr"/>
    </row>
    <row r="935">
      <c r="A935" t="inlineStr">
        <is>
          <t>No</t>
        </is>
      </c>
      <c r="B935" t="inlineStr"/>
      <c r="C935" t="inlineStr"/>
      <c r="D935" t="inlineStr"/>
      <c r="E935" t="inlineStr">
        <is>
          <t>Wondering if I could keep up with the kids</t>
        </is>
      </c>
      <c r="F935" t="inlineStr">
        <is>
          <t>Health / Physical / Age</t>
        </is>
      </c>
      <c r="G935" t="inlineStr">
        <is>
          <t>Health / Physical / Age</t>
        </is>
      </c>
      <c r="H935" t="inlineStr"/>
    </row>
    <row r="936">
      <c r="A936" t="inlineStr">
        <is>
          <t>No</t>
        </is>
      </c>
      <c r="B936" t="inlineStr"/>
      <c r="C936" t="inlineStr"/>
      <c r="D936" t="inlineStr"/>
      <c r="E936" t="inlineStr">
        <is>
          <t>A business trip planned for the same week</t>
        </is>
      </c>
      <c r="F936" t="inlineStr">
        <is>
          <t>Other Life Commitment</t>
        </is>
      </c>
      <c r="G936" t="inlineStr">
        <is>
          <t>Other Life Commitment</t>
        </is>
      </c>
      <c r="H936" t="inlineStr"/>
    </row>
    <row r="937">
      <c r="A937" t="inlineStr">
        <is>
          <t>No</t>
        </is>
      </c>
      <c r="B937" t="inlineStr"/>
      <c r="C937" t="inlineStr"/>
      <c r="D937" t="inlineStr"/>
      <c r="E937" t="inlineStr">
        <is>
          <t>money</t>
        </is>
      </c>
      <c r="F937" t="inlineStr">
        <is>
          <t>Cost / Finances</t>
        </is>
      </c>
      <c r="G937" t="inlineStr">
        <is>
          <t>Cost / Finances</t>
        </is>
      </c>
      <c r="H937" t="inlineStr"/>
    </row>
    <row r="938">
      <c r="A938" t="inlineStr">
        <is>
          <t>No</t>
        </is>
      </c>
      <c r="B938" t="inlineStr"/>
      <c r="C938" t="inlineStr"/>
      <c r="D938" t="inlineStr"/>
      <c r="E938" t="inlineStr">
        <is>
          <t>No desire</t>
        </is>
      </c>
      <c r="F938" t="inlineStr">
        <is>
          <t>Not a Traveler / Personal Preference</t>
        </is>
      </c>
      <c r="G938" t="inlineStr">
        <is>
          <t>Not a Traveler / Personal Preference</t>
        </is>
      </c>
      <c r="H938" t="inlineStr"/>
    </row>
    <row r="939">
      <c r="A939" t="inlineStr">
        <is>
          <t>No</t>
        </is>
      </c>
      <c r="B939" t="inlineStr"/>
      <c r="C939" t="inlineStr"/>
      <c r="D939" t="inlineStr"/>
      <c r="E939" t="inlineStr">
        <is>
          <t>I would consider it for future trips but just did not consider it for this summer</t>
        </is>
      </c>
      <c r="F939" t="inlineStr">
        <is>
          <t>Not Aware It Was an Option</t>
        </is>
      </c>
      <c r="G939" t="inlineStr">
        <is>
          <t>Not Aware It Was an Option</t>
        </is>
      </c>
      <c r="H939" t="inlineStr"/>
    </row>
    <row r="940">
      <c r="A940" t="inlineStr">
        <is>
          <t>Yes</t>
        </is>
      </c>
      <c r="B940" t="inlineStr">
        <is>
          <t>My daughter asked me to go with her :)</t>
        </is>
      </c>
      <c r="C940" t="inlineStr">
        <is>
          <t>Child/Spouse Asked Them to Go</t>
        </is>
      </c>
      <c r="D940" t="inlineStr">
        <is>
          <t>Child/Spouse Asked Them to Go</t>
        </is>
      </c>
      <c r="E940" t="inlineStr"/>
      <c r="F940" t="inlineStr"/>
      <c r="G940" t="inlineStr"/>
      <c r="H940" t="inlineStr"/>
    </row>
    <row r="941">
      <c r="A941" t="inlineStr">
        <is>
          <t>No</t>
        </is>
      </c>
      <c r="B941" t="inlineStr"/>
      <c r="C941" t="inlineStr"/>
      <c r="D941" t="inlineStr"/>
      <c r="E941" t="inlineStr"/>
      <c r="F941" t="inlineStr"/>
      <c r="G941" t="inlineStr"/>
      <c r="H941" t="inlineStr"/>
    </row>
    <row r="942">
      <c r="A942" t="inlineStr">
        <is>
          <t>No</t>
        </is>
      </c>
      <c r="B942" t="inlineStr"/>
      <c r="C942" t="inlineStr"/>
      <c r="D942" t="inlineStr"/>
      <c r="E942" t="inlineStr">
        <is>
          <t>Cost</t>
        </is>
      </c>
      <c r="F942" t="inlineStr">
        <is>
          <t>Cost / Finances</t>
        </is>
      </c>
      <c r="G942" t="inlineStr">
        <is>
          <t>Cost / Finances</t>
        </is>
      </c>
      <c r="H942" t="inlineStr"/>
    </row>
    <row r="943">
      <c r="A943" t="inlineStr">
        <is>
          <t>No</t>
        </is>
      </c>
      <c r="B943" t="inlineStr"/>
      <c r="C943" t="inlineStr"/>
      <c r="D943" t="inlineStr"/>
      <c r="E943" t="inlineStr">
        <is>
          <t>My child wanted to experience this trip on her own.</t>
        </is>
      </c>
      <c r="F943" t="inlineStr">
        <is>
          <t>Wants Child to Have Independent Experience</t>
        </is>
      </c>
      <c r="G943" t="inlineStr">
        <is>
          <t>Wants Child to Have Independent Experience</t>
        </is>
      </c>
      <c r="H943" t="inlineStr"/>
    </row>
    <row r="944">
      <c r="A944" t="inlineStr">
        <is>
          <t>No</t>
        </is>
      </c>
      <c r="B944" t="inlineStr"/>
      <c r="C944" t="inlineStr"/>
      <c r="D944" t="inlineStr"/>
      <c r="E944" t="inlineStr">
        <is>
          <t>My son didn't want us to and cost</t>
        </is>
      </c>
      <c r="F944" t="inlineStr">
        <is>
          <t>Cost / Finances</t>
        </is>
      </c>
      <c r="G944" t="inlineStr">
        <is>
          <t>Cost / Finances; Child Didn't Want Parent to Come</t>
        </is>
      </c>
      <c r="H944" t="inlineStr"/>
    </row>
    <row r="945">
      <c r="A945" t="inlineStr">
        <is>
          <t>No</t>
        </is>
      </c>
      <c r="B945" t="inlineStr"/>
      <c r="C945" t="inlineStr"/>
      <c r="D945" t="inlineStr"/>
      <c r="E945" t="inlineStr">
        <is>
          <t>Money</t>
        </is>
      </c>
      <c r="F945" t="inlineStr">
        <is>
          <t>Cost / Finances</t>
        </is>
      </c>
      <c r="G945" t="inlineStr">
        <is>
          <t>Cost / Finances</t>
        </is>
      </c>
      <c r="H945" t="inlineStr"/>
    </row>
    <row r="946">
      <c r="A946" t="inlineStr">
        <is>
          <t>No</t>
        </is>
      </c>
      <c r="B946" t="inlineStr"/>
      <c r="C946" t="inlineStr"/>
      <c r="D946" t="inlineStr"/>
      <c r="E946" t="inlineStr">
        <is>
          <t>Work</t>
        </is>
      </c>
      <c r="F946" t="inlineStr">
        <is>
          <t>Work Schedule / Time Off</t>
        </is>
      </c>
      <c r="G946" t="inlineStr">
        <is>
          <t>Work Schedule / Time Off</t>
        </is>
      </c>
      <c r="H946" t="inlineStr"/>
    </row>
    <row r="947">
      <c r="A947" t="inlineStr">
        <is>
          <t>No</t>
        </is>
      </c>
      <c r="B947" t="inlineStr"/>
      <c r="C947" t="inlineStr"/>
      <c r="D947" t="inlineStr"/>
      <c r="E947" t="inlineStr">
        <is>
          <t>Timing</t>
        </is>
      </c>
      <c r="F947" t="inlineStr">
        <is>
          <t>Work Schedule / Time Off</t>
        </is>
      </c>
      <c r="G947" t="inlineStr">
        <is>
          <t>Work Schedule / Time Off</t>
        </is>
      </c>
      <c r="H947" t="inlineStr"/>
    </row>
    <row r="948">
      <c r="A948" t="inlineStr">
        <is>
          <t>Maybe</t>
        </is>
      </c>
      <c r="B948" t="inlineStr"/>
      <c r="C948" t="inlineStr"/>
      <c r="D948" t="inlineStr"/>
      <c r="E948" t="inlineStr"/>
      <c r="F948" t="inlineStr"/>
      <c r="G948" t="inlineStr"/>
      <c r="H948" t="inlineStr">
        <is>
          <t>It's about time and money - so decisions about going will be influenced by those 2 items for next summer. But I have strong interest in going.</t>
        </is>
      </c>
    </row>
    <row r="949">
      <c r="A949" t="inlineStr">
        <is>
          <t>Maybe</t>
        </is>
      </c>
      <c r="B949" t="inlineStr"/>
      <c r="C949" t="inlineStr"/>
      <c r="D949" t="inlineStr"/>
      <c r="E949" t="inlineStr"/>
      <c r="F949" t="inlineStr"/>
      <c r="G949" t="inlineStr"/>
      <c r="H949" t="inlineStr"/>
    </row>
    <row r="950">
      <c r="A950" t="inlineStr">
        <is>
          <t>No</t>
        </is>
      </c>
      <c r="B950" t="inlineStr"/>
      <c r="C950" t="inlineStr"/>
      <c r="D950" t="inlineStr"/>
      <c r="E950" t="inlineStr"/>
      <c r="F950" t="inlineStr"/>
      <c r="G950" t="inlineStr"/>
      <c r="H950" t="inlineStr"/>
    </row>
    <row r="951">
      <c r="A951" t="inlineStr">
        <is>
          <t>No</t>
        </is>
      </c>
      <c r="B951" t="inlineStr"/>
      <c r="C951" t="inlineStr"/>
      <c r="D951" t="inlineStr"/>
      <c r="E951" t="inlineStr"/>
      <c r="F951" t="inlineStr"/>
      <c r="G951" t="inlineStr"/>
      <c r="H951" t="inlineStr"/>
    </row>
    <row r="952">
      <c r="A952" t="inlineStr">
        <is>
          <t>Yes</t>
        </is>
      </c>
      <c r="B952" t="inlineStr">
        <is>
          <t>I have been twice before</t>
        </is>
      </c>
      <c r="C952" t="inlineStr">
        <is>
          <t>Previous Positive Experience</t>
        </is>
      </c>
      <c r="D952" t="inlineStr">
        <is>
          <t>Previous Positive Experience</t>
        </is>
      </c>
      <c r="E952" t="inlineStr"/>
      <c r="F952" t="inlineStr"/>
      <c r="G952" t="inlineStr"/>
      <c r="H952" t="inlineStr"/>
    </row>
    <row r="953">
      <c r="A953" t="inlineStr">
        <is>
          <t>No</t>
        </is>
      </c>
      <c r="B953" t="inlineStr"/>
      <c r="C953" t="inlineStr"/>
      <c r="D953" t="inlineStr"/>
      <c r="E953" t="inlineStr">
        <is>
          <t>Cost</t>
        </is>
      </c>
      <c r="F953" t="inlineStr">
        <is>
          <t>Cost / Finances</t>
        </is>
      </c>
      <c r="G953" t="inlineStr">
        <is>
          <t>Cost / Finances</t>
        </is>
      </c>
      <c r="H953" t="inlineStr"/>
    </row>
    <row r="954">
      <c r="A954" t="inlineStr">
        <is>
          <t>No</t>
        </is>
      </c>
      <c r="B954" t="inlineStr"/>
      <c r="C954" t="inlineStr"/>
      <c r="D954" t="inlineStr"/>
      <c r="E954" t="inlineStr">
        <is>
          <t>$$</t>
        </is>
      </c>
      <c r="F954" t="inlineStr">
        <is>
          <t>Cost / Finances</t>
        </is>
      </c>
      <c r="G954" t="inlineStr">
        <is>
          <t>Cost / Finances</t>
        </is>
      </c>
      <c r="H954" t="inlineStr"/>
    </row>
    <row r="955">
      <c r="A955" t="inlineStr">
        <is>
          <t>No</t>
        </is>
      </c>
      <c r="B955" t="inlineStr"/>
      <c r="C955" t="inlineStr"/>
      <c r="D955" t="inlineStr"/>
      <c r="E955" t="inlineStr">
        <is>
          <t>Not available</t>
        </is>
      </c>
      <c r="F955" t="inlineStr">
        <is>
          <t>Work Schedule / Time Off</t>
        </is>
      </c>
      <c r="G955" t="inlineStr">
        <is>
          <t>Work Schedule / Time Off</t>
        </is>
      </c>
      <c r="H955" t="inlineStr"/>
    </row>
    <row r="956">
      <c r="A956" t="inlineStr">
        <is>
          <t>No</t>
        </is>
      </c>
      <c r="B956" t="inlineStr"/>
      <c r="C956" t="inlineStr"/>
      <c r="D956" t="inlineStr"/>
      <c r="E956" t="inlineStr">
        <is>
          <t>Think it will be good for kids to do something alone</t>
        </is>
      </c>
      <c r="F956" t="inlineStr">
        <is>
          <t>Wants Child to Have Independent Experience</t>
        </is>
      </c>
      <c r="G956" t="inlineStr">
        <is>
          <t>Wants Child to Have Independent Experience</t>
        </is>
      </c>
      <c r="H956" t="inlineStr"/>
    </row>
    <row r="957">
      <c r="A957" t="inlineStr">
        <is>
          <t>No</t>
        </is>
      </c>
      <c r="B957" t="inlineStr"/>
      <c r="C957" t="inlineStr"/>
      <c r="D957" t="inlineStr"/>
      <c r="E957" t="inlineStr">
        <is>
          <t>We have been to Africa, Bolivia and Guatemala on family humanitarian trips. We are excited for Ririe to have a trip on his own with peers.</t>
        </is>
      </c>
      <c r="F957" t="inlineStr">
        <is>
          <t>Wants Child to Have Independent Experience</t>
        </is>
      </c>
      <c r="G957" t="inlineStr">
        <is>
          <t>Wants Child to Have Independent Experience</t>
        </is>
      </c>
      <c r="H957" t="inlineStr"/>
    </row>
    <row r="958">
      <c r="A958" t="inlineStr">
        <is>
          <t>No</t>
        </is>
      </c>
      <c r="B958" t="inlineStr"/>
      <c r="C958" t="inlineStr"/>
      <c r="D958" t="inlineStr"/>
      <c r="E958" t="inlineStr"/>
      <c r="F958" t="inlineStr"/>
      <c r="G958" t="inlineStr"/>
      <c r="H958" t="inlineStr"/>
    </row>
    <row r="959">
      <c r="A959" t="inlineStr">
        <is>
          <t>No</t>
        </is>
      </c>
      <c r="B959" t="inlineStr"/>
      <c r="C959" t="inlineStr"/>
      <c r="D959" t="inlineStr"/>
      <c r="E959" t="inlineStr">
        <is>
          <t>I already went as parent builder 2015 to Bolivia and had a wonderful experience.</t>
        </is>
      </c>
      <c r="F959" t="inlineStr">
        <is>
          <t>Wants Child to Have Independent Experience</t>
        </is>
      </c>
      <c r="G959" t="inlineStr">
        <is>
          <t>Wants Child to Have Independent Experience</t>
        </is>
      </c>
      <c r="H959" t="inlineStr"/>
    </row>
    <row r="960">
      <c r="A960" t="inlineStr">
        <is>
          <t>No</t>
        </is>
      </c>
      <c r="B960" t="inlineStr"/>
      <c r="C960" t="inlineStr"/>
      <c r="D960" t="inlineStr"/>
      <c r="E960" t="inlineStr">
        <is>
          <t>I'm not a good traveler</t>
        </is>
      </c>
      <c r="F960" t="inlineStr">
        <is>
          <t>Not a Traveler / Personal Preference</t>
        </is>
      </c>
      <c r="G960" t="inlineStr">
        <is>
          <t>Not a Traveler / Personal Preference</t>
        </is>
      </c>
      <c r="H960" t="inlineStr"/>
    </row>
    <row r="961">
      <c r="A961" t="inlineStr">
        <is>
          <t>No</t>
        </is>
      </c>
      <c r="B961" t="inlineStr"/>
      <c r="C961" t="inlineStr"/>
      <c r="D961" t="inlineStr"/>
      <c r="E961" t="inlineStr">
        <is>
          <t>other children at home to care for at this time</t>
        </is>
      </c>
      <c r="F961" t="inlineStr">
        <is>
          <t>Work Schedule / Time Off</t>
        </is>
      </c>
      <c r="G961" t="inlineStr">
        <is>
          <t>Work Schedule / Time Off; Other Kids / Family at Home</t>
        </is>
      </c>
      <c r="H961" t="inlineStr"/>
    </row>
    <row r="962">
      <c r="A962" t="inlineStr">
        <is>
          <t>No</t>
        </is>
      </c>
      <c r="B962" t="inlineStr"/>
      <c r="C962" t="inlineStr"/>
      <c r="D962" t="inlineStr"/>
      <c r="E962" t="inlineStr">
        <is>
          <t>My husband is going</t>
        </is>
      </c>
      <c r="F962" t="inlineStr">
        <is>
          <t>Another Family Member Going Instead</t>
        </is>
      </c>
      <c r="G962" t="inlineStr">
        <is>
          <t>Another Family Member Going Instead</t>
        </is>
      </c>
      <c r="H962" t="inlineStr"/>
    </row>
    <row r="963">
      <c r="A963" t="inlineStr">
        <is>
          <t>No</t>
        </is>
      </c>
      <c r="B963" t="inlineStr"/>
      <c r="C963" t="inlineStr"/>
      <c r="D963" t="inlineStr"/>
      <c r="E963" t="inlineStr">
        <is>
          <t>Cost and time commitment</t>
        </is>
      </c>
      <c r="F963" t="inlineStr">
        <is>
          <t>Cost / Finances</t>
        </is>
      </c>
      <c r="G963" t="inlineStr">
        <is>
          <t>Cost / Finances; Work Schedule / Time Off</t>
        </is>
      </c>
      <c r="H963" t="inlineStr"/>
    </row>
    <row r="964">
      <c r="A964" t="inlineStr">
        <is>
          <t>No</t>
        </is>
      </c>
      <c r="B964" t="inlineStr"/>
      <c r="C964" t="inlineStr"/>
      <c r="D964" t="inlineStr"/>
      <c r="E964" t="inlineStr"/>
      <c r="F964" t="inlineStr"/>
      <c r="G964" t="inlineStr"/>
      <c r="H964" t="inlineStr"/>
    </row>
    <row r="965">
      <c r="A965" t="inlineStr">
        <is>
          <t>No</t>
        </is>
      </c>
      <c r="B965" t="inlineStr"/>
      <c r="C965" t="inlineStr"/>
      <c r="D965" t="inlineStr"/>
      <c r="E965" t="inlineStr">
        <is>
          <t>Too long of a trip</t>
        </is>
      </c>
      <c r="F965" t="inlineStr">
        <is>
          <t>Work Schedule / Time Off</t>
        </is>
      </c>
      <c r="G965" t="inlineStr">
        <is>
          <t>Work Schedule / Time Off</t>
        </is>
      </c>
      <c r="H965" t="inlineStr"/>
    </row>
    <row r="966">
      <c r="A966" t="inlineStr">
        <is>
          <t>Maybe</t>
        </is>
      </c>
      <c r="B966" t="inlineStr"/>
      <c r="C966" t="inlineStr"/>
      <c r="D966" t="inlineStr"/>
      <c r="E966" t="inlineStr"/>
      <c r="F966" t="inlineStr"/>
      <c r="G966" t="inlineStr"/>
      <c r="H966" t="inlineStr">
        <is>
          <t>If younger sibling decides to go someday</t>
        </is>
      </c>
    </row>
    <row r="967">
      <c r="A967" t="inlineStr">
        <is>
          <t>Maybe</t>
        </is>
      </c>
      <c r="B967" t="inlineStr"/>
      <c r="C967" t="inlineStr"/>
      <c r="D967" t="inlineStr"/>
      <c r="E967" t="inlineStr"/>
      <c r="F967" t="inlineStr"/>
      <c r="G967" t="inlineStr"/>
      <c r="H967" t="inlineStr">
        <is>
          <t>Personal health improvement</t>
        </is>
      </c>
    </row>
    <row r="968">
      <c r="A968" t="inlineStr">
        <is>
          <t>No</t>
        </is>
      </c>
      <c r="B968" t="inlineStr"/>
      <c r="C968" t="inlineStr"/>
      <c r="D968" t="inlineStr"/>
      <c r="E968" t="inlineStr">
        <is>
          <t>Timing. I may be interested in the future. I have been a Scout master and high adventure leader for many years and now organized our Stake's Youth Camp. The timing for this was off. I would be interested in learning more and possibly going in 2025.</t>
        </is>
      </c>
      <c r="F968" t="inlineStr">
        <is>
          <t>Work Schedule / Time Off</t>
        </is>
      </c>
      <c r="G968" t="inlineStr">
        <is>
          <t>Work Schedule / Time Off</t>
        </is>
      </c>
      <c r="H968" t="inlineStr"/>
    </row>
    <row r="969">
      <c r="A969" t="inlineStr">
        <is>
          <t>No</t>
        </is>
      </c>
      <c r="B969" t="inlineStr"/>
      <c r="C969" t="inlineStr"/>
      <c r="D969" t="inlineStr"/>
      <c r="E969" t="inlineStr">
        <is>
          <t>$$</t>
        </is>
      </c>
      <c r="F969" t="inlineStr">
        <is>
          <t>Cost / Finances</t>
        </is>
      </c>
      <c r="G969" t="inlineStr">
        <is>
          <t>Cost / Finances</t>
        </is>
      </c>
      <c r="H969" t="inlineStr"/>
    </row>
    <row r="970">
      <c r="A970" t="inlineStr">
        <is>
          <t>No</t>
        </is>
      </c>
      <c r="B970" t="inlineStr"/>
      <c r="C970" t="inlineStr"/>
      <c r="D970" t="inlineStr"/>
      <c r="E970" t="inlineStr">
        <is>
          <t>I think my son wanted to go without a parent</t>
        </is>
      </c>
      <c r="F970" t="inlineStr">
        <is>
          <t>Wants Child to Have Independent Experience</t>
        </is>
      </c>
      <c r="G970" t="inlineStr">
        <is>
          <t>Wants Child to Have Independent Experience</t>
        </is>
      </c>
      <c r="H970" t="inlineStr"/>
    </row>
    <row r="971">
      <c r="A971" t="inlineStr">
        <is>
          <t>Yes</t>
        </is>
      </c>
      <c r="B971" t="inlineStr">
        <is>
          <t>The desire to be with my kid and serve together</t>
        </is>
      </c>
      <c r="C971" t="inlineStr">
        <is>
          <t>Wanted Shared Experience with Child</t>
        </is>
      </c>
      <c r="D971" t="inlineStr">
        <is>
          <t>Wanted Shared Experience with Child; Faith / Service Motivation</t>
        </is>
      </c>
      <c r="E971" t="inlineStr"/>
      <c r="F971" t="inlineStr"/>
      <c r="G971" t="inlineStr"/>
      <c r="H971" t="inlineStr"/>
    </row>
    <row r="972">
      <c r="A972" t="inlineStr">
        <is>
          <t>No</t>
        </is>
      </c>
      <c r="B972" t="inlineStr"/>
      <c r="C972" t="inlineStr"/>
      <c r="D972" t="inlineStr"/>
      <c r="E972" t="inlineStr">
        <is>
          <t>No time</t>
        </is>
      </c>
      <c r="F972" t="inlineStr">
        <is>
          <t>Work Schedule / Time Off</t>
        </is>
      </c>
      <c r="G972" t="inlineStr">
        <is>
          <t>Work Schedule / Time Off</t>
        </is>
      </c>
      <c r="H972" t="inlineStr"/>
    </row>
    <row r="973">
      <c r="A973" t="inlineStr">
        <is>
          <t>No</t>
        </is>
      </c>
      <c r="B973" t="inlineStr"/>
      <c r="C973" t="inlineStr"/>
      <c r="D973" t="inlineStr"/>
      <c r="E973" t="inlineStr">
        <is>
          <t>I am not aware that I am able to go. I thought this was for the kids and leaders only. I would love to go with my son but am not aware that's an option</t>
        </is>
      </c>
      <c r="F973" t="inlineStr">
        <is>
          <t>Not Aware It Was an Option</t>
        </is>
      </c>
      <c r="G973" t="inlineStr">
        <is>
          <t>Not Aware It Was an Option</t>
        </is>
      </c>
      <c r="H973" t="inlineStr"/>
    </row>
    <row r="974">
      <c r="A974" t="inlineStr">
        <is>
          <t>No</t>
        </is>
      </c>
      <c r="B974" t="inlineStr"/>
      <c r="C974" t="inlineStr"/>
      <c r="D974" t="inlineStr"/>
      <c r="E974" t="inlineStr">
        <is>
          <t>Didn't really understand what it entailed</t>
        </is>
      </c>
      <c r="F974" t="inlineStr">
        <is>
          <t>Not Aware It Was an Option</t>
        </is>
      </c>
      <c r="G974" t="inlineStr">
        <is>
          <t>Not Aware It Was an Option</t>
        </is>
      </c>
      <c r="H974" t="inlineStr"/>
    </row>
    <row r="975">
      <c r="A975" t="inlineStr">
        <is>
          <t>No</t>
        </is>
      </c>
      <c r="B975" t="inlineStr"/>
      <c r="C975" t="inlineStr"/>
      <c r="D975" t="inlineStr"/>
      <c r="E975" t="inlineStr">
        <is>
          <t>Can't leave the country by the moment</t>
        </is>
      </c>
      <c r="F975" t="inlineStr">
        <is>
          <t>Other Kids / Family at Home</t>
        </is>
      </c>
      <c r="G975" t="inlineStr">
        <is>
          <t>Other Kids / Family at Home</t>
        </is>
      </c>
      <c r="H975" t="inlineStr"/>
    </row>
    <row r="976">
      <c r="A976" t="inlineStr">
        <is>
          <t>No</t>
        </is>
      </c>
      <c r="B976" t="inlineStr"/>
      <c r="C976" t="inlineStr"/>
      <c r="D976" t="inlineStr"/>
      <c r="E976" t="inlineStr">
        <is>
          <t>It was never an option for me due to my work schedule</t>
        </is>
      </c>
      <c r="F976" t="inlineStr">
        <is>
          <t>Work Schedule / Time Off</t>
        </is>
      </c>
      <c r="G976" t="inlineStr">
        <is>
          <t>Work Schedule / Time Off</t>
        </is>
      </c>
      <c r="H976" t="inlineStr"/>
    </row>
    <row r="977">
      <c r="A977" t="inlineStr">
        <is>
          <t>No</t>
        </is>
      </c>
      <c r="B977" t="inlineStr"/>
      <c r="C977" t="inlineStr"/>
      <c r="D977" t="inlineStr"/>
      <c r="E977" t="inlineStr">
        <is>
          <t>Work schedule and wanted my youth to experience it on their own</t>
        </is>
      </c>
      <c r="F977" t="inlineStr">
        <is>
          <t>Work Schedule / Time Off</t>
        </is>
      </c>
      <c r="G977" t="inlineStr">
        <is>
          <t>Work Schedule / Time Off; Wants Child to Have Independent Experience</t>
        </is>
      </c>
      <c r="H977" t="inlineStr"/>
    </row>
    <row r="978">
      <c r="A978" t="inlineStr">
        <is>
          <t>No</t>
        </is>
      </c>
      <c r="B978" t="inlineStr"/>
      <c r="C978" t="inlineStr"/>
      <c r="D978" t="inlineStr"/>
      <c r="E978" t="inlineStr"/>
      <c r="F978" t="inlineStr"/>
      <c r="G978" t="inlineStr"/>
      <c r="H978" t="inlineStr"/>
    </row>
    <row r="979">
      <c r="A979" t="inlineStr">
        <is>
          <t>No</t>
        </is>
      </c>
      <c r="B979" t="inlineStr"/>
      <c r="C979" t="inlineStr"/>
      <c r="D979" t="inlineStr"/>
      <c r="E979" t="inlineStr">
        <is>
          <t>Small children at home</t>
        </is>
      </c>
      <c r="F979" t="inlineStr">
        <is>
          <t>Other Kids / Family at Home</t>
        </is>
      </c>
      <c r="G979" t="inlineStr">
        <is>
          <t>Other Kids / Family at Home</t>
        </is>
      </c>
      <c r="H979" t="inlineStr"/>
    </row>
    <row r="980">
      <c r="A980" t="inlineStr">
        <is>
          <t>No</t>
        </is>
      </c>
      <c r="B980" t="inlineStr"/>
      <c r="C980" t="inlineStr"/>
      <c r="D980" t="inlineStr"/>
      <c r="E980" t="inlineStr">
        <is>
          <t>My child wanted to go by herself</t>
        </is>
      </c>
      <c r="F980" t="inlineStr">
        <is>
          <t>Child Didn't Want Parent to Come</t>
        </is>
      </c>
      <c r="G980" t="inlineStr">
        <is>
          <t>Child Didn't Want Parent to Come</t>
        </is>
      </c>
      <c r="H980" t="inlineStr"/>
    </row>
    <row r="981">
      <c r="A981" t="inlineStr">
        <is>
          <t>No</t>
        </is>
      </c>
      <c r="B981" t="inlineStr"/>
      <c r="C981" t="inlineStr"/>
      <c r="D981" t="inlineStr"/>
      <c r="E981" t="inlineStr">
        <is>
          <t>Because of the cost</t>
        </is>
      </c>
      <c r="F981" t="inlineStr">
        <is>
          <t>Cost / Finances</t>
        </is>
      </c>
      <c r="G981" t="inlineStr">
        <is>
          <t>Cost / Finances</t>
        </is>
      </c>
      <c r="H981" t="inlineStr"/>
    </row>
    <row r="982">
      <c r="A982" t="inlineStr">
        <is>
          <t>No</t>
        </is>
      </c>
      <c r="B982" t="inlineStr"/>
      <c r="C982" t="inlineStr"/>
      <c r="D982" t="inlineStr"/>
      <c r="E982" t="inlineStr">
        <is>
          <t>Responsibilities this summer. I'd love to go another time.</t>
        </is>
      </c>
      <c r="F982" t="inlineStr">
        <is>
          <t>Work Schedule / Time Off</t>
        </is>
      </c>
      <c r="G982" t="inlineStr">
        <is>
          <t>Work Schedule / Time Off</t>
        </is>
      </c>
      <c r="H982" t="inlineStr"/>
    </row>
    <row r="983">
      <c r="A983" t="inlineStr">
        <is>
          <t>No</t>
        </is>
      </c>
      <c r="B983" t="inlineStr"/>
      <c r="C983" t="inlineStr"/>
      <c r="D983" t="inlineStr"/>
      <c r="E983" t="inlineStr"/>
      <c r="F983" t="inlineStr"/>
      <c r="G983" t="inlineStr"/>
      <c r="H983" t="inlineStr"/>
    </row>
    <row r="984">
      <c r="A984" t="inlineStr">
        <is>
          <t>No</t>
        </is>
      </c>
      <c r="B984" t="inlineStr"/>
      <c r="C984" t="inlineStr"/>
      <c r="D984" t="inlineStr"/>
      <c r="E984" t="inlineStr">
        <is>
          <t>I have 3 younger kids at home that I need to be with for other summer activities</t>
        </is>
      </c>
      <c r="F984" t="inlineStr">
        <is>
          <t>Other Kids / Family at Home</t>
        </is>
      </c>
      <c r="G984" t="inlineStr">
        <is>
          <t>Other Kids / Family at Home</t>
        </is>
      </c>
      <c r="H984" t="inlineStr"/>
    </row>
    <row r="985">
      <c r="A985" t="inlineStr">
        <is>
          <t>No</t>
        </is>
      </c>
      <c r="B985" t="inlineStr"/>
      <c r="C985" t="inlineStr"/>
      <c r="D985" t="inlineStr"/>
      <c r="E985" t="inlineStr">
        <is>
          <t>Time</t>
        </is>
      </c>
      <c r="F985" t="inlineStr">
        <is>
          <t>Work Schedule / Time Off</t>
        </is>
      </c>
      <c r="G985" t="inlineStr">
        <is>
          <t>Work Schedule / Time Off</t>
        </is>
      </c>
      <c r="H985" t="inlineStr"/>
    </row>
    <row r="986">
      <c r="A986" t="inlineStr">
        <is>
          <t>No</t>
        </is>
      </c>
      <c r="B986" t="inlineStr"/>
      <c r="C986" t="inlineStr"/>
      <c r="D986" t="inlineStr"/>
      <c r="E986" t="inlineStr">
        <is>
          <t>My daughters cousin and also my daughter wanted something more after fsy</t>
        </is>
      </c>
      <c r="F986" t="inlineStr">
        <is>
          <t>Other / Uncategorized</t>
        </is>
      </c>
      <c r="G986" t="inlineStr"/>
      <c r="H986" t="inlineStr"/>
    </row>
    <row r="987">
      <c r="A987" t="inlineStr">
        <is>
          <t>No</t>
        </is>
      </c>
      <c r="B987" t="inlineStr"/>
      <c r="C987" t="inlineStr"/>
      <c r="D987" t="inlineStr"/>
      <c r="E987" t="inlineStr">
        <is>
          <t>I wanted my son to have this experience by himself</t>
        </is>
      </c>
      <c r="F987" t="inlineStr">
        <is>
          <t>Child Didn't Want Parent to Come</t>
        </is>
      </c>
      <c r="G987" t="inlineStr">
        <is>
          <t>Child Didn't Want Parent to Come; Wants Child to Have Independent Experience</t>
        </is>
      </c>
      <c r="H987" t="inlineStr"/>
    </row>
    <row r="988">
      <c r="A988" t="inlineStr">
        <is>
          <t>No</t>
        </is>
      </c>
      <c r="B988" t="inlineStr"/>
      <c r="C988" t="inlineStr"/>
      <c r="D988" t="inlineStr"/>
      <c r="E988" t="inlineStr">
        <is>
          <t>My summer was booked with other activities, I'm planning on going next year.</t>
        </is>
      </c>
      <c r="F988" t="inlineStr">
        <is>
          <t>Work Schedule / Time Off</t>
        </is>
      </c>
      <c r="G988" t="inlineStr">
        <is>
          <t>Work Schedule / Time Off; Other Life Commitment</t>
        </is>
      </c>
      <c r="H988" t="inlineStr"/>
    </row>
    <row r="989">
      <c r="A989" t="inlineStr">
        <is>
          <t>No</t>
        </is>
      </c>
      <c r="B989" t="inlineStr"/>
      <c r="C989" t="inlineStr"/>
      <c r="D989" t="inlineStr"/>
      <c r="E989" t="inlineStr">
        <is>
          <t>Wanted my son to be on his own.</t>
        </is>
      </c>
      <c r="F989" t="inlineStr">
        <is>
          <t>Wants Child to Have Independent Experience</t>
        </is>
      </c>
      <c r="G989" t="inlineStr">
        <is>
          <t>Wants Child to Have Independent Experience</t>
        </is>
      </c>
      <c r="H989" t="inlineStr"/>
    </row>
    <row r="990">
      <c r="A990" t="inlineStr">
        <is>
          <t>No</t>
        </is>
      </c>
      <c r="B990" t="inlineStr"/>
      <c r="C990" t="inlineStr"/>
      <c r="D990" t="inlineStr"/>
      <c r="E990" t="inlineStr">
        <is>
          <t>we have a lot of kids. can't get away</t>
        </is>
      </c>
      <c r="F990" t="inlineStr">
        <is>
          <t>Other Kids / Family at Home</t>
        </is>
      </c>
      <c r="G990" t="inlineStr">
        <is>
          <t>Other Kids / Family at Home</t>
        </is>
      </c>
      <c r="H990" t="inlineStr"/>
    </row>
    <row r="991">
      <c r="A991" t="inlineStr">
        <is>
          <t>No</t>
        </is>
      </c>
      <c r="B991" t="inlineStr"/>
      <c r="C991" t="inlineStr"/>
      <c r="D991" t="inlineStr"/>
      <c r="E991" t="inlineStr">
        <is>
          <t>My builder wanted to have an experience without parents.</t>
        </is>
      </c>
      <c r="F991" t="inlineStr">
        <is>
          <t>Wants Child to Have Independent Experience</t>
        </is>
      </c>
      <c r="G991" t="inlineStr">
        <is>
          <t>Wants Child to Have Independent Experience</t>
        </is>
      </c>
      <c r="H991" t="inlineStr"/>
    </row>
    <row r="992">
      <c r="A992" t="inlineStr">
        <is>
          <t>Yes</t>
        </is>
      </c>
      <c r="B992" t="inlineStr">
        <is>
          <t>We joined so late it guaranteed my son a spot. Plus, I'm super excited to be included!!</t>
        </is>
      </c>
      <c r="C992" t="inlineStr">
        <is>
          <t>Wanted Shared Experience with Child</t>
        </is>
      </c>
      <c r="D992" t="inlineStr">
        <is>
          <t>Wanted Shared Experience with Child</t>
        </is>
      </c>
      <c r="E992" t="inlineStr"/>
      <c r="F992" t="inlineStr"/>
      <c r="G992" t="inlineStr"/>
      <c r="H992" t="inlineStr"/>
    </row>
    <row r="993">
      <c r="A993" t="inlineStr">
        <is>
          <t>No</t>
        </is>
      </c>
      <c r="B993" t="inlineStr"/>
      <c r="C993" t="inlineStr"/>
      <c r="D993" t="inlineStr"/>
      <c r="E993" t="inlineStr">
        <is>
          <t>My daughter is excited about going on this trip on her own.</t>
        </is>
      </c>
      <c r="F993" t="inlineStr">
        <is>
          <t>Wants Child to Have Independent Experience</t>
        </is>
      </c>
      <c r="G993" t="inlineStr">
        <is>
          <t>Wants Child to Have Independent Experience</t>
        </is>
      </c>
      <c r="H993" t="inlineStr"/>
    </row>
    <row r="994">
      <c r="A994" t="inlineStr">
        <is>
          <t>No</t>
        </is>
      </c>
      <c r="B994" t="inlineStr"/>
      <c r="C994" t="inlineStr"/>
      <c r="D994" t="inlineStr"/>
      <c r="E994" t="inlineStr">
        <is>
          <t>I went with my builder last year to Guatemala on a service trip and he told me it was the best experience of his life and he wanted to go another time without me;) I was happy to oblige for him to spread his wings even though a trip to Cambodia for service sounds rad.</t>
        </is>
      </c>
      <c r="F994" t="inlineStr">
        <is>
          <t>Work Schedule / Time Off</t>
        </is>
      </c>
      <c r="G994" t="inlineStr">
        <is>
          <t>Work Schedule / Time Off; Wants Child to Have Independent Experience</t>
        </is>
      </c>
      <c r="H994" t="inlineStr"/>
    </row>
    <row r="995">
      <c r="A995" t="inlineStr">
        <is>
          <t>No</t>
        </is>
      </c>
      <c r="B995" t="inlineStr"/>
      <c r="C995" t="inlineStr"/>
      <c r="D995" t="inlineStr"/>
      <c r="E995" t="inlineStr">
        <is>
          <t>time off work</t>
        </is>
      </c>
      <c r="F995" t="inlineStr">
        <is>
          <t>Work Schedule / Time Off</t>
        </is>
      </c>
      <c r="G995" t="inlineStr">
        <is>
          <t>Work Schedule / Time Off</t>
        </is>
      </c>
      <c r="H995" t="inlineStr"/>
    </row>
    <row r="996">
      <c r="A996" t="inlineStr">
        <is>
          <t>Yes</t>
        </is>
      </c>
      <c r="B996" t="inlineStr">
        <is>
          <t>Help my kids to build long lasting friendship and thief testimonies</t>
        </is>
      </c>
      <c r="C996" t="inlineStr">
        <is>
          <t>Faith / Service Motivation</t>
        </is>
      </c>
      <c r="D996" t="inlineStr">
        <is>
          <t>Faith / Service Motivation</t>
        </is>
      </c>
      <c r="E996" t="inlineStr"/>
      <c r="F996" t="inlineStr"/>
      <c r="G996" t="inlineStr"/>
      <c r="H996" t="inlineStr"/>
    </row>
    <row r="997">
      <c r="A997" t="inlineStr">
        <is>
          <t>No</t>
        </is>
      </c>
      <c r="B997" t="inlineStr"/>
      <c r="C997" t="inlineStr"/>
      <c r="D997" t="inlineStr"/>
      <c r="E997" t="inlineStr">
        <is>
          <t>Work, other children at home</t>
        </is>
      </c>
      <c r="F997" t="inlineStr">
        <is>
          <t>Work Schedule / Time Off</t>
        </is>
      </c>
      <c r="G997" t="inlineStr">
        <is>
          <t>Work Schedule / Time Off; Other Kids / Family at Home</t>
        </is>
      </c>
      <c r="H997" t="inlineStr"/>
    </row>
    <row r="998">
      <c r="A998" t="inlineStr">
        <is>
          <t>No</t>
        </is>
      </c>
      <c r="B998" t="inlineStr"/>
      <c r="C998" t="inlineStr"/>
      <c r="D998" t="inlineStr"/>
      <c r="E998" t="inlineStr">
        <is>
          <t>My son wouldn't let me since I went last year. He said he wants to do one on his own.</t>
        </is>
      </c>
      <c r="F998" t="inlineStr">
        <is>
          <t>Wants Child to Have Independent Experience</t>
        </is>
      </c>
      <c r="G998" t="inlineStr">
        <is>
          <t>Wants Child to Have Independent Experience</t>
        </is>
      </c>
      <c r="H998" t="inlineStr"/>
    </row>
    <row r="999">
      <c r="A999" t="inlineStr">
        <is>
          <t>No</t>
        </is>
      </c>
      <c r="B999" t="inlineStr"/>
      <c r="C999" t="inlineStr"/>
      <c r="D999" t="inlineStr"/>
      <c r="E999" t="inlineStr">
        <is>
          <t>Cost</t>
        </is>
      </c>
      <c r="F999" t="inlineStr">
        <is>
          <t>Cost / Finances</t>
        </is>
      </c>
      <c r="G999" t="inlineStr">
        <is>
          <t>Cost / Finances</t>
        </is>
      </c>
      <c r="H999" t="inlineStr"/>
    </row>
    <row r="1000">
      <c r="A1000" t="inlineStr">
        <is>
          <t>Yes</t>
        </is>
      </c>
      <c r="B1000" t="inlineStr">
        <is>
          <t>Save my daughter</t>
        </is>
      </c>
      <c r="C1000" t="inlineStr">
        <is>
          <t>Other / Uncategorized</t>
        </is>
      </c>
      <c r="D1000" t="inlineStr"/>
      <c r="E1000" t="inlineStr"/>
      <c r="F1000" t="inlineStr"/>
      <c r="G1000" t="inlineStr"/>
      <c r="H1000" t="inlineStr"/>
    </row>
    <row r="1001">
      <c r="A1001" t="inlineStr">
        <is>
          <t>Maybe</t>
        </is>
      </c>
      <c r="B1001" t="inlineStr"/>
      <c r="C1001" t="inlineStr"/>
      <c r="D1001" t="inlineStr"/>
      <c r="E1001" t="inlineStr"/>
      <c r="F1001" t="inlineStr"/>
      <c r="G1001" t="inlineStr"/>
      <c r="H1001" t="inlineStr">
        <is>
          <t>If it was cheaper for the parents.</t>
        </is>
      </c>
    </row>
    <row r="1002">
      <c r="A1002" t="inlineStr">
        <is>
          <t>No</t>
        </is>
      </c>
      <c r="B1002" t="inlineStr"/>
      <c r="C1002" t="inlineStr"/>
      <c r="D1002" t="inlineStr"/>
      <c r="E1002" t="inlineStr">
        <is>
          <t>Cost and time. Although I'd love to go. Maybe with one of my younger kids</t>
        </is>
      </c>
      <c r="F1002" t="inlineStr">
        <is>
          <t>Cost / Finances</t>
        </is>
      </c>
      <c r="G1002" t="inlineStr">
        <is>
          <t>Cost / Finances; Work Schedule / Time Off; Other Kids / Family at Home</t>
        </is>
      </c>
      <c r="H1002" t="inlineStr"/>
    </row>
    <row r="1003">
      <c r="A1003" t="inlineStr">
        <is>
          <t>No</t>
        </is>
      </c>
      <c r="B1003" t="inlineStr"/>
      <c r="C1003" t="inlineStr"/>
      <c r="D1003" t="inlineStr"/>
      <c r="E1003" t="inlineStr"/>
      <c r="F1003" t="inlineStr"/>
      <c r="G1003" t="inlineStr"/>
      <c r="H1003" t="inlineStr"/>
    </row>
    <row r="1004">
      <c r="A1004" t="inlineStr">
        <is>
          <t>Yes</t>
        </is>
      </c>
      <c r="B1004" t="inlineStr">
        <is>
          <t>Experience</t>
        </is>
      </c>
      <c r="C1004" t="inlineStr">
        <is>
          <t>Wanted Shared Experience with Child</t>
        </is>
      </c>
      <c r="D1004" t="inlineStr">
        <is>
          <t>Wanted Shared Experience with Child</t>
        </is>
      </c>
      <c r="E1004" t="inlineStr"/>
      <c r="F1004" t="inlineStr"/>
      <c r="G1004" t="inlineStr"/>
      <c r="H1004" t="inlineStr"/>
    </row>
    <row r="1005">
      <c r="A1005" t="inlineStr">
        <is>
          <t>No</t>
        </is>
      </c>
      <c r="B1005" t="inlineStr"/>
      <c r="C1005" t="inlineStr"/>
      <c r="D1005" t="inlineStr"/>
      <c r="E1005" t="inlineStr">
        <is>
          <t>I have too many younger kids still at home.</t>
        </is>
      </c>
      <c r="F1005" t="inlineStr">
        <is>
          <t>Other Kids / Family at Home</t>
        </is>
      </c>
      <c r="G1005" t="inlineStr">
        <is>
          <t>Other Kids / Family at Home</t>
        </is>
      </c>
      <c r="H1005" t="inlineStr"/>
    </row>
    <row r="1006">
      <c r="A1006" t="inlineStr">
        <is>
          <t>No</t>
        </is>
      </c>
      <c r="B1006" t="inlineStr"/>
      <c r="C1006" t="inlineStr"/>
      <c r="D1006" t="inlineStr"/>
      <c r="E1006" t="inlineStr">
        <is>
          <t>Wanted my daughter to get some experience being independent</t>
        </is>
      </c>
      <c r="F1006" t="inlineStr">
        <is>
          <t>Wants Child to Have Independent Experience</t>
        </is>
      </c>
      <c r="G1006" t="inlineStr">
        <is>
          <t>Wants Child to Have Independent Experience</t>
        </is>
      </c>
      <c r="H1006" t="inlineStr"/>
    </row>
    <row r="1007">
      <c r="A1007" t="inlineStr">
        <is>
          <t>No</t>
        </is>
      </c>
      <c r="B1007" t="inlineStr"/>
      <c r="C1007" t="inlineStr"/>
      <c r="D1007" t="inlineStr"/>
      <c r="E1007" t="inlineStr">
        <is>
          <t>family responsibilites</t>
        </is>
      </c>
      <c r="F1007" t="inlineStr">
        <is>
          <t>Work Schedule / Time Off</t>
        </is>
      </c>
      <c r="G1007" t="inlineStr">
        <is>
          <t>Work Schedule / Time Off</t>
        </is>
      </c>
      <c r="H1007" t="inlineStr"/>
    </row>
    <row r="1008">
      <c r="A1008" t="inlineStr">
        <is>
          <t>No</t>
        </is>
      </c>
      <c r="B1008" t="inlineStr"/>
      <c r="C1008" t="inlineStr"/>
      <c r="D1008" t="inlineStr"/>
      <c r="E1008" t="inlineStr">
        <is>
          <t>Finances</t>
        </is>
      </c>
      <c r="F1008" t="inlineStr">
        <is>
          <t>Cost / Finances</t>
        </is>
      </c>
      <c r="G1008" t="inlineStr">
        <is>
          <t>Cost / Finances</t>
        </is>
      </c>
      <c r="H1008" t="inlineStr"/>
    </row>
    <row r="1009">
      <c r="A1009" t="inlineStr">
        <is>
          <t>No</t>
        </is>
      </c>
      <c r="B1009" t="inlineStr"/>
      <c r="C1009" t="inlineStr"/>
      <c r="D1009" t="inlineStr"/>
      <c r="E1009" t="inlineStr">
        <is>
          <t>I wanted to let me son go without his dad on the trip.</t>
        </is>
      </c>
      <c r="F1009" t="inlineStr">
        <is>
          <t>Wants Child to Have Independent Experience</t>
        </is>
      </c>
      <c r="G1009" t="inlineStr">
        <is>
          <t>Wants Child to Have Independent Experience</t>
        </is>
      </c>
      <c r="H1009" t="inlineStr"/>
    </row>
    <row r="1010">
      <c r="A1010" t="inlineStr">
        <is>
          <t>No</t>
        </is>
      </c>
      <c r="B1010" t="inlineStr"/>
      <c r="C1010" t="inlineStr"/>
      <c r="D1010" t="inlineStr"/>
      <c r="E1010" t="inlineStr">
        <is>
          <t>My daughter wanted to experience it independently</t>
        </is>
      </c>
      <c r="F1010" t="inlineStr">
        <is>
          <t>Wants Child to Have Independent Experience</t>
        </is>
      </c>
      <c r="G1010" t="inlineStr">
        <is>
          <t>Wants Child to Have Independent Experience</t>
        </is>
      </c>
      <c r="H1010" t="inlineStr"/>
    </row>
    <row r="1011">
      <c r="A1011" t="inlineStr">
        <is>
          <t>No</t>
        </is>
      </c>
      <c r="B1011" t="inlineStr"/>
      <c r="C1011" t="inlineStr"/>
      <c r="D1011" t="inlineStr"/>
      <c r="E1011" t="inlineStr">
        <is>
          <t>Money</t>
        </is>
      </c>
      <c r="F1011" t="inlineStr">
        <is>
          <t>Cost / Finances</t>
        </is>
      </c>
      <c r="G1011" t="inlineStr">
        <is>
          <t>Cost / Finances</t>
        </is>
      </c>
      <c r="H1011" t="inlineStr"/>
    </row>
    <row r="1012">
      <c r="A1012" t="inlineStr">
        <is>
          <t>No</t>
        </is>
      </c>
      <c r="B1012" t="inlineStr"/>
      <c r="C1012" t="inlineStr"/>
      <c r="D1012" t="inlineStr"/>
      <c r="E1012" t="inlineStr">
        <is>
          <t>I have younger children at home and I want my daughter to experience the independence of not going with us.</t>
        </is>
      </c>
      <c r="F1012" t="inlineStr">
        <is>
          <t>Other Kids / Family at Home</t>
        </is>
      </c>
      <c r="G1012" t="inlineStr">
        <is>
          <t>Other Kids / Family at Home; Wants Child to Have Independent Experience</t>
        </is>
      </c>
      <c r="H1012" t="inlineStr"/>
    </row>
    <row r="1013">
      <c r="A1013" t="inlineStr">
        <is>
          <t>No</t>
        </is>
      </c>
      <c r="B1013" t="inlineStr"/>
      <c r="C1013" t="inlineStr"/>
      <c r="D1013" t="inlineStr"/>
      <c r="E1013" t="inlineStr">
        <is>
          <t>Work</t>
        </is>
      </c>
      <c r="F1013" t="inlineStr">
        <is>
          <t>Work Schedule / Time Off</t>
        </is>
      </c>
      <c r="G1013" t="inlineStr">
        <is>
          <t>Work Schedule / Time Off</t>
        </is>
      </c>
      <c r="H1013" t="inlineStr"/>
    </row>
    <row r="1014">
      <c r="A1014" t="inlineStr">
        <is>
          <t>No</t>
        </is>
      </c>
      <c r="B1014" t="inlineStr"/>
      <c r="C1014" t="inlineStr"/>
      <c r="D1014" t="inlineStr"/>
      <c r="E1014" t="inlineStr">
        <is>
          <t>My daughter wanted to go alone</t>
        </is>
      </c>
      <c r="F1014" t="inlineStr">
        <is>
          <t>Wants Child to Have Independent Experience</t>
        </is>
      </c>
      <c r="G1014" t="inlineStr">
        <is>
          <t>Wants Child to Have Independent Experience</t>
        </is>
      </c>
      <c r="H1014" t="inlineStr"/>
    </row>
    <row r="1015">
      <c r="A1015" t="inlineStr">
        <is>
          <t>No</t>
        </is>
      </c>
      <c r="B1015" t="inlineStr"/>
      <c r="C1015" t="inlineStr"/>
      <c r="D1015" t="inlineStr"/>
      <c r="E1015" t="inlineStr">
        <is>
          <t>time</t>
        </is>
      </c>
      <c r="F1015" t="inlineStr">
        <is>
          <t>Work Schedule / Time Off</t>
        </is>
      </c>
      <c r="G1015" t="inlineStr">
        <is>
          <t>Work Schedule / Time Off</t>
        </is>
      </c>
      <c r="H1015" t="inlineStr"/>
    </row>
    <row r="1016">
      <c r="A1016" t="inlineStr">
        <is>
          <t>No</t>
        </is>
      </c>
      <c r="B1016" t="inlineStr"/>
      <c r="C1016" t="inlineStr"/>
      <c r="D1016" t="inlineStr"/>
      <c r="E1016" t="inlineStr">
        <is>
          <t>cost - it's already a huge expense just for our son to go</t>
        </is>
      </c>
      <c r="F1016" t="inlineStr">
        <is>
          <t>Cost / Finances</t>
        </is>
      </c>
      <c r="G1016" t="inlineStr">
        <is>
          <t>Cost / Finances</t>
        </is>
      </c>
      <c r="H1016" t="inlineStr"/>
    </row>
    <row r="1017">
      <c r="A1017" t="inlineStr">
        <is>
          <t>No</t>
        </is>
      </c>
      <c r="B1017" t="inlineStr"/>
      <c r="C1017" t="inlineStr"/>
      <c r="D1017" t="inlineStr"/>
      <c r="E1017" t="inlineStr">
        <is>
          <t>Couldn't get time off from work and wanted daughter to experience trip without parents.</t>
        </is>
      </c>
      <c r="F1017" t="inlineStr">
        <is>
          <t>Work Schedule / Time Off</t>
        </is>
      </c>
      <c r="G1017" t="inlineStr">
        <is>
          <t>Work Schedule / Time Off; Wants Child to Have Independent Experience</t>
        </is>
      </c>
      <c r="H1017" t="inlineStr"/>
    </row>
    <row r="1018">
      <c r="A1018" t="inlineStr">
        <is>
          <t>Yes</t>
        </is>
      </c>
      <c r="B1018" t="inlineStr">
        <is>
          <t>HXP office reaching out to me personally to ask if I could go. Then my son saying he would be fine with it!</t>
        </is>
      </c>
      <c r="C1018" t="inlineStr">
        <is>
          <t>Personally Invited by HXP Staff/Trip Leader</t>
        </is>
      </c>
      <c r="D1018" t="inlineStr">
        <is>
          <t>Personally Invited by HXP Staff/Trip Leader</t>
        </is>
      </c>
      <c r="E1018" t="inlineStr"/>
      <c r="F1018" t="inlineStr"/>
      <c r="G1018" t="inlineStr"/>
      <c r="H1018" t="inlineStr"/>
    </row>
    <row r="1019">
      <c r="A1019" t="inlineStr">
        <is>
          <t>No</t>
        </is>
      </c>
      <c r="B1019" t="inlineStr"/>
      <c r="C1019" t="inlineStr"/>
      <c r="D1019" t="inlineStr"/>
      <c r="E1019" t="inlineStr">
        <is>
          <t>Timing and current money situation, but next year I'll try to volunteer to go with my son, domestically. He will still be 15.</t>
        </is>
      </c>
      <c r="F1019" t="inlineStr">
        <is>
          <t>Cost / Finances</t>
        </is>
      </c>
      <c r="G1019" t="inlineStr">
        <is>
          <t>Cost / Finances; Work Schedule / Time Off</t>
        </is>
      </c>
      <c r="H1019" t="inlineStr"/>
    </row>
    <row r="1020">
      <c r="A1020" t="inlineStr">
        <is>
          <t>No</t>
        </is>
      </c>
      <c r="B1020" t="inlineStr"/>
      <c r="C1020" t="inlineStr"/>
      <c r="D1020" t="inlineStr"/>
      <c r="E1020" t="inlineStr">
        <is>
          <t>too expensive</t>
        </is>
      </c>
      <c r="F1020" t="inlineStr">
        <is>
          <t>Cost / Finances</t>
        </is>
      </c>
      <c r="G1020" t="inlineStr">
        <is>
          <t>Cost / Finances</t>
        </is>
      </c>
      <c r="H1020" t="inlineStr"/>
    </row>
    <row r="1021">
      <c r="A1021" t="inlineStr">
        <is>
          <t>Maybe</t>
        </is>
      </c>
      <c r="B1021" t="inlineStr"/>
      <c r="C1021" t="inlineStr"/>
      <c r="D1021" t="inlineStr"/>
      <c r="E1021" t="inlineStr"/>
      <c r="F1021" t="inlineStr"/>
      <c r="G1021" t="inlineStr"/>
      <c r="H1021" t="inlineStr">
        <is>
          <t>If it were easier to get a spot</t>
        </is>
      </c>
    </row>
    <row r="1022">
      <c r="A1022" t="inlineStr">
        <is>
          <t>No</t>
        </is>
      </c>
      <c r="B1022" t="inlineStr"/>
      <c r="C1022" t="inlineStr"/>
      <c r="D1022" t="inlineStr"/>
      <c r="E1022" t="inlineStr">
        <is>
          <t>The cost for builder and parents builder.</t>
        </is>
      </c>
      <c r="F1022" t="inlineStr">
        <is>
          <t>Cost / Finances</t>
        </is>
      </c>
      <c r="G1022" t="inlineStr">
        <is>
          <t>Cost / Finances</t>
        </is>
      </c>
      <c r="H1022" t="inlineStr"/>
    </row>
    <row r="1023">
      <c r="A1023" t="inlineStr">
        <is>
          <t>Yes</t>
        </is>
      </c>
      <c r="B1023" t="inlineStr">
        <is>
          <t>To be with my son for this experience - help other youth strengthen testimony</t>
        </is>
      </c>
      <c r="C1023" t="inlineStr">
        <is>
          <t>Wanted Shared Experience with Child</t>
        </is>
      </c>
      <c r="D1023" t="inlineStr">
        <is>
          <t>Wanted Shared Experience with Child; Faith / Service Motivation</t>
        </is>
      </c>
      <c r="E1023" t="inlineStr"/>
      <c r="F1023" t="inlineStr"/>
      <c r="G1023" t="inlineStr"/>
      <c r="H1023" t="inlineStr"/>
    </row>
    <row r="1024">
      <c r="A1024" t="inlineStr">
        <is>
          <t>Yes</t>
        </is>
      </c>
      <c r="B1024" t="inlineStr">
        <is>
          <t>My daughter was using me for her to obtain an earlier selection. LOL. And I'm happy she did.</t>
        </is>
      </c>
      <c r="C1024" t="inlineStr">
        <is>
          <t>Securing/Ensuring Child's Spot (Registration Timing)</t>
        </is>
      </c>
      <c r="D1024" t="inlineStr">
        <is>
          <t>Securing/Ensuring Child's Spot (Registration Timing)</t>
        </is>
      </c>
      <c r="E1024" t="inlineStr"/>
      <c r="F1024" t="inlineStr"/>
      <c r="G1024" t="inlineStr"/>
      <c r="H1024" t="inlineStr"/>
    </row>
    <row r="1025">
      <c r="A1025" t="inlineStr">
        <is>
          <t>No</t>
        </is>
      </c>
      <c r="B1025" t="inlineStr"/>
      <c r="C1025" t="inlineStr"/>
      <c r="D1025" t="inlineStr"/>
      <c r="E1025" t="inlineStr">
        <is>
          <t>small kids at home</t>
        </is>
      </c>
      <c r="F1025" t="inlineStr">
        <is>
          <t>Other Kids / Family at Home</t>
        </is>
      </c>
      <c r="G1025" t="inlineStr">
        <is>
          <t>Other Kids / Family at Home</t>
        </is>
      </c>
      <c r="H1025" t="inlineStr"/>
    </row>
    <row r="1026">
      <c r="A1026" t="inlineStr">
        <is>
          <t>Yes</t>
        </is>
      </c>
      <c r="B1026" t="inlineStr">
        <is>
          <t>My son asked me to</t>
        </is>
      </c>
      <c r="C1026" t="inlineStr">
        <is>
          <t>Child/Spouse Asked Them to Go</t>
        </is>
      </c>
      <c r="D1026" t="inlineStr">
        <is>
          <t>Child/Spouse Asked Them to Go</t>
        </is>
      </c>
      <c r="E1026" t="inlineStr"/>
      <c r="F1026" t="inlineStr"/>
      <c r="G1026" t="inlineStr"/>
      <c r="H1026" t="inlineStr"/>
    </row>
    <row r="1027">
      <c r="A1027" t="inlineStr">
        <is>
          <t>Maybe</t>
        </is>
      </c>
      <c r="B1027" t="inlineStr"/>
      <c r="C1027" t="inlineStr"/>
      <c r="D1027" t="inlineStr"/>
      <c r="E1027" t="inlineStr"/>
      <c r="F1027" t="inlineStr"/>
      <c r="G1027" t="inlineStr"/>
      <c r="H1027" t="inlineStr">
        <is>
          <t>price</t>
        </is>
      </c>
    </row>
    <row r="1028">
      <c r="A1028" t="inlineStr">
        <is>
          <t>No</t>
        </is>
      </c>
      <c r="B1028" t="inlineStr"/>
      <c r="C1028" t="inlineStr"/>
      <c r="D1028" t="inlineStr"/>
      <c r="E1028" t="inlineStr">
        <is>
          <t>I felt my daughter needed to go without a parent</t>
        </is>
      </c>
      <c r="F1028" t="inlineStr">
        <is>
          <t>Wants Child to Have Independent Experience</t>
        </is>
      </c>
      <c r="G1028" t="inlineStr">
        <is>
          <t>Wants Child to Have Independent Experience</t>
        </is>
      </c>
      <c r="H1028" t="inlineStr"/>
    </row>
    <row r="1029">
      <c r="A1029" t="inlineStr">
        <is>
          <t>No</t>
        </is>
      </c>
      <c r="B1029" t="inlineStr"/>
      <c r="C1029" t="inlineStr"/>
      <c r="D1029" t="inlineStr"/>
      <c r="E1029" t="inlineStr">
        <is>
          <t>i have 5 kids</t>
        </is>
      </c>
      <c r="F1029" t="inlineStr">
        <is>
          <t>Other Kids / Family at Home</t>
        </is>
      </c>
      <c r="G1029" t="inlineStr">
        <is>
          <t>Other Kids / Family at Home</t>
        </is>
      </c>
      <c r="H1029" t="inlineStr"/>
    </row>
    <row r="1030">
      <c r="A1030" t="inlineStr">
        <is>
          <t>No</t>
        </is>
      </c>
      <c r="B1030" t="inlineStr"/>
      <c r="C1030" t="inlineStr"/>
      <c r="D1030" t="inlineStr"/>
      <c r="E1030" t="inlineStr">
        <is>
          <t>Cost</t>
        </is>
      </c>
      <c r="F1030" t="inlineStr">
        <is>
          <t>Cost / Finances</t>
        </is>
      </c>
      <c r="G1030" t="inlineStr">
        <is>
          <t>Cost / Finances</t>
        </is>
      </c>
      <c r="H1030" t="inlineStr"/>
    </row>
    <row r="1031">
      <c r="A1031" t="inlineStr">
        <is>
          <t>No</t>
        </is>
      </c>
      <c r="B1031" t="inlineStr"/>
      <c r="C1031" t="inlineStr"/>
      <c r="D1031" t="inlineStr"/>
      <c r="E1031" t="inlineStr">
        <is>
          <t>Not able to leave the rest of my family for that long</t>
        </is>
      </c>
      <c r="F1031" t="inlineStr">
        <is>
          <t>Other Kids / Family at Home</t>
        </is>
      </c>
      <c r="G1031" t="inlineStr">
        <is>
          <t>Other Kids / Family at Home</t>
        </is>
      </c>
      <c r="H1031" t="inlineStr"/>
    </row>
    <row r="1032">
      <c r="A1032" t="inlineStr">
        <is>
          <t>No</t>
        </is>
      </c>
      <c r="B1032" t="inlineStr"/>
      <c r="C1032" t="inlineStr"/>
      <c r="D1032" t="inlineStr"/>
      <c r="E1032" t="inlineStr">
        <is>
          <t>Cost</t>
        </is>
      </c>
      <c r="F1032" t="inlineStr">
        <is>
          <t>Cost / Finances</t>
        </is>
      </c>
      <c r="G1032" t="inlineStr">
        <is>
          <t>Cost / Finances</t>
        </is>
      </c>
      <c r="H1032" t="inlineStr"/>
    </row>
    <row r="1033">
      <c r="A1033" t="inlineStr">
        <is>
          <t>No</t>
        </is>
      </c>
      <c r="B1033" t="inlineStr"/>
      <c r="C1033" t="inlineStr"/>
      <c r="D1033" t="inlineStr"/>
      <c r="E1033" t="inlineStr">
        <is>
          <t>Timing</t>
        </is>
      </c>
      <c r="F1033" t="inlineStr">
        <is>
          <t>Work Schedule / Time Off</t>
        </is>
      </c>
      <c r="G1033" t="inlineStr">
        <is>
          <t>Work Schedule / Time Off</t>
        </is>
      </c>
      <c r="H1033" t="inlineStr"/>
    </row>
    <row r="1034">
      <c r="A1034" t="inlineStr">
        <is>
          <t>Yes</t>
        </is>
      </c>
      <c r="B1034" t="inlineStr">
        <is>
          <t>Sending our kids is their senior trip and it is always our intention for one of us to join them.</t>
        </is>
      </c>
      <c r="C1034" t="inlineStr">
        <is>
          <t>Previous Positive Experience</t>
        </is>
      </c>
      <c r="D1034" t="inlineStr">
        <is>
          <t>Previous Positive Experience</t>
        </is>
      </c>
      <c r="E1034" t="inlineStr"/>
      <c r="F1034" t="inlineStr"/>
      <c r="G1034" t="inlineStr"/>
      <c r="H1034" t="inlineStr"/>
    </row>
    <row r="1035">
      <c r="A1035" t="inlineStr">
        <is>
          <t>No</t>
        </is>
      </c>
      <c r="B1035" t="inlineStr"/>
      <c r="C1035" t="inlineStr"/>
      <c r="D1035" t="inlineStr"/>
      <c r="E1035" t="inlineStr">
        <is>
          <t>My builder didn't want me to, ha!</t>
        </is>
      </c>
      <c r="F1035" t="inlineStr">
        <is>
          <t>Child Didn't Want Parent to Come</t>
        </is>
      </c>
      <c r="G1035" t="inlineStr">
        <is>
          <t>Child Didn't Want Parent to Come</t>
        </is>
      </c>
      <c r="H1035" t="inlineStr"/>
    </row>
    <row r="1036">
      <c r="A1036" t="inlineStr">
        <is>
          <t>Maybe</t>
        </is>
      </c>
      <c r="B1036" t="inlineStr"/>
      <c r="C1036" t="inlineStr"/>
      <c r="D1036" t="inlineStr"/>
      <c r="E1036" t="inlineStr"/>
      <c r="F1036" t="inlineStr"/>
      <c r="G1036" t="inlineStr"/>
      <c r="H1036" t="inlineStr"/>
    </row>
    <row r="1037">
      <c r="A1037" t="inlineStr">
        <is>
          <t>No</t>
        </is>
      </c>
      <c r="B1037" t="inlineStr"/>
      <c r="C1037" t="inlineStr"/>
      <c r="D1037" t="inlineStr"/>
      <c r="E1037" t="inlineStr"/>
      <c r="F1037" t="inlineStr"/>
      <c r="G1037" t="inlineStr"/>
      <c r="H1037" t="inlineStr"/>
    </row>
    <row r="1038">
      <c r="A1038" t="inlineStr">
        <is>
          <t>No</t>
        </is>
      </c>
      <c r="B1038" t="inlineStr"/>
      <c r="C1038" t="inlineStr"/>
      <c r="D1038" t="inlineStr"/>
      <c r="E1038" t="inlineStr">
        <is>
          <t>Price</t>
        </is>
      </c>
      <c r="F1038" t="inlineStr">
        <is>
          <t>Cost / Finances</t>
        </is>
      </c>
      <c r="G1038" t="inlineStr">
        <is>
          <t>Cost / Finances</t>
        </is>
      </c>
      <c r="H1038" t="inlineStr"/>
    </row>
    <row r="1039">
      <c r="A1039" t="inlineStr">
        <is>
          <t>No</t>
        </is>
      </c>
      <c r="B1039" t="inlineStr"/>
      <c r="C1039" t="inlineStr"/>
      <c r="D1039" t="inlineStr"/>
      <c r="E1039" t="inlineStr">
        <is>
          <t>child wanted to experience this alone</t>
        </is>
      </c>
      <c r="F1039" t="inlineStr">
        <is>
          <t>Wants Child to Have Independent Experience</t>
        </is>
      </c>
      <c r="G1039" t="inlineStr">
        <is>
          <t>Wants Child to Have Independent Experience</t>
        </is>
      </c>
      <c r="H1039" t="inlineStr"/>
    </row>
    <row r="1040">
      <c r="A1040" t="inlineStr">
        <is>
          <t>No</t>
        </is>
      </c>
      <c r="B1040" t="inlineStr"/>
      <c r="C1040" t="inlineStr"/>
      <c r="D1040" t="inlineStr"/>
      <c r="E1040" t="inlineStr"/>
      <c r="F1040" t="inlineStr"/>
      <c r="G1040" t="inlineStr"/>
      <c r="H1040" t="inlineStr"/>
    </row>
    <row r="1041">
      <c r="A1041" t="inlineStr">
        <is>
          <t>No</t>
        </is>
      </c>
      <c r="B1041" t="inlineStr"/>
      <c r="C1041" t="inlineStr"/>
      <c r="D1041" t="inlineStr"/>
      <c r="E1041" t="inlineStr">
        <is>
          <t>She needs to do this alone and get out of her comfort zone. Trust me. I really wanted to go.</t>
        </is>
      </c>
      <c r="F1041" t="inlineStr">
        <is>
          <t>Wants Child to Have Independent Experience</t>
        </is>
      </c>
      <c r="G1041" t="inlineStr">
        <is>
          <t>Wants Child to Have Independent Experience</t>
        </is>
      </c>
      <c r="H1041" t="inlineStr"/>
    </row>
    <row r="1042">
      <c r="A1042" t="inlineStr">
        <is>
          <t>No</t>
        </is>
      </c>
      <c r="B1042" t="inlineStr"/>
      <c r="C1042" t="inlineStr"/>
      <c r="D1042" t="inlineStr"/>
      <c r="E1042" t="inlineStr"/>
      <c r="F1042" t="inlineStr"/>
      <c r="G1042" t="inlineStr"/>
      <c r="H1042" t="inlineStr"/>
    </row>
    <row r="1043">
      <c r="A1043" t="inlineStr">
        <is>
          <t>No</t>
        </is>
      </c>
      <c r="B1043" t="inlineStr"/>
      <c r="C1043" t="inlineStr"/>
      <c r="D1043" t="inlineStr"/>
      <c r="E1043" t="inlineStr"/>
      <c r="F1043" t="inlineStr"/>
      <c r="G1043" t="inlineStr"/>
      <c r="H1043" t="inlineStr"/>
    </row>
    <row r="1044">
      <c r="A1044" t="inlineStr">
        <is>
          <t>No</t>
        </is>
      </c>
      <c r="B1044" t="inlineStr"/>
      <c r="C1044" t="inlineStr"/>
      <c r="D1044" t="inlineStr"/>
      <c r="E1044" t="inlineStr">
        <is>
          <t>Money/time</t>
        </is>
      </c>
      <c r="F1044" t="inlineStr">
        <is>
          <t>Cost / Finances</t>
        </is>
      </c>
      <c r="G1044" t="inlineStr">
        <is>
          <t>Cost / Finances; Work Schedule / Time Off</t>
        </is>
      </c>
      <c r="H1044" t="inlineStr"/>
    </row>
    <row r="1045">
      <c r="A1045" t="inlineStr">
        <is>
          <t>No</t>
        </is>
      </c>
      <c r="B1045" t="inlineStr"/>
      <c r="C1045" t="inlineStr"/>
      <c r="D1045" t="inlineStr"/>
      <c r="E1045" t="inlineStr">
        <is>
          <t>Other family responsibilities</t>
        </is>
      </c>
      <c r="F1045" t="inlineStr">
        <is>
          <t>Work Schedule / Time Off</t>
        </is>
      </c>
      <c r="G1045" t="inlineStr">
        <is>
          <t>Work Schedule / Time Off</t>
        </is>
      </c>
      <c r="H1045" t="inlineStr"/>
    </row>
    <row r="1046">
      <c r="A1046" t="inlineStr">
        <is>
          <t>No</t>
        </is>
      </c>
      <c r="B1046" t="inlineStr"/>
      <c r="C1046" t="inlineStr"/>
      <c r="D1046" t="inlineStr"/>
      <c r="E1046" t="inlineStr">
        <is>
          <t>Time</t>
        </is>
      </c>
      <c r="F1046" t="inlineStr">
        <is>
          <t>Work Schedule / Time Off</t>
        </is>
      </c>
      <c r="G1046" t="inlineStr">
        <is>
          <t>Work Schedule / Time Off</t>
        </is>
      </c>
      <c r="H1046" t="inlineStr"/>
    </row>
    <row r="1047">
      <c r="A1047" t="inlineStr">
        <is>
          <t>No</t>
        </is>
      </c>
      <c r="B1047" t="inlineStr"/>
      <c r="C1047" t="inlineStr"/>
      <c r="D1047" t="inlineStr"/>
      <c r="E1047" t="inlineStr">
        <is>
          <t>Too many kids at home to leave</t>
        </is>
      </c>
      <c r="F1047" t="inlineStr">
        <is>
          <t>Other Kids / Family at Home</t>
        </is>
      </c>
      <c r="G1047" t="inlineStr">
        <is>
          <t>Other Kids / Family at Home</t>
        </is>
      </c>
      <c r="H1047" t="inlineStr"/>
    </row>
    <row r="1048">
      <c r="A1048" t="inlineStr">
        <is>
          <t>No</t>
        </is>
      </c>
      <c r="B1048" t="inlineStr"/>
      <c r="C1048" t="inlineStr"/>
      <c r="D1048" t="inlineStr"/>
      <c r="E1048" t="inlineStr">
        <is>
          <t>Young children at home need me here, but when these younger ones are old enough to go I'd love to go be a parent builder.</t>
        </is>
      </c>
      <c r="F1048" t="inlineStr">
        <is>
          <t>Other Kids / Family at Home</t>
        </is>
      </c>
      <c r="G1048" t="inlineStr">
        <is>
          <t>Other Kids / Family at Home</t>
        </is>
      </c>
      <c r="H1048" t="inlineStr"/>
    </row>
    <row r="1049">
      <c r="A1049" t="inlineStr">
        <is>
          <t>No</t>
        </is>
      </c>
      <c r="B1049" t="inlineStr"/>
      <c r="C1049" t="inlineStr"/>
      <c r="D1049" t="inlineStr"/>
      <c r="E1049" t="inlineStr"/>
      <c r="F1049" t="inlineStr"/>
      <c r="G1049" t="inlineStr"/>
      <c r="H1049" t="inlineStr"/>
    </row>
    <row r="1050">
      <c r="A1050" t="inlineStr">
        <is>
          <t>No</t>
        </is>
      </c>
      <c r="B1050" t="inlineStr"/>
      <c r="C1050" t="inlineStr"/>
      <c r="D1050" t="inlineStr"/>
      <c r="E1050" t="inlineStr">
        <is>
          <t>My son's experience would have been altered had one of his parents been there.</t>
        </is>
      </c>
      <c r="F1050" t="inlineStr">
        <is>
          <t>Wants Child to Have Independent Experience</t>
        </is>
      </c>
      <c r="G1050" t="inlineStr">
        <is>
          <t>Wants Child to Have Independent Experience</t>
        </is>
      </c>
      <c r="H1050" t="inlineStr"/>
    </row>
    <row r="1051">
      <c r="A1051" t="inlineStr">
        <is>
          <t>No</t>
        </is>
      </c>
      <c r="B1051" t="inlineStr"/>
      <c r="C1051" t="inlineStr"/>
      <c r="D1051" t="inlineStr"/>
      <c r="E1051" t="inlineStr">
        <is>
          <t>Time off work</t>
        </is>
      </c>
      <c r="F1051" t="inlineStr">
        <is>
          <t>Work Schedule / Time Off</t>
        </is>
      </c>
      <c r="G1051" t="inlineStr">
        <is>
          <t>Work Schedule / Time Off</t>
        </is>
      </c>
      <c r="H1051" t="inlineStr"/>
    </row>
    <row r="1052">
      <c r="A1052" t="inlineStr">
        <is>
          <t>No</t>
        </is>
      </c>
      <c r="B1052" t="inlineStr"/>
      <c r="C1052" t="inlineStr"/>
      <c r="D1052" t="inlineStr"/>
      <c r="E1052" t="inlineStr">
        <is>
          <t>Time and my child wanted to go on her own</t>
        </is>
      </c>
      <c r="F1052" t="inlineStr">
        <is>
          <t>Work Schedule / Time Off</t>
        </is>
      </c>
      <c r="G1052" t="inlineStr">
        <is>
          <t>Work Schedule / Time Off; Wants Child to Have Independent Experience</t>
        </is>
      </c>
      <c r="H1052" t="inlineStr"/>
    </row>
    <row r="1053">
      <c r="A1053" t="inlineStr">
        <is>
          <t>No</t>
        </is>
      </c>
      <c r="B1053" t="inlineStr"/>
      <c r="C1053" t="inlineStr"/>
      <c r="D1053" t="inlineStr"/>
      <c r="E1053" t="inlineStr">
        <is>
          <t>The trip extends into the beginning of our school year and I have other children at home who will need me.</t>
        </is>
      </c>
      <c r="F1053" t="inlineStr">
        <is>
          <t>Other Kids / Family at Home</t>
        </is>
      </c>
      <c r="G1053" t="inlineStr">
        <is>
          <t>Other Kids / Family at Home</t>
        </is>
      </c>
      <c r="H1053" t="inlineStr"/>
    </row>
    <row r="1054">
      <c r="A1054" t="inlineStr">
        <is>
          <t>No</t>
        </is>
      </c>
      <c r="B1054" t="inlineStr"/>
      <c r="C1054" t="inlineStr"/>
      <c r="D1054" t="inlineStr"/>
      <c r="E1054" t="inlineStr">
        <is>
          <t>My husband is going as the parent builder. I went with our two boys and had a great experience.</t>
        </is>
      </c>
      <c r="F1054" t="inlineStr">
        <is>
          <t>Another Family Member Going Instead</t>
        </is>
      </c>
      <c r="G1054" t="inlineStr">
        <is>
          <t>Another Family Member Going Instead; Wants Child to Have Independent Experience</t>
        </is>
      </c>
      <c r="H1054" t="inlineStr"/>
    </row>
    <row r="1055">
      <c r="A1055" t="inlineStr">
        <is>
          <t>No</t>
        </is>
      </c>
      <c r="B1055" t="inlineStr"/>
      <c r="C1055" t="inlineStr"/>
      <c r="D1055" t="inlineStr"/>
      <c r="E1055" t="inlineStr">
        <is>
          <t>I really wanted my son to have this experience not knowing anyone. I hope he will gain confidence in speaking to new people, making new friends, and learning to navigate unfamiliar circumstances using skills he has been taught growing up. I feel like being a parent builder may hinder that growth.</t>
        </is>
      </c>
      <c r="F1055" t="inlineStr">
        <is>
          <t>Wants Child to Have Independent Experience</t>
        </is>
      </c>
      <c r="G1055" t="inlineStr">
        <is>
          <t>Wants Child to Have Independent Experience</t>
        </is>
      </c>
      <c r="H1055" t="inlineStr"/>
    </row>
    <row r="1056">
      <c r="A1056" t="inlineStr">
        <is>
          <t>Yes</t>
        </is>
      </c>
      <c r="B1056" t="inlineStr"/>
      <c r="C1056" t="inlineStr"/>
      <c r="D1056" t="inlineStr"/>
      <c r="E1056" t="inlineStr"/>
      <c r="F1056" t="inlineStr"/>
      <c r="G1056" t="inlineStr"/>
      <c r="H1056" t="inlineStr"/>
    </row>
    <row r="1057">
      <c r="A1057" t="inlineStr">
        <is>
          <t>No</t>
        </is>
      </c>
      <c r="B1057" t="inlineStr"/>
      <c r="C1057" t="inlineStr"/>
      <c r="D1057" t="inlineStr"/>
      <c r="E1057" t="inlineStr">
        <is>
          <t>I wanted to leave this decision up to my son. While there are so many wonderful things that can happen going together, I also appreciated that it would be a slightly different experience if "mom" were there all the time. I would have LOVED to do it, but I didn't want to influence his experience to learn and grow, either.</t>
        </is>
      </c>
      <c r="F1057" t="inlineStr">
        <is>
          <t>Work Schedule / Time Off</t>
        </is>
      </c>
      <c r="G1057" t="inlineStr">
        <is>
          <t>Work Schedule / Time Off; Wants Child to Have Independent Experience</t>
        </is>
      </c>
      <c r="H1057" t="inlineStr"/>
    </row>
    <row r="1058">
      <c r="A1058" t="inlineStr">
        <is>
          <t>Yes</t>
        </is>
      </c>
      <c r="B1058" t="inlineStr">
        <is>
          <t>The spirit 😊</t>
        </is>
      </c>
      <c r="C1058" t="inlineStr">
        <is>
          <t>Faith / Service Motivation</t>
        </is>
      </c>
      <c r="D1058" t="inlineStr">
        <is>
          <t>Faith / Service Motivation</t>
        </is>
      </c>
      <c r="E1058" t="inlineStr"/>
      <c r="F1058" t="inlineStr"/>
      <c r="G1058" t="inlineStr"/>
      <c r="H1058" t="inlineStr"/>
    </row>
    <row r="1059">
      <c r="A1059" t="inlineStr">
        <is>
          <t>No</t>
        </is>
      </c>
      <c r="B1059" t="inlineStr"/>
      <c r="C1059" t="inlineStr"/>
      <c r="D1059" t="inlineStr"/>
      <c r="E1059" t="inlineStr"/>
      <c r="F1059" t="inlineStr"/>
      <c r="G1059" t="inlineStr"/>
      <c r="H1059" t="inlineStr"/>
    </row>
    <row r="1060">
      <c r="A1060" t="inlineStr">
        <is>
          <t>No</t>
        </is>
      </c>
      <c r="B1060" t="inlineStr"/>
      <c r="C1060" t="inlineStr"/>
      <c r="D1060" t="inlineStr"/>
      <c r="E1060" t="inlineStr">
        <is>
          <t>Child is our youngest and needs independence</t>
        </is>
      </c>
      <c r="F1060" t="inlineStr">
        <is>
          <t>Wants Child to Have Independent Experience</t>
        </is>
      </c>
      <c r="G1060" t="inlineStr">
        <is>
          <t>Wants Child to Have Independent Experience</t>
        </is>
      </c>
      <c r="H1060" t="inlineStr"/>
    </row>
    <row r="1061">
      <c r="A1061" t="inlineStr">
        <is>
          <t>No</t>
        </is>
      </c>
      <c r="B1061" t="inlineStr"/>
      <c r="C1061" t="inlineStr"/>
      <c r="D1061" t="inlineStr"/>
      <c r="E1061" t="inlineStr">
        <is>
          <t>Wanted him to be without parents to prepare for a mission</t>
        </is>
      </c>
      <c r="F1061" t="inlineStr">
        <is>
          <t>Wants Child to Have Independent Experience</t>
        </is>
      </c>
      <c r="G1061" t="inlineStr">
        <is>
          <t>Wants Child to Have Independent Experience; Other Life Commitment</t>
        </is>
      </c>
      <c r="H1061" t="inlineStr"/>
    </row>
    <row r="1062">
      <c r="A1062" t="inlineStr">
        <is>
          <t>Yes</t>
        </is>
      </c>
      <c r="B1062" t="inlineStr">
        <is>
          <t>want to serve with my son</t>
        </is>
      </c>
      <c r="C1062" t="inlineStr">
        <is>
          <t>Faith / Service Motivation</t>
        </is>
      </c>
      <c r="D1062" t="inlineStr">
        <is>
          <t>Faith / Service Motivation</t>
        </is>
      </c>
      <c r="E1062" t="inlineStr"/>
      <c r="F1062" t="inlineStr"/>
      <c r="G1062" t="inlineStr"/>
      <c r="H1062" t="inlineStr"/>
    </row>
    <row r="1063">
      <c r="A1063" t="inlineStr">
        <is>
          <t>No</t>
        </is>
      </c>
      <c r="B1063" t="inlineStr"/>
      <c r="C1063" t="inlineStr"/>
      <c r="D1063" t="inlineStr"/>
      <c r="E1063" t="inlineStr">
        <is>
          <t>My kid needs his own experience</t>
        </is>
      </c>
      <c r="F1063" t="inlineStr">
        <is>
          <t>Wants Child to Have Independent Experience</t>
        </is>
      </c>
      <c r="G1063" t="inlineStr">
        <is>
          <t>Wants Child to Have Independent Experience</t>
        </is>
      </c>
      <c r="H1063" t="inlineStr"/>
    </row>
    <row r="1064">
      <c r="A1064" t="inlineStr">
        <is>
          <t>Yes</t>
        </is>
      </c>
      <c r="B1064" t="inlineStr">
        <is>
          <t>International trip with spiritual undercurrent</t>
        </is>
      </c>
      <c r="C1064" t="inlineStr">
        <is>
          <t>Faith / Service Motivation</t>
        </is>
      </c>
      <c r="D1064" t="inlineStr">
        <is>
          <t>Faith / Service Motivation</t>
        </is>
      </c>
      <c r="E1064" t="inlineStr"/>
      <c r="F1064" t="inlineStr"/>
      <c r="G1064" t="inlineStr"/>
      <c r="H1064" t="inlineStr"/>
    </row>
    <row r="1065">
      <c r="A1065" t="inlineStr">
        <is>
          <t>No</t>
        </is>
      </c>
      <c r="B1065" t="inlineStr"/>
      <c r="C1065" t="inlineStr"/>
      <c r="D1065" t="inlineStr"/>
      <c r="E1065" t="inlineStr">
        <is>
          <t>money and time</t>
        </is>
      </c>
      <c r="F1065" t="inlineStr">
        <is>
          <t>Cost / Finances</t>
        </is>
      </c>
      <c r="G1065" t="inlineStr">
        <is>
          <t>Cost / Finances; Work Schedule / Time Off</t>
        </is>
      </c>
      <c r="H1065" t="inlineStr"/>
    </row>
    <row r="1066">
      <c r="A1066" t="inlineStr">
        <is>
          <t>No</t>
        </is>
      </c>
      <c r="B1066" t="inlineStr"/>
      <c r="C1066" t="inlineStr"/>
      <c r="D1066" t="inlineStr"/>
      <c r="E1066" t="inlineStr">
        <is>
          <t>Want her to have her own experience</t>
        </is>
      </c>
      <c r="F1066" t="inlineStr">
        <is>
          <t>Wants Child to Have Independent Experience</t>
        </is>
      </c>
      <c r="G1066" t="inlineStr">
        <is>
          <t>Wants Child to Have Independent Experience</t>
        </is>
      </c>
      <c r="H1066" t="inlineStr"/>
    </row>
    <row r="1067">
      <c r="A1067" t="inlineStr">
        <is>
          <t>No</t>
        </is>
      </c>
      <c r="B1067" t="inlineStr"/>
      <c r="C1067" t="inlineStr"/>
      <c r="D1067" t="inlineStr"/>
      <c r="E1067" t="inlineStr">
        <is>
          <t>My child did not want me to go</t>
        </is>
      </c>
      <c r="F1067" t="inlineStr">
        <is>
          <t>Child Didn't Want Parent to Come</t>
        </is>
      </c>
      <c r="G1067" t="inlineStr">
        <is>
          <t>Child Didn't Want Parent to Come</t>
        </is>
      </c>
      <c r="H1067" t="inlineStr"/>
    </row>
    <row r="1068">
      <c r="A1068" t="inlineStr">
        <is>
          <t>No</t>
        </is>
      </c>
      <c r="B1068" t="inlineStr"/>
      <c r="C1068" t="inlineStr"/>
      <c r="D1068" t="inlineStr"/>
      <c r="E1068" t="inlineStr">
        <is>
          <t>Timing and price</t>
        </is>
      </c>
      <c r="F1068" t="inlineStr">
        <is>
          <t>Cost / Finances</t>
        </is>
      </c>
      <c r="G1068" t="inlineStr">
        <is>
          <t>Cost / Finances; Work Schedule / Time Off</t>
        </is>
      </c>
      <c r="H1068" t="inlineStr"/>
    </row>
    <row r="1069">
      <c r="A1069" t="inlineStr">
        <is>
          <t>No</t>
        </is>
      </c>
      <c r="B1069" t="inlineStr"/>
      <c r="C1069" t="inlineStr"/>
      <c r="D1069" t="inlineStr"/>
      <c r="E1069" t="inlineStr">
        <is>
          <t>just started a new job, can't take that much time off</t>
        </is>
      </c>
      <c r="F1069" t="inlineStr">
        <is>
          <t>Work Schedule / Time Off</t>
        </is>
      </c>
      <c r="G1069" t="inlineStr">
        <is>
          <t>Work Schedule / Time Off</t>
        </is>
      </c>
      <c r="H1069" t="inlineStr"/>
    </row>
    <row r="1070">
      <c r="A1070" t="inlineStr">
        <is>
          <t>No</t>
        </is>
      </c>
      <c r="B1070" t="inlineStr"/>
      <c r="C1070" t="inlineStr"/>
      <c r="D1070" t="inlineStr"/>
      <c r="E1070" t="inlineStr">
        <is>
          <t>Didn't realize I could go as a parent builder.</t>
        </is>
      </c>
      <c r="F1070" t="inlineStr">
        <is>
          <t>Not Aware It Was an Option</t>
        </is>
      </c>
      <c r="G1070" t="inlineStr">
        <is>
          <t>Not Aware It Was an Option</t>
        </is>
      </c>
      <c r="H1070" t="inlineStr"/>
    </row>
    <row r="1071">
      <c r="A1071" t="inlineStr">
        <is>
          <t>No</t>
        </is>
      </c>
      <c r="B1071" t="inlineStr"/>
      <c r="C1071" t="inlineStr"/>
      <c r="D1071" t="inlineStr"/>
      <c r="E1071" t="inlineStr">
        <is>
          <t>expense</t>
        </is>
      </c>
      <c r="F1071" t="inlineStr">
        <is>
          <t>Cost / Finances</t>
        </is>
      </c>
      <c r="G1071" t="inlineStr">
        <is>
          <t>Cost / Finances</t>
        </is>
      </c>
      <c r="H1071" t="inlineStr"/>
    </row>
    <row r="1072">
      <c r="A1072" t="inlineStr">
        <is>
          <t>Yes</t>
        </is>
      </c>
      <c r="B1072" t="inlineStr">
        <is>
          <t>Other parents going with their kids, and I haven't gone to Africa or on a mission.</t>
        </is>
      </c>
      <c r="C1072" t="inlineStr">
        <is>
          <t>Faith / Service Motivation</t>
        </is>
      </c>
      <c r="D1072" t="inlineStr">
        <is>
          <t>Faith / Service Motivation</t>
        </is>
      </c>
      <c r="E1072" t="inlineStr"/>
      <c r="F1072" t="inlineStr"/>
      <c r="G1072" t="inlineStr"/>
      <c r="H1072" t="inlineStr"/>
    </row>
    <row r="1073">
      <c r="A1073" t="inlineStr">
        <is>
          <t>No</t>
        </is>
      </c>
      <c r="B1073" t="inlineStr"/>
      <c r="C1073" t="inlineStr"/>
      <c r="D1073" t="inlineStr"/>
      <c r="E1073" t="inlineStr">
        <is>
          <t>Kids at home</t>
        </is>
      </c>
      <c r="F1073" t="inlineStr">
        <is>
          <t>Other Kids / Family at Home</t>
        </is>
      </c>
      <c r="G1073" t="inlineStr">
        <is>
          <t>Other Kids / Family at Home</t>
        </is>
      </c>
      <c r="H1073" t="inlineStr"/>
    </row>
    <row r="1074">
      <c r="A1074" t="inlineStr">
        <is>
          <t>Yes</t>
        </is>
      </c>
      <c r="B1074" t="inlineStr">
        <is>
          <t>Last year my daughter got hurt, and overlooked. It was 3 days before we knew she made it. I plan to never let a parent go through that if I can help it.</t>
        </is>
      </c>
      <c r="C1074" t="inlineStr">
        <is>
          <t>Previous Positive Experience</t>
        </is>
      </c>
      <c r="D1074" t="inlineStr">
        <is>
          <t>Previous Positive Experience</t>
        </is>
      </c>
      <c r="E1074" t="inlineStr"/>
      <c r="F1074" t="inlineStr"/>
      <c r="G1074" t="inlineStr"/>
      <c r="H1074" t="inlineStr"/>
    </row>
    <row r="1075">
      <c r="A1075" t="inlineStr">
        <is>
          <t>No</t>
        </is>
      </c>
      <c r="B1075" t="inlineStr"/>
      <c r="C1075" t="inlineStr"/>
      <c r="D1075" t="inlineStr"/>
      <c r="E1075" t="inlineStr">
        <is>
          <t>my son didn't want me to go</t>
        </is>
      </c>
      <c r="F1075" t="inlineStr">
        <is>
          <t>Child Didn't Want Parent to Come</t>
        </is>
      </c>
      <c r="G1075" t="inlineStr">
        <is>
          <t>Child Didn't Want Parent to Come</t>
        </is>
      </c>
      <c r="H1075" t="inlineStr"/>
    </row>
    <row r="1076">
      <c r="A1076" t="inlineStr">
        <is>
          <t>No</t>
        </is>
      </c>
      <c r="B1076" t="inlineStr"/>
      <c r="C1076" t="inlineStr"/>
      <c r="D1076" t="inlineStr"/>
      <c r="E1076" t="inlineStr"/>
      <c r="F1076" t="inlineStr"/>
      <c r="G1076" t="inlineStr"/>
      <c r="H1076" t="inlineStr"/>
    </row>
    <row r="1077">
      <c r="A1077" t="inlineStr">
        <is>
          <t>No</t>
        </is>
      </c>
      <c r="B1077" t="inlineStr"/>
      <c r="C1077" t="inlineStr"/>
      <c r="D1077" t="inlineStr"/>
      <c r="E1077" t="inlineStr">
        <is>
          <t>My youth didn't want me to go</t>
        </is>
      </c>
      <c r="F1077" t="inlineStr">
        <is>
          <t>Child Didn't Want Parent to Come</t>
        </is>
      </c>
      <c r="G1077" t="inlineStr">
        <is>
          <t>Child Didn't Want Parent to Come</t>
        </is>
      </c>
      <c r="H1077" t="inlineStr"/>
    </row>
    <row r="1078">
      <c r="A1078" t="inlineStr">
        <is>
          <t>No</t>
        </is>
      </c>
      <c r="B1078" t="inlineStr"/>
      <c r="C1078" t="inlineStr"/>
      <c r="D1078" t="inlineStr"/>
      <c r="E1078" t="inlineStr"/>
      <c r="F1078" t="inlineStr"/>
      <c r="G1078" t="inlineStr"/>
      <c r="H1078" t="inlineStr"/>
    </row>
    <row r="1079">
      <c r="A1079" t="inlineStr">
        <is>
          <t>No</t>
        </is>
      </c>
      <c r="B1079" t="inlineStr"/>
      <c r="C1079" t="inlineStr"/>
      <c r="D1079" t="inlineStr"/>
      <c r="E1079" t="inlineStr">
        <is>
          <t>Worried that my daughter wouldn't participate as much if I was there</t>
        </is>
      </c>
      <c r="F1079" t="inlineStr">
        <is>
          <t>Wants Child to Have Independent Experience</t>
        </is>
      </c>
      <c r="G1079" t="inlineStr">
        <is>
          <t>Wants Child to Have Independent Experience</t>
        </is>
      </c>
      <c r="H1079" t="inlineStr"/>
    </row>
    <row r="1080">
      <c r="A1080" t="inlineStr">
        <is>
          <t>No</t>
        </is>
      </c>
      <c r="B1080" t="inlineStr"/>
      <c r="C1080" t="inlineStr"/>
      <c r="D1080" t="inlineStr"/>
      <c r="E1080" t="inlineStr">
        <is>
          <t>Like them to go solo</t>
        </is>
      </c>
      <c r="F1080" t="inlineStr">
        <is>
          <t>Wants Child to Have Independent Experience</t>
        </is>
      </c>
      <c r="G1080" t="inlineStr">
        <is>
          <t>Wants Child to Have Independent Experience</t>
        </is>
      </c>
      <c r="H1080" t="inlineStr"/>
    </row>
    <row r="1081">
      <c r="A1081" t="inlineStr">
        <is>
          <t>No</t>
        </is>
      </c>
      <c r="B1081" t="inlineStr"/>
      <c r="C1081" t="inlineStr"/>
      <c r="D1081" t="inlineStr"/>
      <c r="E1081" t="inlineStr">
        <is>
          <t>Experience testimonials from ones that have gone on a trip before</t>
        </is>
      </c>
      <c r="F1081" t="inlineStr">
        <is>
          <t>Wants Child to Have Independent Experience</t>
        </is>
      </c>
      <c r="G1081" t="inlineStr">
        <is>
          <t>Wants Child to Have Independent Experience</t>
        </is>
      </c>
      <c r="H1081" t="inlineStr"/>
    </row>
    <row r="1082">
      <c r="A1082" t="inlineStr">
        <is>
          <t>No</t>
        </is>
      </c>
      <c r="B1082" t="inlineStr"/>
      <c r="C1082" t="inlineStr"/>
      <c r="D1082" t="inlineStr"/>
      <c r="E1082" t="inlineStr"/>
      <c r="F1082" t="inlineStr"/>
      <c r="G1082" t="inlineStr"/>
      <c r="H1082" t="inlineStr"/>
    </row>
    <row r="1083">
      <c r="A1083" t="inlineStr">
        <is>
          <t>No</t>
        </is>
      </c>
      <c r="B1083" t="inlineStr"/>
      <c r="C1083" t="inlineStr"/>
      <c r="D1083" t="inlineStr"/>
      <c r="E1083" t="inlineStr">
        <is>
          <t>I am too busy</t>
        </is>
      </c>
      <c r="F1083" t="inlineStr">
        <is>
          <t>Work Schedule / Time Off</t>
        </is>
      </c>
      <c r="G1083" t="inlineStr">
        <is>
          <t>Work Schedule / Time Off</t>
        </is>
      </c>
      <c r="H1083" t="inlineStr"/>
    </row>
    <row r="1084">
      <c r="A1084" t="inlineStr">
        <is>
          <t>No</t>
        </is>
      </c>
      <c r="B1084" t="inlineStr"/>
      <c r="C1084" t="inlineStr"/>
      <c r="D1084" t="inlineStr"/>
      <c r="E1084" t="inlineStr">
        <is>
          <t>Time, money</t>
        </is>
      </c>
      <c r="F1084" t="inlineStr">
        <is>
          <t>Cost / Finances</t>
        </is>
      </c>
      <c r="G1084" t="inlineStr">
        <is>
          <t>Cost / Finances; Work Schedule / Time Off</t>
        </is>
      </c>
      <c r="H1084" t="inlineStr"/>
    </row>
    <row r="1085">
      <c r="A1085" t="inlineStr">
        <is>
          <t>No</t>
        </is>
      </c>
      <c r="B1085" t="inlineStr"/>
      <c r="C1085" t="inlineStr"/>
      <c r="D1085" t="inlineStr"/>
      <c r="E1085" t="inlineStr">
        <is>
          <t>Price</t>
        </is>
      </c>
      <c r="F1085" t="inlineStr">
        <is>
          <t>Cost / Finances</t>
        </is>
      </c>
      <c r="G1085" t="inlineStr">
        <is>
          <t>Cost / Finances</t>
        </is>
      </c>
      <c r="H1085" t="inlineStr"/>
    </row>
    <row r="1086">
      <c r="A1086" t="inlineStr">
        <is>
          <t>Yes</t>
        </is>
      </c>
      <c r="B1086" t="inlineStr">
        <is>
          <t>Served my mission there</t>
        </is>
      </c>
      <c r="C1086" t="inlineStr">
        <is>
          <t>Faith / Service Motivation</t>
        </is>
      </c>
      <c r="D1086" t="inlineStr">
        <is>
          <t>Faith / Service Motivation</t>
        </is>
      </c>
      <c r="E1086" t="inlineStr"/>
      <c r="F1086" t="inlineStr"/>
      <c r="G1086" t="inlineStr"/>
      <c r="H1086" t="inlineStr"/>
    </row>
    <row r="1087">
      <c r="A1087" t="inlineStr">
        <is>
          <t>No</t>
        </is>
      </c>
      <c r="B1087" t="inlineStr"/>
      <c r="C1087" t="inlineStr"/>
      <c r="D1087" t="inlineStr"/>
      <c r="E1087" t="inlineStr">
        <is>
          <t>Cost and unable to take work off for that long</t>
        </is>
      </c>
      <c r="F1087" t="inlineStr">
        <is>
          <t>Cost / Finances</t>
        </is>
      </c>
      <c r="G1087" t="inlineStr">
        <is>
          <t>Cost / Finances; Work Schedule / Time Off; Other Kids / Family at Home</t>
        </is>
      </c>
      <c r="H1087" t="inlineStr"/>
    </row>
    <row r="1088">
      <c r="A1088" t="inlineStr">
        <is>
          <t>No</t>
        </is>
      </c>
      <c r="B1088" t="inlineStr"/>
      <c r="C1088" t="inlineStr"/>
      <c r="D1088" t="inlineStr"/>
      <c r="E1088" t="inlineStr">
        <is>
          <t>Cost</t>
        </is>
      </c>
      <c r="F1088" t="inlineStr">
        <is>
          <t>Cost / Finances</t>
        </is>
      </c>
      <c r="G1088" t="inlineStr">
        <is>
          <t>Cost / Finances</t>
        </is>
      </c>
      <c r="H1088" t="inlineStr"/>
    </row>
    <row r="1089">
      <c r="A1089" t="inlineStr">
        <is>
          <t>No</t>
        </is>
      </c>
      <c r="B1089" t="inlineStr"/>
      <c r="C1089" t="inlineStr"/>
      <c r="D1089" t="inlineStr"/>
      <c r="E1089" t="inlineStr"/>
      <c r="F1089" t="inlineStr"/>
      <c r="G1089" t="inlineStr"/>
      <c r="H1089" t="inlineStr"/>
    </row>
    <row r="1090">
      <c r="A1090" t="inlineStr">
        <is>
          <t>No</t>
        </is>
      </c>
      <c r="B1090" t="inlineStr"/>
      <c r="C1090" t="inlineStr"/>
      <c r="D1090" t="inlineStr"/>
      <c r="E1090" t="inlineStr"/>
      <c r="F1090" t="inlineStr"/>
      <c r="G1090" t="inlineStr"/>
      <c r="H1090" t="inlineStr"/>
    </row>
    <row r="1091">
      <c r="A1091" t="inlineStr">
        <is>
          <t>No</t>
        </is>
      </c>
      <c r="B1091" t="inlineStr"/>
      <c r="C1091" t="inlineStr"/>
      <c r="D1091" t="inlineStr"/>
      <c r="E1091" t="inlineStr">
        <is>
          <t>Let me son have this experience first himself. I'll go next year</t>
        </is>
      </c>
      <c r="F1091" t="inlineStr">
        <is>
          <t>Wants Child to Have Independent Experience</t>
        </is>
      </c>
      <c r="G1091" t="inlineStr">
        <is>
          <t>Wants Child to Have Independent Experience</t>
        </is>
      </c>
      <c r="H1091" t="inlineStr"/>
    </row>
    <row r="1092">
      <c r="A1092" t="inlineStr">
        <is>
          <t>No</t>
        </is>
      </c>
      <c r="B1092" t="inlineStr"/>
      <c r="C1092" t="inlineStr"/>
      <c r="D1092" t="inlineStr"/>
      <c r="E1092" t="inlineStr"/>
      <c r="F1092" t="inlineStr"/>
      <c r="G1092" t="inlineStr"/>
      <c r="H1092" t="inlineStr"/>
    </row>
    <row r="1093">
      <c r="A1093" t="inlineStr">
        <is>
          <t>No</t>
        </is>
      </c>
      <c r="B1093" t="inlineStr"/>
      <c r="C1093" t="inlineStr"/>
      <c r="D1093" t="inlineStr"/>
      <c r="E1093" t="inlineStr">
        <is>
          <t>Can't do it this year, but I am planning on doing it next year if finances allow.</t>
        </is>
      </c>
      <c r="F1093" t="inlineStr">
        <is>
          <t>Cost / Finances</t>
        </is>
      </c>
      <c r="G1093" t="inlineStr">
        <is>
          <t>Cost / Finances</t>
        </is>
      </c>
      <c r="H1093" t="inlineStr"/>
    </row>
    <row r="1094">
      <c r="A1094" t="inlineStr">
        <is>
          <t>No</t>
        </is>
      </c>
      <c r="B1094" t="inlineStr"/>
      <c r="C1094" t="inlineStr"/>
      <c r="D1094" t="inlineStr"/>
      <c r="E1094" t="inlineStr">
        <is>
          <t>Other children at home</t>
        </is>
      </c>
      <c r="F1094" t="inlineStr">
        <is>
          <t>Other Kids / Family at Home</t>
        </is>
      </c>
      <c r="G1094" t="inlineStr">
        <is>
          <t>Other Kids / Family at Home</t>
        </is>
      </c>
      <c r="H1094" t="inlineStr"/>
    </row>
    <row r="1095">
      <c r="A1095" t="inlineStr">
        <is>
          <t>No</t>
        </is>
      </c>
      <c r="B1095" t="inlineStr"/>
      <c r="C1095" t="inlineStr"/>
      <c r="D1095" t="inlineStr"/>
      <c r="E1095" t="inlineStr">
        <is>
          <t>Finances and my other three kids at home</t>
        </is>
      </c>
      <c r="F1095" t="inlineStr">
        <is>
          <t>Cost / Finances</t>
        </is>
      </c>
      <c r="G1095" t="inlineStr">
        <is>
          <t>Cost / Finances; Other Kids / Family at Home</t>
        </is>
      </c>
      <c r="H1095" t="inlineStr"/>
    </row>
    <row r="1096">
      <c r="A1096" t="inlineStr">
        <is>
          <t>Yes</t>
        </is>
      </c>
      <c r="B1096" t="inlineStr">
        <is>
          <t>Passion for the humanitarian work and the opportunity to connect with my son</t>
        </is>
      </c>
      <c r="C1096" t="inlineStr">
        <is>
          <t>Faith / Service Motivation</t>
        </is>
      </c>
      <c r="D1096" t="inlineStr">
        <is>
          <t>Faith / Service Motivation</t>
        </is>
      </c>
      <c r="E1096" t="inlineStr"/>
      <c r="F1096" t="inlineStr"/>
      <c r="G1096" t="inlineStr"/>
      <c r="H1096" t="inlineStr"/>
    </row>
    <row r="1097">
      <c r="A1097" t="inlineStr">
        <is>
          <t>No</t>
        </is>
      </c>
      <c r="B1097" t="inlineStr"/>
      <c r="C1097" t="inlineStr"/>
      <c r="D1097" t="inlineStr"/>
      <c r="E1097" t="inlineStr">
        <is>
          <t>Expense, time, hard to make arrangements for other kids, child wanting to go in her own.</t>
        </is>
      </c>
      <c r="F1097" t="inlineStr">
        <is>
          <t>Cost / Finances</t>
        </is>
      </c>
      <c r="G1097" t="inlineStr">
        <is>
          <t>Cost / Finances; Work Schedule / Time Off; Other Kids / Family at Home</t>
        </is>
      </c>
      <c r="H1097" t="inlineStr"/>
    </row>
    <row r="1098">
      <c r="A1098" t="inlineStr">
        <is>
          <t>No</t>
        </is>
      </c>
      <c r="B1098" t="inlineStr"/>
      <c r="C1098" t="inlineStr"/>
      <c r="D1098" t="inlineStr"/>
      <c r="E1098" t="inlineStr">
        <is>
          <t>Other kids at home</t>
        </is>
      </c>
      <c r="F1098" t="inlineStr">
        <is>
          <t>Other Kids / Family at Home</t>
        </is>
      </c>
      <c r="G1098" t="inlineStr">
        <is>
          <t>Other Kids / Family at Home</t>
        </is>
      </c>
      <c r="H1098" t="inlineStr"/>
    </row>
    <row r="1099">
      <c r="A1099" t="inlineStr">
        <is>
          <t>No</t>
        </is>
      </c>
      <c r="B1099" t="inlineStr"/>
      <c r="C1099" t="inlineStr"/>
      <c r="D1099" t="inlineStr"/>
      <c r="E1099" t="inlineStr">
        <is>
          <t>My builder didn't want a parent to go - she wants to experience this on her own.</t>
        </is>
      </c>
      <c r="F1099" t="inlineStr">
        <is>
          <t>Child Didn't Want Parent to Come</t>
        </is>
      </c>
      <c r="G1099" t="inlineStr">
        <is>
          <t>Child Didn't Want Parent to Come; Wants Child to Have Independent Experience</t>
        </is>
      </c>
      <c r="H1099" t="inlineStr"/>
    </row>
    <row r="1100">
      <c r="A1100" t="inlineStr">
        <is>
          <t>No</t>
        </is>
      </c>
      <c r="B1100" t="inlineStr"/>
      <c r="C1100" t="inlineStr"/>
      <c r="D1100" t="inlineStr"/>
      <c r="E1100" t="inlineStr">
        <is>
          <t>Daughter wanted to go on her own</t>
        </is>
      </c>
      <c r="F1100" t="inlineStr">
        <is>
          <t>Wants Child to Have Independent Experience</t>
        </is>
      </c>
      <c r="G1100" t="inlineStr">
        <is>
          <t>Wants Child to Have Independent Experience</t>
        </is>
      </c>
      <c r="H1100" t="inlineStr"/>
    </row>
    <row r="1101">
      <c r="A1101" t="inlineStr">
        <is>
          <t>No</t>
        </is>
      </c>
      <c r="B1101" t="inlineStr"/>
      <c r="C1101" t="inlineStr"/>
      <c r="D1101" t="inlineStr"/>
      <c r="E1101" t="inlineStr">
        <is>
          <t>Have other home responsibilities, child is fine traveling alone, want them to have their own experience</t>
        </is>
      </c>
      <c r="F1101" t="inlineStr">
        <is>
          <t>Work Schedule / Time Off</t>
        </is>
      </c>
      <c r="G1101" t="inlineStr">
        <is>
          <t>Work Schedule / Time Off; Wants Child to Have Independent Experience</t>
        </is>
      </c>
      <c r="H1101" t="inlineStr"/>
    </row>
    <row r="1102">
      <c r="A1102" t="inlineStr">
        <is>
          <t>No</t>
        </is>
      </c>
      <c r="B1102" t="inlineStr"/>
      <c r="C1102" t="inlineStr"/>
      <c r="D1102" t="inlineStr"/>
      <c r="E1102" t="inlineStr">
        <is>
          <t>Prefer my child to have this experience without a parent present.</t>
        </is>
      </c>
      <c r="F1102" t="inlineStr">
        <is>
          <t>Wants Child to Have Independent Experience</t>
        </is>
      </c>
      <c r="G1102" t="inlineStr">
        <is>
          <t>Wants Child to Have Independent Experience</t>
        </is>
      </c>
      <c r="H1102" t="inlineStr"/>
    </row>
    <row r="1103">
      <c r="A1103" t="inlineStr">
        <is>
          <t>No</t>
        </is>
      </c>
      <c r="B1103" t="inlineStr"/>
      <c r="C1103" t="inlineStr"/>
      <c r="D1103" t="inlineStr"/>
      <c r="E1103" t="inlineStr">
        <is>
          <t>Cost</t>
        </is>
      </c>
      <c r="F1103" t="inlineStr">
        <is>
          <t>Cost / Finances</t>
        </is>
      </c>
      <c r="G1103" t="inlineStr">
        <is>
          <t>Cost / Finances</t>
        </is>
      </c>
      <c r="H1103" t="inlineStr"/>
    </row>
    <row r="1104">
      <c r="A1104" t="inlineStr">
        <is>
          <t>No</t>
        </is>
      </c>
      <c r="B1104" t="inlineStr"/>
      <c r="C1104" t="inlineStr"/>
      <c r="D1104" t="inlineStr"/>
      <c r="E1104" t="inlineStr">
        <is>
          <t>Cost, Time Commitment</t>
        </is>
      </c>
      <c r="F1104" t="inlineStr">
        <is>
          <t>Cost / Finances</t>
        </is>
      </c>
      <c r="G1104" t="inlineStr">
        <is>
          <t>Cost / Finances; Work Schedule / Time Off</t>
        </is>
      </c>
      <c r="H1104" t="inlineStr"/>
    </row>
    <row r="1105">
      <c r="A1105" t="inlineStr">
        <is>
          <t>Yes</t>
        </is>
      </c>
      <c r="B1105" t="inlineStr">
        <is>
          <t>Ensuring a spot for my son</t>
        </is>
      </c>
      <c r="C1105" t="inlineStr">
        <is>
          <t>Other / Uncategorized</t>
        </is>
      </c>
      <c r="D1105" t="inlineStr"/>
      <c r="E1105" t="inlineStr"/>
      <c r="F1105" t="inlineStr"/>
      <c r="G1105" t="inlineStr"/>
      <c r="H1105" t="inlineStr"/>
    </row>
    <row r="1106">
      <c r="A1106" t="inlineStr">
        <is>
          <t>No</t>
        </is>
      </c>
      <c r="B1106" t="inlineStr"/>
      <c r="C1106" t="inlineStr"/>
      <c r="D1106" t="inlineStr"/>
      <c r="E1106" t="inlineStr">
        <is>
          <t>I can't afford it</t>
        </is>
      </c>
      <c r="F1106" t="inlineStr">
        <is>
          <t>Cost / Finances</t>
        </is>
      </c>
      <c r="G1106" t="inlineStr">
        <is>
          <t>Cost / Finances</t>
        </is>
      </c>
      <c r="H1106" t="inlineStr"/>
    </row>
    <row r="1107">
      <c r="A1107" t="inlineStr">
        <is>
          <t>No</t>
        </is>
      </c>
      <c r="B1107" t="inlineStr"/>
      <c r="C1107" t="inlineStr"/>
      <c r="D1107" t="inlineStr"/>
      <c r="E1107" t="inlineStr"/>
      <c r="F1107" t="inlineStr"/>
      <c r="G1107" t="inlineStr"/>
      <c r="H1107" t="inlineStr"/>
    </row>
    <row r="1108">
      <c r="A1108" t="inlineStr">
        <is>
          <t>No</t>
        </is>
      </c>
      <c r="B1108" t="inlineStr"/>
      <c r="C1108" t="inlineStr"/>
      <c r="D1108" t="inlineStr"/>
      <c r="E1108" t="inlineStr">
        <is>
          <t>Time</t>
        </is>
      </c>
      <c r="F1108" t="inlineStr">
        <is>
          <t>Work Schedule / Time Off</t>
        </is>
      </c>
      <c r="G1108" t="inlineStr">
        <is>
          <t>Work Schedule / Time Off</t>
        </is>
      </c>
      <c r="H1108" t="inlineStr"/>
    </row>
    <row r="1109">
      <c r="A1109" t="inlineStr">
        <is>
          <t>No</t>
        </is>
      </c>
      <c r="B1109" t="inlineStr"/>
      <c r="C1109" t="inlineStr"/>
      <c r="D1109" t="inlineStr"/>
      <c r="E1109" t="inlineStr">
        <is>
          <t>Too much time away from work.</t>
        </is>
      </c>
      <c r="F1109" t="inlineStr">
        <is>
          <t>Work Schedule / Time Off</t>
        </is>
      </c>
      <c r="G1109" t="inlineStr">
        <is>
          <t>Work Schedule / Time Off</t>
        </is>
      </c>
      <c r="H1109" t="inlineStr"/>
    </row>
    <row r="1110">
      <c r="A1110" t="inlineStr">
        <is>
          <t>No</t>
        </is>
      </c>
      <c r="B1110" t="inlineStr"/>
      <c r="C1110" t="inlineStr"/>
      <c r="D1110" t="inlineStr"/>
      <c r="E1110" t="inlineStr">
        <is>
          <t>Cost</t>
        </is>
      </c>
      <c r="F1110" t="inlineStr">
        <is>
          <t>Cost / Finances</t>
        </is>
      </c>
      <c r="G1110" t="inlineStr">
        <is>
          <t>Cost / Finances</t>
        </is>
      </c>
      <c r="H1110" t="inlineStr"/>
    </row>
    <row r="1111">
      <c r="A1111" t="inlineStr">
        <is>
          <t>No</t>
        </is>
      </c>
      <c r="B1111" t="inlineStr"/>
      <c r="C1111" t="inlineStr"/>
      <c r="D1111" t="inlineStr"/>
      <c r="E1111" t="inlineStr">
        <is>
          <t>Too many responsibilities and not enough money.</t>
        </is>
      </c>
      <c r="F1111" t="inlineStr">
        <is>
          <t>Cost / Finances</t>
        </is>
      </c>
      <c r="G1111" t="inlineStr">
        <is>
          <t>Cost / Finances; Work Schedule / Time Off</t>
        </is>
      </c>
      <c r="H1111" t="inlineStr"/>
    </row>
    <row r="1112">
      <c r="A1112" t="inlineStr">
        <is>
          <t>Maybe</t>
        </is>
      </c>
      <c r="B1112" t="inlineStr"/>
      <c r="C1112" t="inlineStr"/>
      <c r="D1112" t="inlineStr"/>
      <c r="E1112" t="inlineStr"/>
      <c r="F1112" t="inlineStr"/>
      <c r="G1112" t="inlineStr"/>
      <c r="H1112" t="inlineStr"/>
    </row>
    <row r="1113">
      <c r="A1113" t="inlineStr">
        <is>
          <t>No</t>
        </is>
      </c>
      <c r="B1113" t="inlineStr"/>
      <c r="C1113" t="inlineStr"/>
      <c r="D1113" t="inlineStr"/>
      <c r="E1113" t="inlineStr">
        <is>
          <t>I have 5 other kids and am too busy right now.</t>
        </is>
      </c>
      <c r="F1113" t="inlineStr">
        <is>
          <t>Work Schedule / Time Off</t>
        </is>
      </c>
      <c r="G1113" t="inlineStr">
        <is>
          <t>Work Schedule / Time Off; Other Kids / Family at Home</t>
        </is>
      </c>
      <c r="H1113" t="inlineStr"/>
    </row>
    <row r="1114">
      <c r="A1114" t="inlineStr">
        <is>
          <t>Yes</t>
        </is>
      </c>
      <c r="B1114" t="inlineStr">
        <is>
          <t>My husband has done this and had a wonderful experience.</t>
        </is>
      </c>
      <c r="C1114" t="inlineStr">
        <is>
          <t>Wanted Shared Experience with Child</t>
        </is>
      </c>
      <c r="D1114" t="inlineStr">
        <is>
          <t>Wanted Shared Experience with Child</t>
        </is>
      </c>
      <c r="E1114" t="inlineStr"/>
      <c r="F1114" t="inlineStr"/>
      <c r="G1114" t="inlineStr"/>
      <c r="H1114" t="inlineStr"/>
    </row>
    <row r="1115">
      <c r="A1115" t="inlineStr">
        <is>
          <t>Yes</t>
        </is>
      </c>
      <c r="B1115" t="inlineStr">
        <is>
          <t>The trip needed parent builders. The idea to spend time with my kid</t>
        </is>
      </c>
      <c r="C1115" t="inlineStr">
        <is>
          <t>Wanted Shared Experience with Child</t>
        </is>
      </c>
      <c r="D1115" t="inlineStr">
        <is>
          <t>Wanted Shared Experience with Child</t>
        </is>
      </c>
      <c r="E1115" t="inlineStr"/>
      <c r="F1115" t="inlineStr"/>
      <c r="G1115" t="inlineStr"/>
      <c r="H1115" t="inlineStr"/>
    </row>
    <row r="1116">
      <c r="A1116" t="inlineStr">
        <is>
          <t>No</t>
        </is>
      </c>
      <c r="B1116" t="inlineStr"/>
      <c r="C1116" t="inlineStr"/>
      <c r="D1116" t="inlineStr"/>
      <c r="E1116" t="inlineStr">
        <is>
          <t>Don't have the time</t>
        </is>
      </c>
      <c r="F1116" t="inlineStr">
        <is>
          <t>Work Schedule / Time Off</t>
        </is>
      </c>
      <c r="G1116" t="inlineStr">
        <is>
          <t>Work Schedule / Time Off</t>
        </is>
      </c>
      <c r="H1116" t="inlineStr"/>
    </row>
    <row r="1117">
      <c r="A1117" t="inlineStr">
        <is>
          <t>No</t>
        </is>
      </c>
      <c r="B1117" t="inlineStr"/>
      <c r="C1117" t="inlineStr"/>
      <c r="D1117" t="inlineStr"/>
      <c r="E1117" t="inlineStr">
        <is>
          <t>My other kids at home</t>
        </is>
      </c>
      <c r="F1117" t="inlineStr">
        <is>
          <t>Other Kids / Family at Home</t>
        </is>
      </c>
      <c r="G1117" t="inlineStr">
        <is>
          <t>Other Kids / Family at Home</t>
        </is>
      </c>
      <c r="H1117" t="inlineStr"/>
    </row>
    <row r="1118">
      <c r="A1118" t="inlineStr">
        <is>
          <t>No</t>
        </is>
      </c>
      <c r="B1118" t="inlineStr"/>
      <c r="C1118" t="inlineStr"/>
      <c r="D1118" t="inlineStr"/>
      <c r="E1118" t="inlineStr">
        <is>
          <t>want my child to have his own experience</t>
        </is>
      </c>
      <c r="F1118" t="inlineStr">
        <is>
          <t>Wants Child to Have Independent Experience</t>
        </is>
      </c>
      <c r="G1118" t="inlineStr">
        <is>
          <t>Wants Child to Have Independent Experience</t>
        </is>
      </c>
      <c r="H1118" t="inlineStr"/>
    </row>
    <row r="1119">
      <c r="A1119" t="inlineStr">
        <is>
          <t>No</t>
        </is>
      </c>
      <c r="B1119" t="inlineStr"/>
      <c r="C1119" t="inlineStr"/>
      <c r="D1119" t="inlineStr"/>
      <c r="E1119" t="inlineStr">
        <is>
          <t>I can't leave my young family</t>
        </is>
      </c>
      <c r="F1119" t="inlineStr">
        <is>
          <t>Other Kids / Family at Home</t>
        </is>
      </c>
      <c r="G1119" t="inlineStr">
        <is>
          <t>Other Kids / Family at Home</t>
        </is>
      </c>
      <c r="H1119" t="inlineStr"/>
    </row>
    <row r="1120">
      <c r="A1120" t="inlineStr">
        <is>
          <t>No</t>
        </is>
      </c>
      <c r="B1120" t="inlineStr"/>
      <c r="C1120" t="inlineStr"/>
      <c r="D1120" t="inlineStr"/>
      <c r="E1120" t="inlineStr">
        <is>
          <t>My son told me he thought he would reach out more if I wasn't there. I would love to go in the future!</t>
        </is>
      </c>
      <c r="F1120" t="inlineStr">
        <is>
          <t>Wants Child to Have Independent Experience</t>
        </is>
      </c>
      <c r="G1120" t="inlineStr">
        <is>
          <t>Wants Child to Have Independent Experience</t>
        </is>
      </c>
      <c r="H1120" t="inlineStr"/>
    </row>
    <row r="1121">
      <c r="A1121" t="inlineStr">
        <is>
          <t>No</t>
        </is>
      </c>
      <c r="B1121" t="inlineStr"/>
      <c r="C1121" t="inlineStr"/>
      <c r="D1121" t="inlineStr"/>
      <c r="E1121" t="inlineStr">
        <is>
          <t>Kids at home, wanting our son to have an experience without us around</t>
        </is>
      </c>
      <c r="F1121" t="inlineStr">
        <is>
          <t>Other Kids / Family at Home</t>
        </is>
      </c>
      <c r="G1121" t="inlineStr">
        <is>
          <t>Other Kids / Family at Home; Wants Child to Have Independent Experience</t>
        </is>
      </c>
      <c r="H1121" t="inlineStr"/>
    </row>
    <row r="1122">
      <c r="A1122" t="inlineStr">
        <is>
          <t>No</t>
        </is>
      </c>
      <c r="B1122" t="inlineStr"/>
      <c r="C1122" t="inlineStr"/>
      <c r="D1122" t="inlineStr"/>
      <c r="E1122" t="inlineStr">
        <is>
          <t>This year is was money and time. I went two years ago and loved it!</t>
        </is>
      </c>
      <c r="F1122" t="inlineStr">
        <is>
          <t>Cost / Finances</t>
        </is>
      </c>
      <c r="G1122" t="inlineStr">
        <is>
          <t>Cost / Finances; Work Schedule / Time Off</t>
        </is>
      </c>
      <c r="H1122" t="inlineStr"/>
    </row>
    <row r="1123">
      <c r="A1123" t="inlineStr">
        <is>
          <t>No</t>
        </is>
      </c>
      <c r="B1123" t="inlineStr"/>
      <c r="C1123" t="inlineStr"/>
      <c r="D1123" t="inlineStr"/>
      <c r="E1123" t="inlineStr">
        <is>
          <t>Can't afford it</t>
        </is>
      </c>
      <c r="F1123" t="inlineStr">
        <is>
          <t>Cost / Finances</t>
        </is>
      </c>
      <c r="G1123" t="inlineStr">
        <is>
          <t>Cost / Finances</t>
        </is>
      </c>
      <c r="H1123" t="inlineStr"/>
    </row>
    <row r="1124">
      <c r="A1124" t="inlineStr">
        <is>
          <t>No</t>
        </is>
      </c>
      <c r="B1124" t="inlineStr"/>
      <c r="C1124" t="inlineStr"/>
      <c r="D1124" t="inlineStr"/>
      <c r="E1124" t="inlineStr">
        <is>
          <t>No availability</t>
        </is>
      </c>
      <c r="F1124" t="inlineStr">
        <is>
          <t>Work Schedule / Time Off</t>
        </is>
      </c>
      <c r="G1124" t="inlineStr">
        <is>
          <t>Work Schedule / Time Off</t>
        </is>
      </c>
      <c r="H1124" t="inlineStr"/>
    </row>
    <row r="1125">
      <c r="A1125" t="inlineStr">
        <is>
          <t>No</t>
        </is>
      </c>
      <c r="B1125" t="inlineStr"/>
      <c r="C1125" t="inlineStr"/>
      <c r="D1125" t="inlineStr"/>
      <c r="E1125" t="inlineStr">
        <is>
          <t>Want daughter to have her own experience.</t>
        </is>
      </c>
      <c r="F1125" t="inlineStr">
        <is>
          <t>Wants Child to Have Independent Experience</t>
        </is>
      </c>
      <c r="G1125" t="inlineStr">
        <is>
          <t>Wants Child to Have Independent Experience</t>
        </is>
      </c>
      <c r="H1125" t="inlineStr"/>
    </row>
    <row r="1126">
      <c r="A1126" t="inlineStr">
        <is>
          <t>No</t>
        </is>
      </c>
      <c r="B1126" t="inlineStr"/>
      <c r="C1126" t="inlineStr"/>
      <c r="D1126" t="inlineStr"/>
      <c r="E1126" t="inlineStr">
        <is>
          <t>I went 2 years ago</t>
        </is>
      </c>
      <c r="F1126" t="inlineStr">
        <is>
          <t>Other / Uncategorized</t>
        </is>
      </c>
      <c r="G1126" t="inlineStr"/>
      <c r="H1126" t="inlineStr"/>
    </row>
    <row r="1127">
      <c r="A1127" t="inlineStr">
        <is>
          <t>No</t>
        </is>
      </c>
      <c r="B1127" t="inlineStr"/>
      <c r="C1127" t="inlineStr"/>
      <c r="D1127" t="inlineStr"/>
      <c r="E1127" t="inlineStr">
        <is>
          <t>Cost</t>
        </is>
      </c>
      <c r="F1127" t="inlineStr">
        <is>
          <t>Cost / Finances</t>
        </is>
      </c>
      <c r="G1127" t="inlineStr">
        <is>
          <t>Cost / Finances</t>
        </is>
      </c>
      <c r="H1127" t="inlineStr"/>
    </row>
    <row r="1128">
      <c r="A1128" t="inlineStr">
        <is>
          <t>No</t>
        </is>
      </c>
      <c r="B1128" t="inlineStr"/>
      <c r="C1128" t="inlineStr"/>
      <c r="D1128" t="inlineStr"/>
      <c r="E1128" t="inlineStr">
        <is>
          <t>Cost</t>
        </is>
      </c>
      <c r="F1128" t="inlineStr">
        <is>
          <t>Cost / Finances</t>
        </is>
      </c>
      <c r="G1128" t="inlineStr">
        <is>
          <t>Cost / Finances</t>
        </is>
      </c>
      <c r="H1128" t="inlineStr"/>
    </row>
    <row r="1129">
      <c r="A1129" t="inlineStr">
        <is>
          <t>No</t>
        </is>
      </c>
      <c r="B1129" t="inlineStr"/>
      <c r="C1129" t="inlineStr"/>
      <c r="D1129" t="inlineStr"/>
      <c r="E1129" t="inlineStr">
        <is>
          <t>My daughter would not want me there and I'm not sure I would be good at it.</t>
        </is>
      </c>
      <c r="F1129" t="inlineStr">
        <is>
          <t>Child Didn't Want Parent to Come</t>
        </is>
      </c>
      <c r="G1129" t="inlineStr">
        <is>
          <t>Child Didn't Want Parent to Come</t>
        </is>
      </c>
      <c r="H1129" t="inlineStr"/>
    </row>
    <row r="1130">
      <c r="A1130" t="inlineStr">
        <is>
          <t>No</t>
        </is>
      </c>
      <c r="B1130" t="inlineStr"/>
      <c r="C1130" t="inlineStr"/>
      <c r="D1130" t="inlineStr"/>
      <c r="E1130" t="inlineStr">
        <is>
          <t>Cost and other kids at home</t>
        </is>
      </c>
      <c r="F1130" t="inlineStr">
        <is>
          <t>Cost / Finances</t>
        </is>
      </c>
      <c r="G1130" t="inlineStr">
        <is>
          <t>Cost / Finances; Other Kids / Family at Home</t>
        </is>
      </c>
      <c r="H1130" t="inlineStr"/>
    </row>
    <row r="1131">
      <c r="A1131" t="inlineStr">
        <is>
          <t>No</t>
        </is>
      </c>
      <c r="B1131" t="inlineStr"/>
      <c r="C1131" t="inlineStr"/>
      <c r="D1131" t="inlineStr"/>
      <c r="E1131" t="inlineStr">
        <is>
          <t>Work and home responsibilities</t>
        </is>
      </c>
      <c r="F1131" t="inlineStr">
        <is>
          <t>Work Schedule / Time Off</t>
        </is>
      </c>
      <c r="G1131" t="inlineStr">
        <is>
          <t>Work Schedule / Time Off</t>
        </is>
      </c>
      <c r="H1131" t="inlineStr"/>
    </row>
    <row r="1132">
      <c r="A1132" t="inlineStr">
        <is>
          <t>No</t>
        </is>
      </c>
      <c r="B1132" t="inlineStr"/>
      <c r="C1132" t="inlineStr"/>
      <c r="D1132" t="inlineStr"/>
      <c r="E1132" t="inlineStr"/>
      <c r="F1132" t="inlineStr"/>
      <c r="G1132" t="inlineStr"/>
      <c r="H1132" t="inlineStr"/>
    </row>
    <row r="1133">
      <c r="A1133" t="inlineStr">
        <is>
          <t>No</t>
        </is>
      </c>
      <c r="B1133" t="inlineStr"/>
      <c r="C1133" t="inlineStr"/>
      <c r="D1133" t="inlineStr"/>
      <c r="E1133" t="inlineStr">
        <is>
          <t>Cost and I want me child to have an individual experience without me.</t>
        </is>
      </c>
      <c r="F1133" t="inlineStr">
        <is>
          <t>Cost / Finances</t>
        </is>
      </c>
      <c r="G1133" t="inlineStr">
        <is>
          <t>Cost / Finances; Wants Child to Have Independent Experience</t>
        </is>
      </c>
      <c r="H1133" t="inlineStr"/>
    </row>
    <row r="1134">
      <c r="A1134" t="inlineStr">
        <is>
          <t>No</t>
        </is>
      </c>
      <c r="B1134" t="inlineStr"/>
      <c r="C1134" t="inlineStr"/>
      <c r="D1134" t="inlineStr"/>
      <c r="E1134" t="inlineStr">
        <is>
          <t>Price</t>
        </is>
      </c>
      <c r="F1134" t="inlineStr">
        <is>
          <t>Cost / Finances</t>
        </is>
      </c>
      <c r="G1134" t="inlineStr">
        <is>
          <t>Cost / Finances</t>
        </is>
      </c>
      <c r="H1134" t="inlineStr"/>
    </row>
    <row r="1135">
      <c r="A1135" t="inlineStr">
        <is>
          <t>Maybe</t>
        </is>
      </c>
      <c r="B1135" t="inlineStr"/>
      <c r="C1135" t="inlineStr"/>
      <c r="D1135" t="inlineStr"/>
      <c r="E1135" t="inlineStr"/>
      <c r="F1135" t="inlineStr"/>
      <c r="G1135" t="inlineStr"/>
      <c r="H1135" t="inlineStr">
        <is>
          <t>I tried to be a parent builder when we signed up but there was a mess up in the process and all our choices were gone. So I figured it wasn't meant to be this time.</t>
        </is>
      </c>
    </row>
    <row r="1136">
      <c r="A1136" t="inlineStr">
        <is>
          <t>No</t>
        </is>
      </c>
      <c r="B1136" t="inlineStr"/>
      <c r="C1136" t="inlineStr"/>
      <c r="D1136" t="inlineStr"/>
      <c r="E1136" t="inlineStr">
        <is>
          <t>Husband is going</t>
        </is>
      </c>
      <c r="F1136" t="inlineStr">
        <is>
          <t>Another Family Member Going Instead</t>
        </is>
      </c>
      <c r="G1136" t="inlineStr">
        <is>
          <t>Another Family Member Going Instead</t>
        </is>
      </c>
      <c r="H1136" t="inlineStr"/>
    </row>
    <row r="1137">
      <c r="A1137" t="inlineStr">
        <is>
          <t>No</t>
        </is>
      </c>
      <c r="B1137" t="inlineStr"/>
      <c r="C1137" t="inlineStr"/>
      <c r="D1137" t="inlineStr"/>
      <c r="E1137" t="inlineStr">
        <is>
          <t>Want my kid to be independent</t>
        </is>
      </c>
      <c r="F1137" t="inlineStr">
        <is>
          <t>Wants Child to Have Independent Experience</t>
        </is>
      </c>
      <c r="G1137" t="inlineStr">
        <is>
          <t>Wants Child to Have Independent Experience</t>
        </is>
      </c>
      <c r="H1137" t="inlineStr"/>
    </row>
    <row r="1138">
      <c r="A1138" t="inlineStr">
        <is>
          <t>No</t>
        </is>
      </c>
      <c r="B1138" t="inlineStr"/>
      <c r="C1138" t="inlineStr"/>
      <c r="D1138" t="inlineStr"/>
      <c r="E1138" t="inlineStr">
        <is>
          <t>Letting my kids experience something on their own.</t>
        </is>
      </c>
      <c r="F1138" t="inlineStr">
        <is>
          <t>Wants Child to Have Independent Experience</t>
        </is>
      </c>
      <c r="G1138" t="inlineStr">
        <is>
          <t>Wants Child to Have Independent Experience</t>
        </is>
      </c>
      <c r="H1138" t="inlineStr"/>
    </row>
    <row r="1139">
      <c r="A1139" t="inlineStr">
        <is>
          <t>No</t>
        </is>
      </c>
      <c r="B1139" t="inlineStr"/>
      <c r="C1139" t="inlineStr"/>
      <c r="D1139" t="inlineStr"/>
      <c r="E1139" t="inlineStr">
        <is>
          <t>Time and money</t>
        </is>
      </c>
      <c r="F1139" t="inlineStr">
        <is>
          <t>Cost / Finances</t>
        </is>
      </c>
      <c r="G1139" t="inlineStr">
        <is>
          <t>Cost / Finances; Work Schedule / Time Off</t>
        </is>
      </c>
      <c r="H1139" t="inlineStr"/>
    </row>
    <row r="1140">
      <c r="A1140" t="inlineStr">
        <is>
          <t>No</t>
        </is>
      </c>
      <c r="B1140" t="inlineStr"/>
      <c r="C1140" t="inlineStr"/>
      <c r="D1140" t="inlineStr"/>
      <c r="E1140" t="inlineStr"/>
      <c r="F1140" t="inlineStr"/>
      <c r="G1140" t="inlineStr"/>
      <c r="H1140" t="inlineStr"/>
    </row>
    <row r="1141">
      <c r="A1141" t="inlineStr">
        <is>
          <t>Yes</t>
        </is>
      </c>
      <c r="B1141" t="inlineStr">
        <is>
          <t>I love the opportunity to serve people and see new places</t>
        </is>
      </c>
      <c r="C1141" t="inlineStr">
        <is>
          <t>Faith / Service Motivation</t>
        </is>
      </c>
      <c r="D1141" t="inlineStr">
        <is>
          <t>Faith / Service Motivation</t>
        </is>
      </c>
      <c r="E1141" t="inlineStr"/>
      <c r="F1141" t="inlineStr"/>
      <c r="G1141" t="inlineStr"/>
      <c r="H1141" t="inlineStr"/>
    </row>
    <row r="1142">
      <c r="A1142" t="inlineStr">
        <is>
          <t>No</t>
        </is>
      </c>
      <c r="B1142" t="inlineStr"/>
      <c r="C1142" t="inlineStr"/>
      <c r="D1142" t="inlineStr"/>
      <c r="E1142" t="inlineStr"/>
      <c r="F1142" t="inlineStr"/>
      <c r="G1142" t="inlineStr"/>
      <c r="H1142" t="inlineStr"/>
    </row>
    <row r="1143">
      <c r="A1143" t="inlineStr">
        <is>
          <t>No</t>
        </is>
      </c>
      <c r="B1143" t="inlineStr"/>
      <c r="C1143" t="inlineStr"/>
      <c r="D1143" t="inlineStr"/>
      <c r="E1143" t="inlineStr">
        <is>
          <t>My daughter wanted to go alone</t>
        </is>
      </c>
      <c r="F1143" t="inlineStr">
        <is>
          <t>Wants Child to Have Independent Experience</t>
        </is>
      </c>
      <c r="G1143" t="inlineStr">
        <is>
          <t>Wants Child to Have Independent Experience</t>
        </is>
      </c>
      <c r="H1143" t="inlineStr"/>
    </row>
    <row r="1144">
      <c r="A1144" t="inlineStr">
        <is>
          <t>No</t>
        </is>
      </c>
      <c r="B1144" t="inlineStr"/>
      <c r="C1144" t="inlineStr"/>
      <c r="D1144" t="inlineStr"/>
      <c r="E1144" t="inlineStr">
        <is>
          <t>cost and time</t>
        </is>
      </c>
      <c r="F1144" t="inlineStr">
        <is>
          <t>Cost / Finances</t>
        </is>
      </c>
      <c r="G1144" t="inlineStr">
        <is>
          <t>Cost / Finances; Work Schedule / Time Off</t>
        </is>
      </c>
      <c r="H1144" t="inlineStr"/>
    </row>
    <row r="1145">
      <c r="A1145" t="inlineStr">
        <is>
          <t>No</t>
        </is>
      </c>
      <c r="B1145" t="inlineStr"/>
      <c r="C1145" t="inlineStr"/>
      <c r="D1145" t="inlineStr"/>
      <c r="E1145" t="inlineStr">
        <is>
          <t>$$$$$</t>
        </is>
      </c>
      <c r="F1145" t="inlineStr">
        <is>
          <t>Cost / Finances</t>
        </is>
      </c>
      <c r="G1145" t="inlineStr">
        <is>
          <t>Cost / Finances</t>
        </is>
      </c>
      <c r="H1145" t="inlineStr"/>
    </row>
    <row r="1146">
      <c r="A1146" t="inlineStr">
        <is>
          <t>No</t>
        </is>
      </c>
      <c r="B1146" t="inlineStr"/>
      <c r="C1146" t="inlineStr"/>
      <c r="D1146" t="inlineStr"/>
      <c r="E1146" t="inlineStr">
        <is>
          <t>Cost and I want my younger child to go next</t>
        </is>
      </c>
      <c r="F1146" t="inlineStr">
        <is>
          <t>Cost / Finances</t>
        </is>
      </c>
      <c r="G1146" t="inlineStr">
        <is>
          <t>Cost / Finances; Other Kids / Family at Home</t>
        </is>
      </c>
      <c r="H1146" t="inlineStr"/>
    </row>
    <row r="1147">
      <c r="A1147" t="inlineStr">
        <is>
          <t>No</t>
        </is>
      </c>
      <c r="B1147" t="inlineStr"/>
      <c r="C1147" t="inlineStr"/>
      <c r="D1147" t="inlineStr"/>
      <c r="E1147" t="inlineStr">
        <is>
          <t>Time, want my builder to have her own experience</t>
        </is>
      </c>
      <c r="F1147" t="inlineStr">
        <is>
          <t>Work Schedule / Time Off</t>
        </is>
      </c>
      <c r="G1147" t="inlineStr">
        <is>
          <t>Work Schedule / Time Off; Wants Child to Have Independent Experience</t>
        </is>
      </c>
      <c r="H1147" t="inlineStr"/>
    </row>
    <row r="1148">
      <c r="A1148" t="inlineStr">
        <is>
          <t>No</t>
        </is>
      </c>
      <c r="B1148" t="inlineStr"/>
      <c r="C1148" t="inlineStr"/>
      <c r="D1148" t="inlineStr"/>
      <c r="E1148" t="inlineStr">
        <is>
          <t>Money</t>
        </is>
      </c>
      <c r="F1148" t="inlineStr">
        <is>
          <t>Cost / Finances</t>
        </is>
      </c>
      <c r="G1148" t="inlineStr">
        <is>
          <t>Cost / Finances</t>
        </is>
      </c>
      <c r="H1148" t="inlineStr"/>
    </row>
    <row r="1149">
      <c r="A1149" t="inlineStr">
        <is>
          <t>No</t>
        </is>
      </c>
      <c r="B1149" t="inlineStr"/>
      <c r="C1149" t="inlineStr"/>
      <c r="D1149" t="inlineStr"/>
      <c r="E1149" t="inlineStr">
        <is>
          <t>Price</t>
        </is>
      </c>
      <c r="F1149" t="inlineStr">
        <is>
          <t>Cost / Finances</t>
        </is>
      </c>
      <c r="G1149" t="inlineStr">
        <is>
          <t>Cost / Finances</t>
        </is>
      </c>
      <c r="H1149" t="inlineStr"/>
    </row>
    <row r="1150">
      <c r="A1150" t="inlineStr">
        <is>
          <t>No</t>
        </is>
      </c>
      <c r="B1150" t="inlineStr"/>
      <c r="C1150" t="inlineStr"/>
      <c r="D1150" t="inlineStr"/>
      <c r="E1150" t="inlineStr">
        <is>
          <t>Not interested</t>
        </is>
      </c>
      <c r="F1150" t="inlineStr">
        <is>
          <t>Not a Traveler / Personal Preference</t>
        </is>
      </c>
      <c r="G1150" t="inlineStr">
        <is>
          <t>Not a Traveler / Personal Preference</t>
        </is>
      </c>
      <c r="H1150" t="inlineStr"/>
    </row>
    <row r="1151">
      <c r="A1151" t="inlineStr">
        <is>
          <t>Maybe</t>
        </is>
      </c>
      <c r="B1151" t="inlineStr"/>
      <c r="C1151" t="inlineStr"/>
      <c r="D1151" t="inlineStr"/>
      <c r="E1151" t="inlineStr"/>
      <c r="F1151" t="inlineStr"/>
      <c r="G1151" t="inlineStr"/>
      <c r="H1151" t="inlineStr">
        <is>
          <t>Having more time to go. We had a super busy summer this year.</t>
        </is>
      </c>
    </row>
    <row r="1152">
      <c r="A1152" t="inlineStr">
        <is>
          <t>No</t>
        </is>
      </c>
      <c r="B1152" t="inlineStr"/>
      <c r="C1152" t="inlineStr"/>
      <c r="D1152" t="inlineStr"/>
      <c r="E1152" t="inlineStr">
        <is>
          <t>I have other kids at home.</t>
        </is>
      </c>
      <c r="F1152" t="inlineStr">
        <is>
          <t>Other Kids / Family at Home</t>
        </is>
      </c>
      <c r="G1152" t="inlineStr">
        <is>
          <t>Other Kids / Family at Home</t>
        </is>
      </c>
      <c r="H1152" t="inlineStr"/>
    </row>
    <row r="1153">
      <c r="A1153" t="inlineStr">
        <is>
          <t>Yes</t>
        </is>
      </c>
      <c r="B1153" t="inlineStr">
        <is>
          <t>son</t>
        </is>
      </c>
      <c r="C1153" t="inlineStr">
        <is>
          <t>Family Member Was the Reason (No Elaboration)</t>
        </is>
      </c>
      <c r="D1153" t="inlineStr">
        <is>
          <t>Family Member Was the Reason (No Elaboration)</t>
        </is>
      </c>
      <c r="E1153" t="inlineStr"/>
      <c r="F1153" t="inlineStr"/>
      <c r="G1153" t="inlineStr"/>
      <c r="H1153" t="inlineStr"/>
    </row>
    <row r="1154">
      <c r="A1154" t="inlineStr">
        <is>
          <t>No</t>
        </is>
      </c>
      <c r="B1154" t="inlineStr"/>
      <c r="C1154" t="inlineStr"/>
      <c r="D1154" t="inlineStr"/>
      <c r="E1154" t="inlineStr">
        <is>
          <t>Cost</t>
        </is>
      </c>
      <c r="F1154" t="inlineStr">
        <is>
          <t>Cost / Finances</t>
        </is>
      </c>
      <c r="G1154" t="inlineStr">
        <is>
          <t>Cost / Finances</t>
        </is>
      </c>
      <c r="H1154" t="inlineStr"/>
    </row>
    <row r="1155">
      <c r="A1155" t="inlineStr">
        <is>
          <t>Yes</t>
        </is>
      </c>
      <c r="B1155" t="inlineStr">
        <is>
          <t>Late to sign my son up so it was necessary.</t>
        </is>
      </c>
      <c r="C1155" t="inlineStr">
        <is>
          <t>Securing/Ensuring Child's Spot (Registration Timing)</t>
        </is>
      </c>
      <c r="D1155" t="inlineStr">
        <is>
          <t>Securing/Ensuring Child's Spot (Registration Timing)</t>
        </is>
      </c>
      <c r="E1155" t="inlineStr"/>
      <c r="F1155" t="inlineStr"/>
      <c r="G1155" t="inlineStr"/>
      <c r="H1155" t="inlineStr"/>
    </row>
    <row r="1156">
      <c r="A1156" t="inlineStr">
        <is>
          <t>No</t>
        </is>
      </c>
      <c r="B1156" t="inlineStr"/>
      <c r="C1156" t="inlineStr"/>
      <c r="D1156" t="inlineStr"/>
      <c r="E1156" t="inlineStr">
        <is>
          <t>We wanted our son to have the experience on his own. He is great and will be so much fun on the trip and we wanted to have him have something of his own.</t>
        </is>
      </c>
      <c r="F1156" t="inlineStr">
        <is>
          <t>Wants Child to Have Independent Experience</t>
        </is>
      </c>
      <c r="G1156" t="inlineStr">
        <is>
          <t>Wants Child to Have Independent Experience</t>
        </is>
      </c>
      <c r="H1156" t="inlineStr"/>
    </row>
    <row r="1157">
      <c r="A1157" t="inlineStr">
        <is>
          <t>Yes</t>
        </is>
      </c>
      <c r="B1157" t="inlineStr">
        <is>
          <t>Wanted to do something with my daughter</t>
        </is>
      </c>
      <c r="C1157" t="inlineStr">
        <is>
          <t>Wanted Shared Experience with Child</t>
        </is>
      </c>
      <c r="D1157" t="inlineStr">
        <is>
          <t>Wanted Shared Experience with Child</t>
        </is>
      </c>
      <c r="E1157" t="inlineStr"/>
      <c r="F1157" t="inlineStr"/>
      <c r="G1157" t="inlineStr"/>
      <c r="H1157" t="inlineStr"/>
    </row>
    <row r="1158">
      <c r="A1158" t="inlineStr">
        <is>
          <t>Yes</t>
        </is>
      </c>
      <c r="B1158" t="inlineStr">
        <is>
          <t>My daughter really wanted me to go.</t>
        </is>
      </c>
      <c r="C1158" t="inlineStr">
        <is>
          <t>Child/Spouse Asked Them to Go</t>
        </is>
      </c>
      <c r="D1158" t="inlineStr">
        <is>
          <t>Child/Spouse Asked Them to Go</t>
        </is>
      </c>
      <c r="E1158" t="inlineStr"/>
      <c r="F1158" t="inlineStr"/>
      <c r="G1158" t="inlineStr"/>
      <c r="H1158" t="inlineStr"/>
    </row>
    <row r="1159">
      <c r="A1159" t="inlineStr">
        <is>
          <t>No</t>
        </is>
      </c>
      <c r="B1159" t="inlineStr"/>
      <c r="C1159" t="inlineStr"/>
      <c r="D1159" t="inlineStr"/>
      <c r="E1159" t="inlineStr">
        <is>
          <t>Does not work for my life situation at this time</t>
        </is>
      </c>
      <c r="F1159" t="inlineStr">
        <is>
          <t>Work Schedule / Time Off</t>
        </is>
      </c>
      <c r="G1159" t="inlineStr">
        <is>
          <t>Work Schedule / Time Off</t>
        </is>
      </c>
      <c r="H1159" t="inlineStr"/>
    </row>
    <row r="1160">
      <c r="A1160" t="inlineStr">
        <is>
          <t>No</t>
        </is>
      </c>
      <c r="B1160" t="inlineStr"/>
      <c r="C1160" t="inlineStr"/>
      <c r="D1160" t="inlineStr"/>
      <c r="E1160" t="inlineStr">
        <is>
          <t>Space</t>
        </is>
      </c>
      <c r="F1160" t="inlineStr">
        <is>
          <t>Other / Uncategorized</t>
        </is>
      </c>
      <c r="G1160" t="inlineStr"/>
      <c r="H1160" t="inlineStr"/>
    </row>
    <row r="1161">
      <c r="A1161" t="inlineStr">
        <is>
          <t>No</t>
        </is>
      </c>
      <c r="B1161" t="inlineStr"/>
      <c r="C1161" t="inlineStr"/>
      <c r="D1161" t="inlineStr"/>
      <c r="E1161" t="inlineStr">
        <is>
          <t>My daughter's preference to have her own experience.</t>
        </is>
      </c>
      <c r="F1161" t="inlineStr">
        <is>
          <t>Wants Child to Have Independent Experience</t>
        </is>
      </c>
      <c r="G1161" t="inlineStr">
        <is>
          <t>Wants Child to Have Independent Experience</t>
        </is>
      </c>
      <c r="H1161" t="inlineStr"/>
    </row>
    <row r="1162">
      <c r="A1162" t="inlineStr">
        <is>
          <t>Yes</t>
        </is>
      </c>
      <c r="B1162" t="inlineStr">
        <is>
          <t>I have done 2 other humanitarian trips with another organization and my other daughters. I was excited to be apart of another one with my daughter Esmee</t>
        </is>
      </c>
      <c r="C1162" t="inlineStr">
        <is>
          <t>Wanted Shared Experience with Child</t>
        </is>
      </c>
      <c r="D1162" t="inlineStr">
        <is>
          <t>Wanted Shared Experience with Child; Faith / Service Motivation</t>
        </is>
      </c>
      <c r="E1162" t="inlineStr"/>
      <c r="F1162" t="inlineStr"/>
      <c r="G1162" t="inlineStr"/>
      <c r="H1162" t="inlineStr"/>
    </row>
    <row r="1163">
      <c r="A1163" t="inlineStr">
        <is>
          <t>Maybe</t>
        </is>
      </c>
      <c r="B1163" t="inlineStr"/>
      <c r="C1163" t="inlineStr"/>
      <c r="D1163" t="inlineStr"/>
      <c r="E1163" t="inlineStr"/>
      <c r="F1163" t="inlineStr"/>
      <c r="G1163" t="inlineStr"/>
      <c r="H1163" t="inlineStr">
        <is>
          <t>I would love to go, but I would rather made sure there is money for one of my kids to go</t>
        </is>
      </c>
    </row>
    <row r="1164">
      <c r="A1164" t="inlineStr">
        <is>
          <t>No</t>
        </is>
      </c>
      <c r="B1164" t="inlineStr"/>
      <c r="C1164" t="inlineStr"/>
      <c r="D1164" t="inlineStr"/>
      <c r="E1164" t="inlineStr">
        <is>
          <t>Child didn't want me to go.</t>
        </is>
      </c>
      <c r="F1164" t="inlineStr">
        <is>
          <t>Child Didn't Want Parent to Come</t>
        </is>
      </c>
      <c r="G1164" t="inlineStr">
        <is>
          <t>Child Didn't Want Parent to Come</t>
        </is>
      </c>
      <c r="H1164" t="inlineStr"/>
    </row>
    <row r="1165">
      <c r="A1165" t="inlineStr">
        <is>
          <t>No</t>
        </is>
      </c>
      <c r="B1165" t="inlineStr"/>
      <c r="C1165" t="inlineStr"/>
      <c r="D1165" t="inlineStr"/>
      <c r="E1165" t="inlineStr">
        <is>
          <t>Time away from younger kids</t>
        </is>
      </c>
      <c r="F1165" t="inlineStr">
        <is>
          <t>Work Schedule / Time Off</t>
        </is>
      </c>
      <c r="G1165" t="inlineStr">
        <is>
          <t>Work Schedule / Time Off; Other Kids / Family at Home</t>
        </is>
      </c>
      <c r="H1165" t="inlineStr"/>
    </row>
    <row r="1166">
      <c r="A1166" t="inlineStr">
        <is>
          <t>No</t>
        </is>
      </c>
      <c r="B1166" t="inlineStr"/>
      <c r="C1166" t="inlineStr"/>
      <c r="D1166" t="inlineStr"/>
      <c r="E1166" t="inlineStr">
        <is>
          <t>Couldn't leave family for that long again. I might come next year.</t>
        </is>
      </c>
      <c r="F1166" t="inlineStr">
        <is>
          <t>Other Kids / Family at Home</t>
        </is>
      </c>
      <c r="G1166" t="inlineStr">
        <is>
          <t>Other Kids / Family at Home</t>
        </is>
      </c>
      <c r="H1166" t="inlineStr"/>
    </row>
    <row r="1167">
      <c r="A1167" t="inlineStr">
        <is>
          <t>No</t>
        </is>
      </c>
      <c r="B1167" t="inlineStr"/>
      <c r="C1167" t="inlineStr"/>
      <c r="D1167" t="inlineStr"/>
      <c r="E1167" t="inlineStr">
        <is>
          <t>Younger kids at home</t>
        </is>
      </c>
      <c r="F1167" t="inlineStr">
        <is>
          <t>Other Kids / Family at Home</t>
        </is>
      </c>
      <c r="G1167" t="inlineStr">
        <is>
          <t>Other Kids / Family at Home</t>
        </is>
      </c>
      <c r="H1167" t="inlineStr"/>
    </row>
    <row r="1168">
      <c r="A1168" t="inlineStr">
        <is>
          <t>No</t>
        </is>
      </c>
      <c r="B1168" t="inlineStr"/>
      <c r="C1168" t="inlineStr"/>
      <c r="D1168" t="inlineStr"/>
      <c r="E1168" t="inlineStr">
        <is>
          <t>My daughter wanted to go on her own</t>
        </is>
      </c>
      <c r="F1168" t="inlineStr">
        <is>
          <t>Wants Child to Have Independent Experience</t>
        </is>
      </c>
      <c r="G1168" t="inlineStr">
        <is>
          <t>Wants Child to Have Independent Experience</t>
        </is>
      </c>
      <c r="H1168" t="inlineStr"/>
    </row>
    <row r="1169">
      <c r="A1169" t="inlineStr">
        <is>
          <t>No</t>
        </is>
      </c>
      <c r="B1169" t="inlineStr"/>
      <c r="C1169" t="inlineStr"/>
      <c r="D1169" t="inlineStr"/>
      <c r="E1169" t="inlineStr">
        <is>
          <t>work</t>
        </is>
      </c>
      <c r="F1169" t="inlineStr">
        <is>
          <t>Work Schedule / Time Off</t>
        </is>
      </c>
      <c r="G1169" t="inlineStr">
        <is>
          <t>Work Schedule / Time Off</t>
        </is>
      </c>
      <c r="H1169" t="inlineStr"/>
    </row>
    <row r="1170">
      <c r="A1170" t="inlineStr">
        <is>
          <t>No</t>
        </is>
      </c>
      <c r="B1170" t="inlineStr"/>
      <c r="C1170" t="inlineStr"/>
      <c r="D1170" t="inlineStr"/>
      <c r="E1170" t="inlineStr"/>
      <c r="F1170" t="inlineStr"/>
      <c r="G1170" t="inlineStr"/>
      <c r="H1170" t="inlineStr"/>
    </row>
    <row r="1171">
      <c r="A1171" t="inlineStr">
        <is>
          <t>No</t>
        </is>
      </c>
      <c r="B1171" t="inlineStr"/>
      <c r="C1171" t="inlineStr"/>
      <c r="D1171" t="inlineStr"/>
      <c r="E1171" t="inlineStr">
        <is>
          <t>Unable to take time off work.</t>
        </is>
      </c>
      <c r="F1171" t="inlineStr">
        <is>
          <t>Work Schedule / Time Off</t>
        </is>
      </c>
      <c r="G1171" t="inlineStr">
        <is>
          <t>Work Schedule / Time Off</t>
        </is>
      </c>
      <c r="H1171" t="inlineStr"/>
    </row>
    <row r="1172">
      <c r="A1172" t="inlineStr">
        <is>
          <t>No</t>
        </is>
      </c>
      <c r="B1172" t="inlineStr"/>
      <c r="C1172" t="inlineStr"/>
      <c r="D1172" t="inlineStr"/>
      <c r="E1172" t="inlineStr"/>
      <c r="F1172" t="inlineStr"/>
      <c r="G1172" t="inlineStr"/>
      <c r="H1172" t="inlineStr"/>
    </row>
    <row r="1173">
      <c r="A1173" t="inlineStr">
        <is>
          <t>No</t>
        </is>
      </c>
      <c r="B1173" t="inlineStr"/>
      <c r="C1173" t="inlineStr"/>
      <c r="D1173" t="inlineStr"/>
      <c r="E1173" t="inlineStr"/>
      <c r="F1173" t="inlineStr"/>
      <c r="G1173" t="inlineStr"/>
      <c r="H1173" t="inlineStr"/>
    </row>
    <row r="1174">
      <c r="A1174" t="inlineStr">
        <is>
          <t>No</t>
        </is>
      </c>
      <c r="B1174" t="inlineStr"/>
      <c r="C1174" t="inlineStr"/>
      <c r="D1174" t="inlineStr"/>
      <c r="E1174" t="inlineStr">
        <is>
          <t>Wife went last year. Was great! Sometimes point of trip is for kids go experience new.</t>
        </is>
      </c>
      <c r="F1174" t="inlineStr">
        <is>
          <t>Another Family Member Going Instead</t>
        </is>
      </c>
      <c r="G1174" t="inlineStr">
        <is>
          <t>Another Family Member Going Instead; Wants Child to Have Independent Experience</t>
        </is>
      </c>
      <c r="H1174" t="inlineStr"/>
    </row>
    <row r="1175">
      <c r="A1175" t="inlineStr">
        <is>
          <t>No</t>
        </is>
      </c>
      <c r="B1175" t="inlineStr"/>
      <c r="C1175" t="inlineStr"/>
      <c r="D1175" t="inlineStr"/>
      <c r="E1175" t="inlineStr">
        <is>
          <t>Money</t>
        </is>
      </c>
      <c r="F1175" t="inlineStr">
        <is>
          <t>Cost / Finances</t>
        </is>
      </c>
      <c r="G1175" t="inlineStr">
        <is>
          <t>Cost / Finances</t>
        </is>
      </c>
      <c r="H1175" t="inlineStr"/>
    </row>
    <row r="1176">
      <c r="A1176" t="inlineStr">
        <is>
          <t>No</t>
        </is>
      </c>
      <c r="B1176" t="inlineStr"/>
      <c r="C1176" t="inlineStr"/>
      <c r="D1176" t="inlineStr"/>
      <c r="E1176" t="inlineStr"/>
      <c r="F1176" t="inlineStr"/>
      <c r="G1176" t="inlineStr"/>
      <c r="H1176" t="inlineStr"/>
    </row>
    <row r="1177">
      <c r="A1177" t="inlineStr">
        <is>
          <t>No</t>
        </is>
      </c>
      <c r="B1177" t="inlineStr"/>
      <c r="C1177" t="inlineStr"/>
      <c r="D1177" t="inlineStr"/>
      <c r="E1177" t="inlineStr"/>
      <c r="F1177" t="inlineStr"/>
      <c r="G1177" t="inlineStr"/>
      <c r="H1177" t="inlineStr"/>
    </row>
    <row r="1178">
      <c r="A1178" t="inlineStr">
        <is>
          <t>No</t>
        </is>
      </c>
      <c r="B1178" t="inlineStr"/>
      <c r="C1178" t="inlineStr"/>
      <c r="D1178" t="inlineStr"/>
      <c r="E1178" t="inlineStr"/>
      <c r="F1178" t="inlineStr"/>
      <c r="G1178" t="inlineStr"/>
      <c r="H1178" t="inlineStr"/>
    </row>
    <row r="1179">
      <c r="A1179" t="inlineStr">
        <is>
          <t>No</t>
        </is>
      </c>
      <c r="B1179" t="inlineStr"/>
      <c r="C1179" t="inlineStr"/>
      <c r="D1179" t="inlineStr"/>
      <c r="E1179" t="inlineStr"/>
      <c r="F1179" t="inlineStr"/>
      <c r="G1179" t="inlineStr"/>
      <c r="H1179" t="inlineStr"/>
    </row>
    <row r="1180">
      <c r="A1180" t="inlineStr">
        <is>
          <t>No</t>
        </is>
      </c>
      <c r="B1180" t="inlineStr"/>
      <c r="C1180" t="inlineStr"/>
      <c r="D1180" t="inlineStr"/>
      <c r="E1180" t="inlineStr"/>
      <c r="F1180" t="inlineStr"/>
      <c r="G1180" t="inlineStr"/>
      <c r="H1180" t="inlineStr"/>
    </row>
    <row r="1181">
      <c r="A1181" t="inlineStr">
        <is>
          <t>No</t>
        </is>
      </c>
      <c r="B1181" t="inlineStr"/>
      <c r="C1181" t="inlineStr"/>
      <c r="D1181" t="inlineStr"/>
      <c r="E1181" t="inlineStr">
        <is>
          <t>time away from work</t>
        </is>
      </c>
      <c r="F1181" t="inlineStr">
        <is>
          <t>Work Schedule / Time Off</t>
        </is>
      </c>
      <c r="G1181" t="inlineStr">
        <is>
          <t>Work Schedule / Time Off</t>
        </is>
      </c>
      <c r="H1181" t="inlineStr"/>
    </row>
    <row r="1182">
      <c r="A1182" t="inlineStr">
        <is>
          <t>No</t>
        </is>
      </c>
      <c r="B1182" t="inlineStr"/>
      <c r="C1182" t="inlineStr"/>
      <c r="D1182" t="inlineStr"/>
      <c r="E1182" t="inlineStr"/>
      <c r="F1182" t="inlineStr"/>
      <c r="G1182" t="inlineStr"/>
      <c r="H1182" t="inlineStr"/>
    </row>
    <row r="1183">
      <c r="A1183" t="inlineStr">
        <is>
          <t>No</t>
        </is>
      </c>
      <c r="B1183" t="inlineStr"/>
      <c r="C1183" t="inlineStr"/>
      <c r="D1183" t="inlineStr"/>
      <c r="E1183" t="inlineStr">
        <is>
          <t>Finances</t>
        </is>
      </c>
      <c r="F1183" t="inlineStr">
        <is>
          <t>Cost / Finances</t>
        </is>
      </c>
      <c r="G1183" t="inlineStr">
        <is>
          <t>Cost / Finances</t>
        </is>
      </c>
      <c r="H1183" t="inlineStr"/>
    </row>
    <row r="1184">
      <c r="A1184" t="inlineStr">
        <is>
          <t>No</t>
        </is>
      </c>
      <c r="B1184" t="inlineStr"/>
      <c r="C1184" t="inlineStr"/>
      <c r="D1184" t="inlineStr"/>
      <c r="E1184" t="inlineStr"/>
      <c r="F1184" t="inlineStr"/>
      <c r="G1184" t="inlineStr"/>
      <c r="H1184" t="inlineStr"/>
    </row>
    <row r="1185">
      <c r="A1185" t="inlineStr">
        <is>
          <t>No</t>
        </is>
      </c>
      <c r="B1185" t="inlineStr"/>
      <c r="C1185" t="inlineStr"/>
      <c r="D1185" t="inlineStr"/>
      <c r="E1185" t="inlineStr">
        <is>
          <t>My child said absolutely no, I was not welcome with him.</t>
        </is>
      </c>
      <c r="F1185" t="inlineStr">
        <is>
          <t>Child Didn't Want Parent to Come</t>
        </is>
      </c>
      <c r="G1185" t="inlineStr">
        <is>
          <t>Child Didn't Want Parent to Come</t>
        </is>
      </c>
      <c r="H1185" t="inlineStr"/>
    </row>
    <row r="1186">
      <c r="A1186" t="inlineStr">
        <is>
          <t>No</t>
        </is>
      </c>
      <c r="B1186" t="inlineStr"/>
      <c r="C1186" t="inlineStr"/>
      <c r="D1186" t="inlineStr"/>
      <c r="E1186" t="inlineStr"/>
      <c r="F1186" t="inlineStr"/>
      <c r="G1186" t="inlineStr"/>
      <c r="H1186" t="inlineStr"/>
    </row>
    <row r="1187">
      <c r="A1187" t="inlineStr">
        <is>
          <t>No</t>
        </is>
      </c>
      <c r="B1187" t="inlineStr"/>
      <c r="C1187" t="inlineStr"/>
      <c r="D1187" t="inlineStr"/>
      <c r="E1187" t="inlineStr">
        <is>
          <t>I felt my child would have a better exp without a parent there</t>
        </is>
      </c>
      <c r="F1187" t="inlineStr">
        <is>
          <t>Wants Child to Have Independent Experience</t>
        </is>
      </c>
      <c r="G1187" t="inlineStr">
        <is>
          <t>Wants Child to Have Independent Experience</t>
        </is>
      </c>
      <c r="H1187" t="inlineStr"/>
    </row>
    <row r="1188">
      <c r="A1188" t="inlineStr">
        <is>
          <t>No</t>
        </is>
      </c>
      <c r="B1188" t="inlineStr"/>
      <c r="C1188" t="inlineStr"/>
      <c r="D1188" t="inlineStr"/>
      <c r="E1188" t="inlineStr">
        <is>
          <t>Money</t>
        </is>
      </c>
      <c r="F1188" t="inlineStr">
        <is>
          <t>Cost / Finances</t>
        </is>
      </c>
      <c r="G1188" t="inlineStr">
        <is>
          <t>Cost / Finances</t>
        </is>
      </c>
      <c r="H1188" t="inlineStr"/>
    </row>
    <row r="1189">
      <c r="A1189" t="inlineStr">
        <is>
          <t>No</t>
        </is>
      </c>
      <c r="B1189" t="inlineStr"/>
      <c r="C1189" t="inlineStr"/>
      <c r="D1189" t="inlineStr"/>
      <c r="E1189" t="inlineStr">
        <is>
          <t>Can't take time from work.</t>
        </is>
      </c>
      <c r="F1189" t="inlineStr">
        <is>
          <t>Work Schedule / Time Off</t>
        </is>
      </c>
      <c r="G1189" t="inlineStr">
        <is>
          <t>Work Schedule / Time Off</t>
        </is>
      </c>
      <c r="H1189" t="inlineStr"/>
    </row>
    <row r="1190">
      <c r="A1190" t="inlineStr">
        <is>
          <t>Maybe</t>
        </is>
      </c>
      <c r="B1190" t="inlineStr"/>
      <c r="C1190" t="inlineStr"/>
      <c r="D1190" t="inlineStr"/>
      <c r="E1190" t="inlineStr"/>
      <c r="F1190" t="inlineStr"/>
      <c r="G1190" t="inlineStr"/>
      <c r="H1190" t="inlineStr">
        <is>
          <t>Cost</t>
        </is>
      </c>
    </row>
  </sheetData>
  <autoFilter ref="A1:H1190"/>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1190"/>
  <sheetViews>
    <sheetView workbookViewId="0">
      <pane ySplit="1" topLeftCell="A2" activePane="bottomLeft" state="frozen"/>
      <selection pane="bottomLeft" activeCell="A1" sqref="A1"/>
    </sheetView>
  </sheetViews>
  <sheetFormatPr baseColWidth="8" defaultRowHeight="15"/>
  <cols>
    <col width="10" customWidth="1" min="1" max="1"/>
    <col width="40" customWidth="1" min="2" max="2"/>
    <col width="30" customWidth="1" min="3" max="3"/>
    <col width="35" customWidth="1" min="4" max="4"/>
    <col width="40" customWidth="1" min="5" max="5"/>
    <col width="30" customWidth="1" min="6" max="6"/>
    <col width="35" customWidth="1" min="7" max="7"/>
    <col width="40" customWidth="1" min="8" max="8"/>
    <col width="24" customWidth="1" min="9" max="9"/>
    <col width="14" customWidth="1" min="10" max="10"/>
    <col width="12" customWidth="1" min="11" max="11"/>
    <col width="24" customWidth="1" min="12" max="12"/>
    <col width="30" customWidth="1" min="13" max="13"/>
  </cols>
  <sheetData>
    <row r="1">
      <c r="A1" s="13" t="inlineStr">
        <is>
          <t>Status</t>
        </is>
      </c>
      <c r="B1" s="13" t="inlineStr">
        <is>
          <t>Reason To Go</t>
        </is>
      </c>
      <c r="C1" s="13" t="inlineStr">
        <is>
          <t>Reason To Go - Category</t>
        </is>
      </c>
      <c r="D1" s="13" t="inlineStr">
        <is>
          <t>Reason To Go - All Tags</t>
        </is>
      </c>
      <c r="E1" s="13" t="inlineStr">
        <is>
          <t>Reason Not To Go</t>
        </is>
      </c>
      <c r="F1" s="13" t="inlineStr">
        <is>
          <t>Reason Not To Go - Category</t>
        </is>
      </c>
      <c r="G1" s="13" t="inlineStr">
        <is>
          <t>Reason Not To Go - All Tags</t>
        </is>
      </c>
      <c r="H1" s="13" t="inlineStr">
        <is>
          <t>What Would Help</t>
        </is>
      </c>
      <c r="I1" s="13" t="inlineStr">
        <is>
          <t>Not Going - Controllability</t>
        </is>
      </c>
      <c r="J1" s="13" t="inlineStr">
        <is>
          <t>Not Going - Soft No Signal</t>
        </is>
      </c>
      <c r="K1" s="13" t="inlineStr">
        <is>
          <t>Not Going - Reason Stack Count</t>
        </is>
      </c>
      <c r="L1" s="13" t="inlineStr">
        <is>
          <t>Would Help - Category</t>
        </is>
      </c>
      <c r="M1" s="13" t="inlineStr">
        <is>
          <t>Would Help - All Tags</t>
        </is>
      </c>
    </row>
    <row r="2">
      <c r="A2" t="inlineStr">
        <is>
          <t>No</t>
        </is>
      </c>
      <c r="B2" t="inlineStr"/>
      <c r="C2" t="inlineStr"/>
      <c r="D2" t="inlineStr"/>
      <c r="E2" t="inlineStr">
        <is>
          <t>Good for my son to go without me.</t>
        </is>
      </c>
      <c r="F2" t="inlineStr">
        <is>
          <t>Wants Child to Have Independent Experience</t>
        </is>
      </c>
      <c r="G2" t="inlineStr">
        <is>
          <t>Wants Child to Have Independent Experience</t>
        </is>
      </c>
      <c r="H2" t="inlineStr"/>
      <c r="I2" t="inlineStr">
        <is>
          <t>Family's Own Choice</t>
        </is>
      </c>
      <c r="J2" t="b">
        <v>0</v>
      </c>
      <c r="K2" t="n">
        <v>1</v>
      </c>
      <c r="L2" t="inlineStr"/>
      <c r="M2" t="inlineStr"/>
    </row>
    <row r="3">
      <c r="A3" t="inlineStr">
        <is>
          <t>No</t>
        </is>
      </c>
      <c r="B3" t="inlineStr"/>
      <c r="C3" t="inlineStr"/>
      <c r="D3" t="inlineStr"/>
      <c r="E3" t="inlineStr">
        <is>
          <t>Confidence in my kid</t>
        </is>
      </c>
      <c r="F3" t="inlineStr">
        <is>
          <t>Wants Child to Have Independent Experience</t>
        </is>
      </c>
      <c r="G3" t="inlineStr">
        <is>
          <t>Wants Child to Have Independent Experience</t>
        </is>
      </c>
      <c r="H3" t="inlineStr"/>
      <c r="I3" t="inlineStr">
        <is>
          <t>Family's Own Choice</t>
        </is>
      </c>
      <c r="J3" t="b">
        <v>0</v>
      </c>
      <c r="K3" t="n">
        <v>1</v>
      </c>
      <c r="L3" t="inlineStr"/>
      <c r="M3" t="inlineStr"/>
    </row>
    <row r="4">
      <c r="A4" t="inlineStr">
        <is>
          <t>No</t>
        </is>
      </c>
      <c r="B4" t="inlineStr"/>
      <c r="C4" t="inlineStr"/>
      <c r="D4" t="inlineStr"/>
      <c r="E4" t="inlineStr">
        <is>
          <t>Not needed</t>
        </is>
      </c>
      <c r="F4" t="inlineStr">
        <is>
          <t>Not Needed</t>
        </is>
      </c>
      <c r="G4" t="inlineStr">
        <is>
          <t>Not Needed</t>
        </is>
      </c>
      <c r="H4" t="inlineStr"/>
      <c r="I4" t="inlineStr">
        <is>
          <t>Family's Own Choice</t>
        </is>
      </c>
      <c r="J4" t="b">
        <v>0</v>
      </c>
      <c r="K4" t="n">
        <v>1</v>
      </c>
      <c r="L4" t="inlineStr"/>
      <c r="M4" t="inlineStr"/>
    </row>
    <row r="5">
      <c r="A5" t="inlineStr">
        <is>
          <t>No</t>
        </is>
      </c>
      <c r="B5" t="inlineStr"/>
      <c r="C5" t="inlineStr"/>
      <c r="D5" t="inlineStr"/>
      <c r="E5" t="inlineStr">
        <is>
          <t>I still have younger children to save for.</t>
        </is>
      </c>
      <c r="F5" t="inlineStr">
        <is>
          <t>Other Kids / Family at Home</t>
        </is>
      </c>
      <c r="G5" t="inlineStr">
        <is>
          <t>Other Kids / Family at Home</t>
        </is>
      </c>
      <c r="H5" t="inlineStr"/>
      <c r="I5" t="inlineStr">
        <is>
          <t>Family's Own Choice</t>
        </is>
      </c>
      <c r="J5" t="b">
        <v>0</v>
      </c>
      <c r="K5" t="n">
        <v>1</v>
      </c>
      <c r="L5" t="inlineStr"/>
      <c r="M5" t="inlineStr"/>
    </row>
    <row r="6">
      <c r="A6" t="inlineStr">
        <is>
          <t>No</t>
        </is>
      </c>
      <c r="B6" t="inlineStr"/>
      <c r="C6" t="inlineStr"/>
      <c r="D6" t="inlineStr"/>
      <c r="E6" t="inlineStr">
        <is>
          <t>I think it is better for him</t>
        </is>
      </c>
      <c r="F6" t="inlineStr">
        <is>
          <t>Wants Child to Have Independent Experience</t>
        </is>
      </c>
      <c r="G6" t="inlineStr">
        <is>
          <t>Wants Child to Have Independent Experience</t>
        </is>
      </c>
      <c r="H6" t="inlineStr"/>
      <c r="I6" t="inlineStr">
        <is>
          <t>Family's Own Choice</t>
        </is>
      </c>
      <c r="J6" t="b">
        <v>0</v>
      </c>
      <c r="K6" t="n">
        <v>1</v>
      </c>
      <c r="L6" t="inlineStr"/>
      <c r="M6" t="inlineStr"/>
    </row>
    <row r="7">
      <c r="A7" t="inlineStr">
        <is>
          <t>No</t>
        </is>
      </c>
      <c r="B7" t="inlineStr"/>
      <c r="C7" t="inlineStr"/>
      <c r="D7" t="inlineStr"/>
      <c r="E7" t="inlineStr">
        <is>
          <t>Want my son to have his own experience</t>
        </is>
      </c>
      <c r="F7" t="inlineStr">
        <is>
          <t>Wants Child to Have Independent Experience</t>
        </is>
      </c>
      <c r="G7" t="inlineStr">
        <is>
          <t>Wants Child to Have Independent Experience</t>
        </is>
      </c>
      <c r="H7" t="inlineStr"/>
      <c r="I7" t="inlineStr">
        <is>
          <t>Family's Own Choice</t>
        </is>
      </c>
      <c r="J7" t="b">
        <v>0</v>
      </c>
      <c r="K7" t="n">
        <v>1</v>
      </c>
      <c r="L7" t="inlineStr"/>
      <c r="M7" t="inlineStr"/>
    </row>
    <row r="8">
      <c r="A8" t="inlineStr">
        <is>
          <t>Yes</t>
        </is>
      </c>
      <c r="B8" t="inlineStr">
        <is>
          <t>I love teenagers, people in other cultures, and I love travel.</t>
        </is>
      </c>
      <c r="C8" t="inlineStr">
        <is>
          <t>Love of Travel / Culture</t>
        </is>
      </c>
      <c r="D8" t="inlineStr">
        <is>
          <t>Love of Travel / Culture</t>
        </is>
      </c>
      <c r="E8" t="inlineStr"/>
      <c r="F8" t="inlineStr"/>
      <c r="G8" t="inlineStr"/>
      <c r="H8" t="inlineStr"/>
      <c r="I8" t="inlineStr"/>
      <c r="J8" t="b">
        <v>0</v>
      </c>
      <c r="K8" t="n">
        <v>0</v>
      </c>
      <c r="L8" t="inlineStr"/>
      <c r="M8" t="inlineStr"/>
    </row>
    <row r="9">
      <c r="A9" t="inlineStr">
        <is>
          <t>Yes</t>
        </is>
      </c>
      <c r="B9" t="inlineStr">
        <is>
          <t>My husband wanted someone to go with our daughter, but I also wanted to experience this piece of heaven. I love teenagers!</t>
        </is>
      </c>
      <c r="C9" t="inlineStr">
        <is>
          <t>Wanted Shared Experience with Child</t>
        </is>
      </c>
      <c r="D9" t="inlineStr">
        <is>
          <t>Wanted Shared Experience with Child</t>
        </is>
      </c>
      <c r="E9" t="inlineStr"/>
      <c r="F9" t="inlineStr"/>
      <c r="G9" t="inlineStr"/>
      <c r="H9" t="inlineStr"/>
      <c r="I9" t="inlineStr"/>
      <c r="J9" t="b">
        <v>0</v>
      </c>
      <c r="K9" t="n">
        <v>0</v>
      </c>
      <c r="L9" t="inlineStr"/>
      <c r="M9" t="inlineStr"/>
    </row>
    <row r="10">
      <c r="A10" t="inlineStr">
        <is>
          <t>No</t>
        </is>
      </c>
      <c r="B10" t="inlineStr"/>
      <c r="C10" t="inlineStr"/>
      <c r="D10" t="inlineStr"/>
      <c r="E10" t="inlineStr">
        <is>
          <t>The cost. Would have loved to go as a parent but it just wasn't in our budget</t>
        </is>
      </c>
      <c r="F10" t="inlineStr">
        <is>
          <t>Cost / Finances</t>
        </is>
      </c>
      <c r="G10" t="inlineStr">
        <is>
          <t>Cost / Finances</t>
        </is>
      </c>
      <c r="H10" t="inlineStr"/>
      <c r="I10" t="inlineStr">
        <is>
          <t>HXP Can Directly Fix</t>
        </is>
      </c>
      <c r="J10" t="b">
        <v>0</v>
      </c>
      <c r="K10" t="n">
        <v>1</v>
      </c>
      <c r="L10" t="inlineStr"/>
      <c r="M10" t="inlineStr"/>
    </row>
    <row r="11">
      <c r="A11" t="inlineStr">
        <is>
          <t>No</t>
        </is>
      </c>
      <c r="B11" t="inlineStr"/>
      <c r="C11" t="inlineStr"/>
      <c r="D11" t="inlineStr"/>
      <c r="E11" t="inlineStr">
        <is>
          <t>Friends with experience</t>
        </is>
      </c>
      <c r="F11" t="inlineStr">
        <is>
          <t>Wants Child to Have Independent Experience</t>
        </is>
      </c>
      <c r="G11" t="inlineStr">
        <is>
          <t>Wants Child to Have Independent Experience</t>
        </is>
      </c>
      <c r="H11" t="inlineStr"/>
      <c r="I11" t="inlineStr">
        <is>
          <t>Family's Own Choice</t>
        </is>
      </c>
      <c r="J11" t="b">
        <v>0</v>
      </c>
      <c r="K11" t="n">
        <v>1</v>
      </c>
      <c r="L11" t="inlineStr"/>
      <c r="M11" t="inlineStr"/>
    </row>
    <row r="12">
      <c r="A12" t="inlineStr">
        <is>
          <t>Yes</t>
        </is>
      </c>
      <c r="B12" t="inlineStr">
        <is>
          <t>Could go with my son</t>
        </is>
      </c>
      <c r="C12" t="inlineStr">
        <is>
          <t>Other / Uncategorized</t>
        </is>
      </c>
      <c r="D12" t="inlineStr"/>
      <c r="E12" t="inlineStr"/>
      <c r="F12" t="inlineStr"/>
      <c r="G12" t="inlineStr"/>
      <c r="H12" t="inlineStr"/>
      <c r="I12" t="inlineStr"/>
      <c r="J12" t="b">
        <v>0</v>
      </c>
      <c r="K12" t="n">
        <v>0</v>
      </c>
      <c r="L12" t="inlineStr"/>
      <c r="M12" t="inlineStr"/>
    </row>
    <row r="13">
      <c r="A13" t="inlineStr">
        <is>
          <t>No</t>
        </is>
      </c>
      <c r="B13" t="inlineStr"/>
      <c r="C13" t="inlineStr"/>
      <c r="D13" t="inlineStr"/>
      <c r="E13" t="inlineStr">
        <is>
          <t>Time away from work</t>
        </is>
      </c>
      <c r="F13" t="inlineStr">
        <is>
          <t>Work Schedule / Time Off</t>
        </is>
      </c>
      <c r="G13" t="inlineStr">
        <is>
          <t>Work Schedule / Time Off</t>
        </is>
      </c>
      <c r="H13" t="inlineStr"/>
      <c r="I13" t="inlineStr">
        <is>
          <t>HXP Can Influence</t>
        </is>
      </c>
      <c r="J13" t="b">
        <v>0</v>
      </c>
      <c r="K13" t="n">
        <v>1</v>
      </c>
      <c r="L13" t="inlineStr"/>
      <c r="M13" t="inlineStr"/>
    </row>
    <row r="14">
      <c r="A14" t="inlineStr">
        <is>
          <t>No</t>
        </is>
      </c>
      <c r="B14" t="inlineStr"/>
      <c r="C14" t="inlineStr"/>
      <c r="D14" t="inlineStr"/>
      <c r="E14" t="inlineStr">
        <is>
          <t>Thought my daughter would have a better experience with out me</t>
        </is>
      </c>
      <c r="F14" t="inlineStr">
        <is>
          <t>Wants Child to Have Independent Experience</t>
        </is>
      </c>
      <c r="G14" t="inlineStr">
        <is>
          <t>Wants Child to Have Independent Experience</t>
        </is>
      </c>
      <c r="H14" t="inlineStr"/>
      <c r="I14" t="inlineStr">
        <is>
          <t>Family's Own Choice</t>
        </is>
      </c>
      <c r="J14" t="b">
        <v>0</v>
      </c>
      <c r="K14" t="n">
        <v>1</v>
      </c>
      <c r="L14" t="inlineStr"/>
      <c r="M14" t="inlineStr"/>
    </row>
    <row r="15">
      <c r="A15" t="inlineStr">
        <is>
          <t>No</t>
        </is>
      </c>
      <c r="B15" t="inlineStr"/>
      <c r="C15" t="inlineStr"/>
      <c r="D15" t="inlineStr"/>
      <c r="E15" t="inlineStr"/>
      <c r="F15" t="inlineStr"/>
      <c r="G15" t="inlineStr"/>
      <c r="H15" t="inlineStr"/>
      <c r="I15" t="inlineStr"/>
      <c r="J15" t="b">
        <v>0</v>
      </c>
      <c r="K15" t="n">
        <v>0</v>
      </c>
      <c r="L15" t="inlineStr"/>
      <c r="M15" t="inlineStr"/>
    </row>
    <row r="16">
      <c r="A16" t="inlineStr">
        <is>
          <t>No</t>
        </is>
      </c>
      <c r="B16" t="inlineStr"/>
      <c r="C16" t="inlineStr"/>
      <c r="D16" t="inlineStr"/>
      <c r="E16" t="inlineStr"/>
      <c r="F16" t="inlineStr"/>
      <c r="G16" t="inlineStr"/>
      <c r="H16" t="inlineStr"/>
      <c r="I16" t="inlineStr"/>
      <c r="J16" t="b">
        <v>0</v>
      </c>
      <c r="K16" t="n">
        <v>0</v>
      </c>
      <c r="L16" t="inlineStr"/>
      <c r="M16" t="inlineStr"/>
    </row>
    <row r="17">
      <c r="A17" t="inlineStr">
        <is>
          <t>No</t>
        </is>
      </c>
      <c r="B17" t="inlineStr"/>
      <c r="C17" t="inlineStr"/>
      <c r="D17" t="inlineStr"/>
      <c r="E17" t="inlineStr">
        <is>
          <t>Our son needs an independent experience.</t>
        </is>
      </c>
      <c r="F17" t="inlineStr">
        <is>
          <t>Wants Child to Have Independent Experience</t>
        </is>
      </c>
      <c r="G17" t="inlineStr">
        <is>
          <t>Wants Child to Have Independent Experience</t>
        </is>
      </c>
      <c r="H17" t="inlineStr"/>
      <c r="I17" t="inlineStr">
        <is>
          <t>Family's Own Choice</t>
        </is>
      </c>
      <c r="J17" t="b">
        <v>0</v>
      </c>
      <c r="K17" t="n">
        <v>1</v>
      </c>
      <c r="L17" t="inlineStr"/>
      <c r="M17" t="inlineStr"/>
    </row>
    <row r="18">
      <c r="A18" t="inlineStr">
        <is>
          <t>No</t>
        </is>
      </c>
      <c r="B18" t="inlineStr"/>
      <c r="C18" t="inlineStr"/>
      <c r="D18" t="inlineStr"/>
      <c r="E18" t="inlineStr">
        <is>
          <t>Money</t>
        </is>
      </c>
      <c r="F18" t="inlineStr">
        <is>
          <t>Cost / Finances</t>
        </is>
      </c>
      <c r="G18" t="inlineStr">
        <is>
          <t>Cost / Finances</t>
        </is>
      </c>
      <c r="H18" t="inlineStr"/>
      <c r="I18" t="inlineStr">
        <is>
          <t>HXP Can Directly Fix</t>
        </is>
      </c>
      <c r="J18" t="b">
        <v>0</v>
      </c>
      <c r="K18" t="n">
        <v>1</v>
      </c>
      <c r="L18" t="inlineStr"/>
      <c r="M18" t="inlineStr"/>
    </row>
    <row r="19">
      <c r="A19" t="inlineStr">
        <is>
          <t>No</t>
        </is>
      </c>
      <c r="B19" t="inlineStr"/>
      <c r="C19" t="inlineStr"/>
      <c r="D19" t="inlineStr"/>
      <c r="E19" t="inlineStr">
        <is>
          <t>I have 4 other kiddos at home that need me</t>
        </is>
      </c>
      <c r="F19" t="inlineStr">
        <is>
          <t>Other Kids / Family at Home</t>
        </is>
      </c>
      <c r="G19" t="inlineStr">
        <is>
          <t>Other Kids / Family at Home</t>
        </is>
      </c>
      <c r="H19" t="inlineStr"/>
      <c r="I19" t="inlineStr">
        <is>
          <t>Family's Own Choice</t>
        </is>
      </c>
      <c r="J19" t="b">
        <v>0</v>
      </c>
      <c r="K19" t="n">
        <v>1</v>
      </c>
      <c r="L19" t="inlineStr"/>
      <c r="M19" t="inlineStr"/>
    </row>
    <row r="20">
      <c r="A20" t="inlineStr">
        <is>
          <t>No</t>
        </is>
      </c>
      <c r="B20" t="inlineStr"/>
      <c r="C20" t="inlineStr"/>
      <c r="D20" t="inlineStr"/>
      <c r="E20" t="inlineStr">
        <is>
          <t>cost</t>
        </is>
      </c>
      <c r="F20" t="inlineStr">
        <is>
          <t>Cost / Finances</t>
        </is>
      </c>
      <c r="G20" t="inlineStr">
        <is>
          <t>Cost / Finances</t>
        </is>
      </c>
      <c r="H20" t="inlineStr"/>
      <c r="I20" t="inlineStr">
        <is>
          <t>HXP Can Directly Fix</t>
        </is>
      </c>
      <c r="J20" t="b">
        <v>0</v>
      </c>
      <c r="K20" t="n">
        <v>1</v>
      </c>
      <c r="L20" t="inlineStr"/>
      <c r="M20" t="inlineStr"/>
    </row>
    <row r="21">
      <c r="A21" t="inlineStr">
        <is>
          <t>No</t>
        </is>
      </c>
      <c r="B21" t="inlineStr"/>
      <c r="C21" t="inlineStr"/>
      <c r="D21" t="inlineStr"/>
      <c r="E21" t="inlineStr">
        <is>
          <t>my daughter does not want me to go</t>
        </is>
      </c>
      <c r="F21" t="inlineStr">
        <is>
          <t>Child Didn't Want Parent to Come</t>
        </is>
      </c>
      <c r="G21" t="inlineStr">
        <is>
          <t>Child Didn't Want Parent to Come</t>
        </is>
      </c>
      <c r="H21" t="inlineStr"/>
      <c r="I21" t="inlineStr">
        <is>
          <t>Family's Own Choice</t>
        </is>
      </c>
      <c r="J21" t="b">
        <v>0</v>
      </c>
      <c r="K21" t="n">
        <v>1</v>
      </c>
      <c r="L21" t="inlineStr"/>
      <c r="M21" t="inlineStr"/>
    </row>
    <row r="22">
      <c r="A22" t="inlineStr">
        <is>
          <t>No</t>
        </is>
      </c>
      <c r="B22" t="inlineStr"/>
      <c r="C22" t="inlineStr"/>
      <c r="D22" t="inlineStr"/>
      <c r="E22" t="inlineStr">
        <is>
          <t>Wanted my son to go alone</t>
        </is>
      </c>
      <c r="F22" t="inlineStr">
        <is>
          <t>Wants Child to Have Independent Experience</t>
        </is>
      </c>
      <c r="G22" t="inlineStr">
        <is>
          <t>Wants Child to Have Independent Experience</t>
        </is>
      </c>
      <c r="H22" t="inlineStr"/>
      <c r="I22" t="inlineStr">
        <is>
          <t>Family's Own Choice</t>
        </is>
      </c>
      <c r="J22" t="b">
        <v>0</v>
      </c>
      <c r="K22" t="n">
        <v>1</v>
      </c>
      <c r="L22" t="inlineStr"/>
      <c r="M22" t="inlineStr"/>
    </row>
    <row r="23">
      <c r="A23" t="inlineStr">
        <is>
          <t>No</t>
        </is>
      </c>
      <c r="B23" t="inlineStr"/>
      <c r="C23" t="inlineStr"/>
      <c r="D23" t="inlineStr"/>
      <c r="E23" t="inlineStr"/>
      <c r="F23" t="inlineStr"/>
      <c r="G23" t="inlineStr"/>
      <c r="H23" t="inlineStr"/>
      <c r="I23" t="inlineStr"/>
      <c r="J23" t="b">
        <v>0</v>
      </c>
      <c r="K23" t="n">
        <v>0</v>
      </c>
      <c r="L23" t="inlineStr"/>
      <c r="M23" t="inlineStr"/>
    </row>
    <row r="24">
      <c r="A24" t="inlineStr">
        <is>
          <t>Yes</t>
        </is>
      </c>
      <c r="B24" t="inlineStr">
        <is>
          <t>My daughter asked me ro go</t>
        </is>
      </c>
      <c r="C24" t="inlineStr">
        <is>
          <t>Child/Spouse Asked Them to Go</t>
        </is>
      </c>
      <c r="D24" t="inlineStr">
        <is>
          <t>Child/Spouse Asked Them to Go</t>
        </is>
      </c>
      <c r="E24" t="inlineStr"/>
      <c r="F24" t="inlineStr"/>
      <c r="G24" t="inlineStr"/>
      <c r="H24" t="inlineStr"/>
      <c r="I24" t="inlineStr"/>
      <c r="J24" t="b">
        <v>0</v>
      </c>
      <c r="K24" t="n">
        <v>0</v>
      </c>
      <c r="L24" t="inlineStr"/>
      <c r="M24" t="inlineStr"/>
    </row>
    <row r="25">
      <c r="A25" t="inlineStr">
        <is>
          <t>No</t>
        </is>
      </c>
      <c r="B25" t="inlineStr"/>
      <c r="C25" t="inlineStr"/>
      <c r="D25" t="inlineStr"/>
      <c r="E25" t="inlineStr">
        <is>
          <t>I want to fill up my time with something fun that makes me happy and is productive. I am also excited to experience the beauty of OBX</t>
        </is>
      </c>
      <c r="F25" t="inlineStr">
        <is>
          <t>Work Schedule / Time Off</t>
        </is>
      </c>
      <c r="G25" t="inlineStr">
        <is>
          <t>Work Schedule / Time Off; Wants Child to Have Independent Experience</t>
        </is>
      </c>
      <c r="H25" t="inlineStr"/>
      <c r="I25" t="inlineStr">
        <is>
          <t>HXP Can Influence</t>
        </is>
      </c>
      <c r="J25" t="b">
        <v>0</v>
      </c>
      <c r="K25" t="n">
        <v>2</v>
      </c>
      <c r="L25" t="inlineStr"/>
      <c r="M25" t="inlineStr"/>
    </row>
    <row r="26">
      <c r="A26" t="inlineStr">
        <is>
          <t>No</t>
        </is>
      </c>
      <c r="B26" t="inlineStr"/>
      <c r="C26" t="inlineStr"/>
      <c r="D26" t="inlineStr"/>
      <c r="E26" t="inlineStr">
        <is>
          <t>My job and time off. I would really love to go another year.</t>
        </is>
      </c>
      <c r="F26" t="inlineStr">
        <is>
          <t>Work Schedule / Time Off</t>
        </is>
      </c>
      <c r="G26" t="inlineStr">
        <is>
          <t>Work Schedule / Time Off</t>
        </is>
      </c>
      <c r="H26" t="inlineStr"/>
      <c r="I26" t="inlineStr">
        <is>
          <t>HXP Can Influence</t>
        </is>
      </c>
      <c r="J26" t="b">
        <v>1</v>
      </c>
      <c r="K26" t="n">
        <v>1</v>
      </c>
      <c r="L26" t="inlineStr"/>
      <c r="M26" t="inlineStr"/>
    </row>
    <row r="27">
      <c r="A27" t="inlineStr">
        <is>
          <t>No</t>
        </is>
      </c>
      <c r="B27" t="inlineStr"/>
      <c r="C27" t="inlineStr"/>
      <c r="D27" t="inlineStr"/>
      <c r="E27" t="inlineStr">
        <is>
          <t>I wanted my daughter to have this experience on her own. I wanted her to rely on her group rather than me, to help her build stronger connections with other builders &amp; the trip leaders.</t>
        </is>
      </c>
      <c r="F27" t="inlineStr">
        <is>
          <t>Wants Child to Have Independent Experience</t>
        </is>
      </c>
      <c r="G27" t="inlineStr">
        <is>
          <t>Wants Child to Have Independent Experience; Other Life Commitment</t>
        </is>
      </c>
      <c r="H27" t="inlineStr"/>
      <c r="I27" t="inlineStr">
        <is>
          <t>Family's Own Choice</t>
        </is>
      </c>
      <c r="J27" t="b">
        <v>0</v>
      </c>
      <c r="K27" t="n">
        <v>2</v>
      </c>
      <c r="L27" t="inlineStr"/>
      <c r="M27" t="inlineStr"/>
    </row>
    <row r="28">
      <c r="A28" t="inlineStr">
        <is>
          <t>No</t>
        </is>
      </c>
      <c r="B28" t="inlineStr"/>
      <c r="C28" t="inlineStr"/>
      <c r="D28" t="inlineStr"/>
      <c r="E28" t="inlineStr">
        <is>
          <t>Younger kids at home</t>
        </is>
      </c>
      <c r="F28" t="inlineStr">
        <is>
          <t>Other Kids / Family at Home</t>
        </is>
      </c>
      <c r="G28" t="inlineStr">
        <is>
          <t>Other Kids / Family at Home</t>
        </is>
      </c>
      <c r="H28" t="inlineStr"/>
      <c r="I28" t="inlineStr">
        <is>
          <t>Family's Own Choice</t>
        </is>
      </c>
      <c r="J28" t="b">
        <v>0</v>
      </c>
      <c r="K28" t="n">
        <v>1</v>
      </c>
      <c r="L28" t="inlineStr"/>
      <c r="M28" t="inlineStr"/>
    </row>
    <row r="29">
      <c r="A29" t="inlineStr">
        <is>
          <t>No</t>
        </is>
      </c>
      <c r="B29" t="inlineStr"/>
      <c r="C29" t="inlineStr"/>
      <c r="D29" t="inlineStr"/>
      <c r="E29" t="inlineStr">
        <is>
          <t>Daughter asked me not to go</t>
        </is>
      </c>
      <c r="F29" t="inlineStr">
        <is>
          <t>Child Didn't Want Parent to Come</t>
        </is>
      </c>
      <c r="G29" t="inlineStr">
        <is>
          <t>Child Didn't Want Parent to Come</t>
        </is>
      </c>
      <c r="H29" t="inlineStr"/>
      <c r="I29" t="inlineStr">
        <is>
          <t>Family's Own Choice</t>
        </is>
      </c>
      <c r="J29" t="b">
        <v>0</v>
      </c>
      <c r="K29" t="n">
        <v>1</v>
      </c>
      <c r="L29" t="inlineStr"/>
      <c r="M29" t="inlineStr"/>
    </row>
    <row r="30">
      <c r="A30" t="inlineStr">
        <is>
          <t>No</t>
        </is>
      </c>
      <c r="B30" t="inlineStr"/>
      <c r="C30" t="inlineStr"/>
      <c r="D30" t="inlineStr"/>
      <c r="E30" t="inlineStr">
        <is>
          <t>I really wanted to go, my son was cool with me going, but the Spirit said he needed to do this without me.</t>
        </is>
      </c>
      <c r="F30" t="inlineStr">
        <is>
          <t>Wants Child to Have Independent Experience</t>
        </is>
      </c>
      <c r="G30" t="inlineStr">
        <is>
          <t>Wants Child to Have Independent Experience</t>
        </is>
      </c>
      <c r="H30" t="inlineStr"/>
      <c r="I30" t="inlineStr">
        <is>
          <t>Family's Own Choice</t>
        </is>
      </c>
      <c r="J30" t="b">
        <v>0</v>
      </c>
      <c r="K30" t="n">
        <v>1</v>
      </c>
      <c r="L30" t="inlineStr"/>
      <c r="M30" t="inlineStr"/>
    </row>
    <row r="31">
      <c r="A31" t="inlineStr">
        <is>
          <t>No</t>
        </is>
      </c>
      <c r="B31" t="inlineStr"/>
      <c r="C31" t="inlineStr"/>
      <c r="D31" t="inlineStr"/>
      <c r="E31" t="inlineStr">
        <is>
          <t>Work schedule is not compatible with the HXP schedule.</t>
        </is>
      </c>
      <c r="F31" t="inlineStr">
        <is>
          <t>Work Schedule / Time Off</t>
        </is>
      </c>
      <c r="G31" t="inlineStr">
        <is>
          <t>Work Schedule / Time Off</t>
        </is>
      </c>
      <c r="H31" t="inlineStr"/>
      <c r="I31" t="inlineStr">
        <is>
          <t>HXP Can Influence</t>
        </is>
      </c>
      <c r="J31" t="b">
        <v>0</v>
      </c>
      <c r="K31" t="n">
        <v>1</v>
      </c>
      <c r="L31" t="inlineStr"/>
      <c r="M31" t="inlineStr"/>
    </row>
    <row r="32">
      <c r="A32" t="inlineStr">
        <is>
          <t>No</t>
        </is>
      </c>
      <c r="B32" t="inlineStr"/>
      <c r="C32" t="inlineStr"/>
      <c r="D32" t="inlineStr"/>
      <c r="E32" t="inlineStr">
        <is>
          <t>Cost &amp; time away from other kids, also excited for my son to do this without me</t>
        </is>
      </c>
      <c r="F32" t="inlineStr">
        <is>
          <t>Cost / Finances</t>
        </is>
      </c>
      <c r="G32" t="inlineStr">
        <is>
          <t>Cost / Finances; Work Schedule / Time Off; Other Kids / Family at Home; Wants Child to Have Independent Experience</t>
        </is>
      </c>
      <c r="H32" t="inlineStr"/>
      <c r="I32" t="inlineStr">
        <is>
          <t>HXP Can Directly Fix</t>
        </is>
      </c>
      <c r="J32" t="b">
        <v>0</v>
      </c>
      <c r="K32" t="n">
        <v>4</v>
      </c>
      <c r="L32" t="inlineStr"/>
      <c r="M32" t="inlineStr"/>
    </row>
    <row r="33">
      <c r="A33" t="inlineStr">
        <is>
          <t>Maybe</t>
        </is>
      </c>
      <c r="B33" t="inlineStr"/>
      <c r="C33" t="inlineStr"/>
      <c r="D33" t="inlineStr"/>
      <c r="E33" t="inlineStr"/>
      <c r="F33" t="inlineStr"/>
      <c r="G33" t="inlineStr"/>
      <c r="H33" t="inlineStr">
        <is>
          <t>Cost</t>
        </is>
      </c>
      <c r="I33" t="inlineStr"/>
      <c r="J33" t="b">
        <v>0</v>
      </c>
      <c r="K33" t="n">
        <v>0</v>
      </c>
      <c r="L33" t="inlineStr">
        <is>
          <t>Cost / Financial Assistance</t>
        </is>
      </c>
      <c r="M33" t="inlineStr">
        <is>
          <t>Cost / Financial Assistance</t>
        </is>
      </c>
    </row>
    <row r="34">
      <c r="A34" t="inlineStr">
        <is>
          <t>No</t>
        </is>
      </c>
      <c r="B34" t="inlineStr"/>
      <c r="C34" t="inlineStr"/>
      <c r="D34" t="inlineStr"/>
      <c r="E34" t="inlineStr">
        <is>
          <t>Private time for him</t>
        </is>
      </c>
      <c r="F34" t="inlineStr">
        <is>
          <t>Work Schedule / Time Off</t>
        </is>
      </c>
      <c r="G34" t="inlineStr">
        <is>
          <t>Work Schedule / Time Off</t>
        </is>
      </c>
      <c r="H34" t="inlineStr"/>
      <c r="I34" t="inlineStr">
        <is>
          <t>HXP Can Influence</t>
        </is>
      </c>
      <c r="J34" t="b">
        <v>0</v>
      </c>
      <c r="K34" t="n">
        <v>1</v>
      </c>
      <c r="L34" t="inlineStr"/>
      <c r="M34" t="inlineStr"/>
    </row>
    <row r="35">
      <c r="A35" t="inlineStr">
        <is>
          <t>No</t>
        </is>
      </c>
      <c r="B35" t="inlineStr"/>
      <c r="C35" t="inlineStr"/>
      <c r="D35" t="inlineStr"/>
      <c r="E35" t="inlineStr">
        <is>
          <t>Work obligations</t>
        </is>
      </c>
      <c r="F35" t="inlineStr">
        <is>
          <t>Work Schedule / Time Off</t>
        </is>
      </c>
      <c r="G35" t="inlineStr">
        <is>
          <t>Work Schedule / Time Off</t>
        </is>
      </c>
      <c r="H35" t="inlineStr"/>
      <c r="I35" t="inlineStr">
        <is>
          <t>HXP Can Influence</t>
        </is>
      </c>
      <c r="J35" t="b">
        <v>0</v>
      </c>
      <c r="K35" t="n">
        <v>1</v>
      </c>
      <c r="L35" t="inlineStr"/>
      <c r="M35" t="inlineStr"/>
    </row>
    <row r="36">
      <c r="A36" t="inlineStr">
        <is>
          <t>No</t>
        </is>
      </c>
      <c r="B36" t="inlineStr"/>
      <c r="C36" t="inlineStr"/>
      <c r="D36" t="inlineStr"/>
      <c r="E36" t="inlineStr">
        <is>
          <t>My child wanted to go on her own.</t>
        </is>
      </c>
      <c r="F36" t="inlineStr">
        <is>
          <t>Wants Child to Have Independent Experience</t>
        </is>
      </c>
      <c r="G36" t="inlineStr">
        <is>
          <t>Wants Child to Have Independent Experience</t>
        </is>
      </c>
      <c r="H36" t="inlineStr"/>
      <c r="I36" t="inlineStr">
        <is>
          <t>Family's Own Choice</t>
        </is>
      </c>
      <c r="J36" t="b">
        <v>0</v>
      </c>
      <c r="K36" t="n">
        <v>1</v>
      </c>
      <c r="L36" t="inlineStr"/>
      <c r="M36" t="inlineStr"/>
    </row>
    <row r="37">
      <c r="A37" t="inlineStr">
        <is>
          <t>Yes</t>
        </is>
      </c>
      <c r="B37" t="inlineStr">
        <is>
          <t>Previous trips</t>
        </is>
      </c>
      <c r="C37" t="inlineStr">
        <is>
          <t>Previous Positive Experience</t>
        </is>
      </c>
      <c r="D37" t="inlineStr">
        <is>
          <t>Previous Positive Experience</t>
        </is>
      </c>
      <c r="E37" t="inlineStr"/>
      <c r="F37" t="inlineStr"/>
      <c r="G37" t="inlineStr"/>
      <c r="H37" t="inlineStr"/>
      <c r="I37" t="inlineStr"/>
      <c r="J37" t="b">
        <v>0</v>
      </c>
      <c r="K37" t="n">
        <v>0</v>
      </c>
      <c r="L37" t="inlineStr"/>
      <c r="M37" t="inlineStr"/>
    </row>
    <row r="38">
      <c r="A38" t="inlineStr">
        <is>
          <t>No</t>
        </is>
      </c>
      <c r="B38" t="inlineStr"/>
      <c r="C38" t="inlineStr"/>
      <c r="D38" t="inlineStr"/>
      <c r="E38" t="inlineStr">
        <is>
          <t>Time/ son coming home from a mission</t>
        </is>
      </c>
      <c r="F38" t="inlineStr">
        <is>
          <t>Work Schedule / Time Off</t>
        </is>
      </c>
      <c r="G38" t="inlineStr">
        <is>
          <t>Work Schedule / Time Off; Other Life Commitment</t>
        </is>
      </c>
      <c r="H38" t="inlineStr"/>
      <c r="I38" t="inlineStr">
        <is>
          <t>HXP Can Influence</t>
        </is>
      </c>
      <c r="J38" t="b">
        <v>0</v>
      </c>
      <c r="K38" t="n">
        <v>2</v>
      </c>
      <c r="L38" t="inlineStr"/>
      <c r="M38" t="inlineStr"/>
    </row>
    <row r="39">
      <c r="A39" t="inlineStr">
        <is>
          <t>Yes</t>
        </is>
      </c>
      <c r="B39" t="inlineStr">
        <is>
          <t>I have been before and love it.</t>
        </is>
      </c>
      <c r="C39" t="inlineStr">
        <is>
          <t>Previous Positive Experience</t>
        </is>
      </c>
      <c r="D39" t="inlineStr">
        <is>
          <t>Previous Positive Experience</t>
        </is>
      </c>
      <c r="E39" t="inlineStr"/>
      <c r="F39" t="inlineStr"/>
      <c r="G39" t="inlineStr"/>
      <c r="H39" t="inlineStr"/>
      <c r="I39" t="inlineStr"/>
      <c r="J39" t="b">
        <v>0</v>
      </c>
      <c r="K39" t="n">
        <v>0</v>
      </c>
      <c r="L39" t="inlineStr"/>
      <c r="M39" t="inlineStr"/>
    </row>
    <row r="40">
      <c r="A40" t="inlineStr">
        <is>
          <t>Yes</t>
        </is>
      </c>
      <c r="B40" t="inlineStr">
        <is>
          <t>The Q&amp;A night</t>
        </is>
      </c>
      <c r="C40" t="inlineStr">
        <is>
          <t>Trust in the HXP Program</t>
        </is>
      </c>
      <c r="D40" t="inlineStr">
        <is>
          <t>Trust in the HXP Program</t>
        </is>
      </c>
      <c r="E40" t="inlineStr"/>
      <c r="F40" t="inlineStr"/>
      <c r="G40" t="inlineStr"/>
      <c r="H40" t="inlineStr"/>
      <c r="I40" t="inlineStr"/>
      <c r="J40" t="b">
        <v>0</v>
      </c>
      <c r="K40" t="n">
        <v>0</v>
      </c>
      <c r="L40" t="inlineStr"/>
      <c r="M40" t="inlineStr"/>
    </row>
    <row r="41">
      <c r="A41" t="inlineStr">
        <is>
          <t>No</t>
        </is>
      </c>
      <c r="B41" t="inlineStr"/>
      <c r="C41" t="inlineStr"/>
      <c r="D41" t="inlineStr"/>
      <c r="E41" t="inlineStr">
        <is>
          <t>My husband is going as the male parent builder</t>
        </is>
      </c>
      <c r="F41" t="inlineStr">
        <is>
          <t>Another Family Member Going Instead</t>
        </is>
      </c>
      <c r="G41" t="inlineStr">
        <is>
          <t>Another Family Member Going Instead</t>
        </is>
      </c>
      <c r="H41" t="inlineStr"/>
      <c r="I41" t="inlineStr">
        <is>
          <t>Family's Own Choice</t>
        </is>
      </c>
      <c r="J41" t="b">
        <v>0</v>
      </c>
      <c r="K41" t="n">
        <v>1</v>
      </c>
      <c r="L41" t="inlineStr"/>
      <c r="M41" t="inlineStr"/>
    </row>
    <row r="42">
      <c r="A42" t="inlineStr">
        <is>
          <t>No</t>
        </is>
      </c>
      <c r="B42" t="inlineStr"/>
      <c r="C42" t="inlineStr"/>
      <c r="D42" t="inlineStr"/>
      <c r="E42" t="inlineStr">
        <is>
          <t>Time and money</t>
        </is>
      </c>
      <c r="F42" t="inlineStr">
        <is>
          <t>Cost / Finances</t>
        </is>
      </c>
      <c r="G42" t="inlineStr">
        <is>
          <t>Cost / Finances; Work Schedule / Time Off</t>
        </is>
      </c>
      <c r="H42" t="inlineStr"/>
      <c r="I42" t="inlineStr">
        <is>
          <t>HXP Can Directly Fix</t>
        </is>
      </c>
      <c r="J42" t="b">
        <v>0</v>
      </c>
      <c r="K42" t="n">
        <v>2</v>
      </c>
      <c r="L42" t="inlineStr"/>
      <c r="M42" t="inlineStr"/>
    </row>
    <row r="43">
      <c r="A43" t="inlineStr">
        <is>
          <t>No</t>
        </is>
      </c>
      <c r="B43" t="inlineStr"/>
      <c r="C43" t="inlineStr"/>
      <c r="D43" t="inlineStr"/>
      <c r="E43" t="inlineStr"/>
      <c r="F43" t="inlineStr"/>
      <c r="G43" t="inlineStr"/>
      <c r="H43" t="inlineStr"/>
      <c r="I43" t="inlineStr"/>
      <c r="J43" t="b">
        <v>0</v>
      </c>
      <c r="K43" t="n">
        <v>0</v>
      </c>
      <c r="L43" t="inlineStr"/>
      <c r="M43" t="inlineStr"/>
    </row>
    <row r="44">
      <c r="A44" t="inlineStr">
        <is>
          <t>No</t>
        </is>
      </c>
      <c r="B44" t="inlineStr"/>
      <c r="C44" t="inlineStr"/>
      <c r="D44" t="inlineStr"/>
      <c r="E44" t="inlineStr">
        <is>
          <t>Just the timing with life and having other kids at home.</t>
        </is>
      </c>
      <c r="F44" t="inlineStr">
        <is>
          <t>Work Schedule / Time Off</t>
        </is>
      </c>
      <c r="G44" t="inlineStr">
        <is>
          <t>Work Schedule / Time Off; Other Kids / Family at Home</t>
        </is>
      </c>
      <c r="H44" t="inlineStr"/>
      <c r="I44" t="inlineStr">
        <is>
          <t>HXP Can Influence</t>
        </is>
      </c>
      <c r="J44" t="b">
        <v>0</v>
      </c>
      <c r="K44" t="n">
        <v>2</v>
      </c>
      <c r="L44" t="inlineStr"/>
      <c r="M44" t="inlineStr"/>
    </row>
    <row r="45">
      <c r="A45" t="inlineStr">
        <is>
          <t>No</t>
        </is>
      </c>
      <c r="B45" t="inlineStr"/>
      <c r="C45" t="inlineStr"/>
      <c r="D45" t="inlineStr"/>
      <c r="E45" t="inlineStr">
        <is>
          <t>Other kids at home.</t>
        </is>
      </c>
      <c r="F45" t="inlineStr">
        <is>
          <t>Other Kids / Family at Home</t>
        </is>
      </c>
      <c r="G45" t="inlineStr">
        <is>
          <t>Other Kids / Family at Home</t>
        </is>
      </c>
      <c r="H45" t="inlineStr"/>
      <c r="I45" t="inlineStr">
        <is>
          <t>Family's Own Choice</t>
        </is>
      </c>
      <c r="J45" t="b">
        <v>0</v>
      </c>
      <c r="K45" t="n">
        <v>1</v>
      </c>
      <c r="L45" t="inlineStr"/>
      <c r="M45" t="inlineStr"/>
    </row>
    <row r="46">
      <c r="A46" t="inlineStr">
        <is>
          <t>No</t>
        </is>
      </c>
      <c r="B46" t="inlineStr"/>
      <c r="C46" t="inlineStr"/>
      <c r="D46" t="inlineStr"/>
      <c r="E46" t="inlineStr">
        <is>
          <t>I want my son To have this experience alone.</t>
        </is>
      </c>
      <c r="F46" t="inlineStr">
        <is>
          <t>Wants Child to Have Independent Experience</t>
        </is>
      </c>
      <c r="G46" t="inlineStr">
        <is>
          <t>Wants Child to Have Independent Experience</t>
        </is>
      </c>
      <c r="H46" t="inlineStr"/>
      <c r="I46" t="inlineStr">
        <is>
          <t>Family's Own Choice</t>
        </is>
      </c>
      <c r="J46" t="b">
        <v>0</v>
      </c>
      <c r="K46" t="n">
        <v>1</v>
      </c>
      <c r="L46" t="inlineStr"/>
      <c r="M46" t="inlineStr"/>
    </row>
    <row r="47">
      <c r="A47" t="inlineStr">
        <is>
          <t>No</t>
        </is>
      </c>
      <c r="B47" t="inlineStr"/>
      <c r="C47" t="inlineStr"/>
      <c r="D47" t="inlineStr"/>
      <c r="E47" t="inlineStr">
        <is>
          <t>Wanted my son to be on his own</t>
        </is>
      </c>
      <c r="F47" t="inlineStr">
        <is>
          <t>Wants Child to Have Independent Experience</t>
        </is>
      </c>
      <c r="G47" t="inlineStr">
        <is>
          <t>Wants Child to Have Independent Experience</t>
        </is>
      </c>
      <c r="H47" t="inlineStr"/>
      <c r="I47" t="inlineStr">
        <is>
          <t>Family's Own Choice</t>
        </is>
      </c>
      <c r="J47" t="b">
        <v>0</v>
      </c>
      <c r="K47" t="n">
        <v>1</v>
      </c>
      <c r="L47" t="inlineStr"/>
      <c r="M47" t="inlineStr"/>
    </row>
    <row r="48">
      <c r="A48" t="inlineStr">
        <is>
          <t>Maybe</t>
        </is>
      </c>
      <c r="B48" t="inlineStr"/>
      <c r="C48" t="inlineStr"/>
      <c r="D48" t="inlineStr"/>
      <c r="E48" t="inlineStr"/>
      <c r="F48" t="inlineStr"/>
      <c r="G48" t="inlineStr"/>
      <c r="H48" t="inlineStr">
        <is>
          <t>If it was less expensive</t>
        </is>
      </c>
      <c r="I48" t="inlineStr"/>
      <c r="J48" t="b">
        <v>0</v>
      </c>
      <c r="K48" t="n">
        <v>0</v>
      </c>
      <c r="L48" t="inlineStr">
        <is>
          <t>Cost / Financial Assistance</t>
        </is>
      </c>
      <c r="M48" t="inlineStr">
        <is>
          <t>Cost / Financial Assistance</t>
        </is>
      </c>
    </row>
    <row r="49">
      <c r="A49" t="inlineStr">
        <is>
          <t>No</t>
        </is>
      </c>
      <c r="B49" t="inlineStr"/>
      <c r="C49" t="inlineStr"/>
      <c r="D49" t="inlineStr"/>
      <c r="E49" t="inlineStr">
        <is>
          <t>I wanted my daughter to have an experience where she needed to learn to rely on herself instead of her parents</t>
        </is>
      </c>
      <c r="F49" t="inlineStr">
        <is>
          <t>Wants Child to Have Independent Experience</t>
        </is>
      </c>
      <c r="G49" t="inlineStr">
        <is>
          <t>Wants Child to Have Independent Experience</t>
        </is>
      </c>
      <c r="H49" t="inlineStr"/>
      <c r="I49" t="inlineStr">
        <is>
          <t>Family's Own Choice</t>
        </is>
      </c>
      <c r="J49" t="b">
        <v>0</v>
      </c>
      <c r="K49" t="n">
        <v>1</v>
      </c>
      <c r="L49" t="inlineStr"/>
      <c r="M49" t="inlineStr"/>
    </row>
    <row r="50">
      <c r="A50" t="inlineStr">
        <is>
          <t>No</t>
        </is>
      </c>
      <c r="B50" t="inlineStr"/>
      <c r="C50" t="inlineStr"/>
      <c r="D50" t="inlineStr"/>
      <c r="E50" t="inlineStr">
        <is>
          <t>$$, otherwise, I'd love to go. We could only afford for our youth to go.</t>
        </is>
      </c>
      <c r="F50" t="inlineStr">
        <is>
          <t>Cost / Finances</t>
        </is>
      </c>
      <c r="G50" t="inlineStr">
        <is>
          <t>Cost / Finances</t>
        </is>
      </c>
      <c r="H50" t="inlineStr"/>
      <c r="I50" t="inlineStr">
        <is>
          <t>HXP Can Directly Fix</t>
        </is>
      </c>
      <c r="J50" t="b">
        <v>0</v>
      </c>
      <c r="K50" t="n">
        <v>1</v>
      </c>
      <c r="L50" t="inlineStr"/>
      <c r="M50" t="inlineStr"/>
    </row>
    <row r="51">
      <c r="A51" t="inlineStr">
        <is>
          <t>No</t>
        </is>
      </c>
      <c r="B51" t="inlineStr"/>
      <c r="C51" t="inlineStr"/>
      <c r="D51" t="inlineStr"/>
      <c r="E51" t="inlineStr">
        <is>
          <t>I want my son to have an independent experience away from parents.</t>
        </is>
      </c>
      <c r="F51" t="inlineStr">
        <is>
          <t>Wants Child to Have Independent Experience</t>
        </is>
      </c>
      <c r="G51" t="inlineStr">
        <is>
          <t>Wants Child to Have Independent Experience</t>
        </is>
      </c>
      <c r="H51" t="inlineStr"/>
      <c r="I51" t="inlineStr">
        <is>
          <t>Family's Own Choice</t>
        </is>
      </c>
      <c r="J51" t="b">
        <v>0</v>
      </c>
      <c r="K51" t="n">
        <v>1</v>
      </c>
      <c r="L51" t="inlineStr"/>
      <c r="M51" t="inlineStr"/>
    </row>
    <row r="52">
      <c r="A52" t="inlineStr">
        <is>
          <t>No</t>
        </is>
      </c>
      <c r="B52" t="inlineStr"/>
      <c r="C52" t="inlineStr"/>
      <c r="D52" t="inlineStr"/>
      <c r="E52" t="inlineStr"/>
      <c r="F52" t="inlineStr"/>
      <c r="G52" t="inlineStr"/>
      <c r="H52" t="inlineStr"/>
      <c r="I52" t="inlineStr"/>
      <c r="J52" t="b">
        <v>0</v>
      </c>
      <c r="K52" t="n">
        <v>0</v>
      </c>
      <c r="L52" t="inlineStr"/>
      <c r="M52" t="inlineStr"/>
    </row>
    <row r="53">
      <c r="A53" t="inlineStr">
        <is>
          <t>No</t>
        </is>
      </c>
      <c r="B53" t="inlineStr"/>
      <c r="C53" t="inlineStr"/>
      <c r="D53" t="inlineStr"/>
      <c r="E53" t="inlineStr">
        <is>
          <t>My husband and I have both been trip builders before. Our son wanted the experience of going without parents :)</t>
        </is>
      </c>
      <c r="F53" t="inlineStr">
        <is>
          <t>Wants Child to Have Independent Experience</t>
        </is>
      </c>
      <c r="G53" t="inlineStr">
        <is>
          <t>Wants Child to Have Independent Experience</t>
        </is>
      </c>
      <c r="H53" t="inlineStr"/>
      <c r="I53" t="inlineStr">
        <is>
          <t>Family's Own Choice</t>
        </is>
      </c>
      <c r="J53" t="b">
        <v>0</v>
      </c>
      <c r="K53" t="n">
        <v>1</v>
      </c>
      <c r="L53" t="inlineStr"/>
      <c r="M53" t="inlineStr"/>
    </row>
    <row r="54">
      <c r="A54" t="inlineStr">
        <is>
          <t>No</t>
        </is>
      </c>
      <c r="B54" t="inlineStr"/>
      <c r="C54" t="inlineStr"/>
      <c r="D54" t="inlineStr"/>
      <c r="E54" t="inlineStr">
        <is>
          <t>This is my son's experience. He always has his parents in tow on church functions.</t>
        </is>
      </c>
      <c r="F54" t="inlineStr">
        <is>
          <t>Wants Child to Have Independent Experience</t>
        </is>
      </c>
      <c r="G54" t="inlineStr">
        <is>
          <t>Wants Child to Have Independent Experience</t>
        </is>
      </c>
      <c r="H54" t="inlineStr"/>
      <c r="I54" t="inlineStr">
        <is>
          <t>Family's Own Choice</t>
        </is>
      </c>
      <c r="J54" t="b">
        <v>0</v>
      </c>
      <c r="K54" t="n">
        <v>1</v>
      </c>
      <c r="L54" t="inlineStr"/>
      <c r="M54" t="inlineStr"/>
    </row>
    <row r="55">
      <c r="A55" t="inlineStr">
        <is>
          <t>No</t>
        </is>
      </c>
      <c r="B55" t="inlineStr"/>
      <c r="C55" t="inlineStr"/>
      <c r="D55" t="inlineStr"/>
      <c r="E55" t="inlineStr">
        <is>
          <t>My child wanted to go alone</t>
        </is>
      </c>
      <c r="F55" t="inlineStr">
        <is>
          <t>Wants Child to Have Independent Experience</t>
        </is>
      </c>
      <c r="G55" t="inlineStr">
        <is>
          <t>Wants Child to Have Independent Experience</t>
        </is>
      </c>
      <c r="H55" t="inlineStr"/>
      <c r="I55" t="inlineStr">
        <is>
          <t>Family's Own Choice</t>
        </is>
      </c>
      <c r="J55" t="b">
        <v>0</v>
      </c>
      <c r="K55" t="n">
        <v>1</v>
      </c>
      <c r="L55" t="inlineStr"/>
      <c r="M55" t="inlineStr"/>
    </row>
    <row r="56">
      <c r="A56" t="inlineStr">
        <is>
          <t>No</t>
        </is>
      </c>
      <c r="B56" t="inlineStr"/>
      <c r="C56" t="inlineStr"/>
      <c r="D56" t="inlineStr"/>
      <c r="E56" t="inlineStr">
        <is>
          <t>My child</t>
        </is>
      </c>
      <c r="F56" t="inlineStr">
        <is>
          <t>Family's Own Choice (No Elaboration)</t>
        </is>
      </c>
      <c r="G56" t="inlineStr">
        <is>
          <t>Family's Own Choice (No Elaboration)</t>
        </is>
      </c>
      <c r="H56" t="inlineStr"/>
      <c r="I56" t="inlineStr">
        <is>
          <t>Family's Own Choice</t>
        </is>
      </c>
      <c r="J56" t="b">
        <v>0</v>
      </c>
      <c r="K56" t="n">
        <v>1</v>
      </c>
      <c r="L56" t="inlineStr"/>
      <c r="M56" t="inlineStr"/>
    </row>
    <row r="57">
      <c r="A57" t="inlineStr">
        <is>
          <t>No</t>
        </is>
      </c>
      <c r="B57" t="inlineStr"/>
      <c r="C57" t="inlineStr"/>
      <c r="D57" t="inlineStr"/>
      <c r="E57" t="inlineStr">
        <is>
          <t>I think my daughter was excited to do this on her own - without her dad or I having to be part of it.</t>
        </is>
      </c>
      <c r="F57" t="inlineStr">
        <is>
          <t>Wants Child to Have Independent Experience</t>
        </is>
      </c>
      <c r="G57" t="inlineStr">
        <is>
          <t>Wants Child to Have Independent Experience</t>
        </is>
      </c>
      <c r="H57" t="inlineStr"/>
      <c r="I57" t="inlineStr">
        <is>
          <t>Family's Own Choice</t>
        </is>
      </c>
      <c r="J57" t="b">
        <v>0</v>
      </c>
      <c r="K57" t="n">
        <v>1</v>
      </c>
      <c r="L57" t="inlineStr"/>
      <c r="M57" t="inlineStr"/>
    </row>
    <row r="58">
      <c r="A58" t="inlineStr">
        <is>
          <t>No</t>
        </is>
      </c>
      <c r="B58" t="inlineStr"/>
      <c r="C58" t="inlineStr"/>
      <c r="D58" t="inlineStr"/>
      <c r="E58" t="inlineStr">
        <is>
          <t>Timing &amp; cost</t>
        </is>
      </c>
      <c r="F58" t="inlineStr">
        <is>
          <t>Cost / Finances</t>
        </is>
      </c>
      <c r="G58" t="inlineStr">
        <is>
          <t>Cost / Finances; Work Schedule / Time Off</t>
        </is>
      </c>
      <c r="H58" t="inlineStr"/>
      <c r="I58" t="inlineStr">
        <is>
          <t>HXP Can Directly Fix</t>
        </is>
      </c>
      <c r="J58" t="b">
        <v>0</v>
      </c>
      <c r="K58" t="n">
        <v>2</v>
      </c>
      <c r="L58" t="inlineStr"/>
      <c r="M58" t="inlineStr"/>
    </row>
    <row r="59">
      <c r="A59" t="inlineStr">
        <is>
          <t>No</t>
        </is>
      </c>
      <c r="B59" t="inlineStr"/>
      <c r="C59" t="inlineStr"/>
      <c r="D59" t="inlineStr"/>
      <c r="E59" t="inlineStr">
        <is>
          <t>The expense</t>
        </is>
      </c>
      <c r="F59" t="inlineStr">
        <is>
          <t>Cost / Finances</t>
        </is>
      </c>
      <c r="G59" t="inlineStr">
        <is>
          <t>Cost / Finances</t>
        </is>
      </c>
      <c r="H59" t="inlineStr"/>
      <c r="I59" t="inlineStr">
        <is>
          <t>HXP Can Directly Fix</t>
        </is>
      </c>
      <c r="J59" t="b">
        <v>0</v>
      </c>
      <c r="K59" t="n">
        <v>1</v>
      </c>
      <c r="L59" t="inlineStr"/>
      <c r="M59" t="inlineStr"/>
    </row>
    <row r="60">
      <c r="A60" t="inlineStr">
        <is>
          <t>No</t>
        </is>
      </c>
      <c r="B60" t="inlineStr"/>
      <c r="C60" t="inlineStr"/>
      <c r="D60" t="inlineStr"/>
      <c r="E60" t="inlineStr">
        <is>
          <t>My daughter really wanted to have an independent experience and go on her own.</t>
        </is>
      </c>
      <c r="F60" t="inlineStr">
        <is>
          <t>Wants Child to Have Independent Experience</t>
        </is>
      </c>
      <c r="G60" t="inlineStr">
        <is>
          <t>Wants Child to Have Independent Experience</t>
        </is>
      </c>
      <c r="H60" t="inlineStr"/>
      <c r="I60" t="inlineStr">
        <is>
          <t>Family's Own Choice</t>
        </is>
      </c>
      <c r="J60" t="b">
        <v>0</v>
      </c>
      <c r="K60" t="n">
        <v>1</v>
      </c>
      <c r="L60" t="inlineStr"/>
      <c r="M60" t="inlineStr"/>
    </row>
    <row r="61">
      <c r="A61" t="inlineStr">
        <is>
          <t>No</t>
        </is>
      </c>
      <c r="B61" t="inlineStr"/>
      <c r="C61" t="inlineStr"/>
      <c r="D61" t="inlineStr"/>
      <c r="E61" t="inlineStr">
        <is>
          <t>Wanting to let my son have his own experience</t>
        </is>
      </c>
      <c r="F61" t="inlineStr">
        <is>
          <t>Wants Child to Have Independent Experience</t>
        </is>
      </c>
      <c r="G61" t="inlineStr">
        <is>
          <t>Wants Child to Have Independent Experience</t>
        </is>
      </c>
      <c r="H61" t="inlineStr"/>
      <c r="I61" t="inlineStr">
        <is>
          <t>Family's Own Choice</t>
        </is>
      </c>
      <c r="J61" t="b">
        <v>0</v>
      </c>
      <c r="K61" t="n">
        <v>1</v>
      </c>
      <c r="L61" t="inlineStr"/>
      <c r="M61" t="inlineStr"/>
    </row>
    <row r="62">
      <c r="A62" t="inlineStr">
        <is>
          <t>No</t>
        </is>
      </c>
      <c r="B62" t="inlineStr"/>
      <c r="C62" t="inlineStr"/>
      <c r="D62" t="inlineStr"/>
      <c r="E62" t="inlineStr">
        <is>
          <t>Time and money</t>
        </is>
      </c>
      <c r="F62" t="inlineStr">
        <is>
          <t>Cost / Finances</t>
        </is>
      </c>
      <c r="G62" t="inlineStr">
        <is>
          <t>Cost / Finances; Work Schedule / Time Off</t>
        </is>
      </c>
      <c r="H62" t="inlineStr"/>
      <c r="I62" t="inlineStr">
        <is>
          <t>HXP Can Directly Fix</t>
        </is>
      </c>
      <c r="J62" t="b">
        <v>0</v>
      </c>
      <c r="K62" t="n">
        <v>2</v>
      </c>
      <c r="L62" t="inlineStr"/>
      <c r="M62" t="inlineStr"/>
    </row>
    <row r="63">
      <c r="A63" t="inlineStr">
        <is>
          <t>No</t>
        </is>
      </c>
      <c r="B63" t="inlineStr"/>
      <c r="C63" t="inlineStr"/>
      <c r="D63" t="inlineStr"/>
      <c r="E63" t="inlineStr">
        <is>
          <t>Price</t>
        </is>
      </c>
      <c r="F63" t="inlineStr">
        <is>
          <t>Cost / Finances</t>
        </is>
      </c>
      <c r="G63" t="inlineStr">
        <is>
          <t>Cost / Finances</t>
        </is>
      </c>
      <c r="H63" t="inlineStr"/>
      <c r="I63" t="inlineStr">
        <is>
          <t>HXP Can Directly Fix</t>
        </is>
      </c>
      <c r="J63" t="b">
        <v>0</v>
      </c>
      <c r="K63" t="n">
        <v>1</v>
      </c>
      <c r="L63" t="inlineStr"/>
      <c r="M63" t="inlineStr"/>
    </row>
    <row r="64">
      <c r="A64" t="inlineStr">
        <is>
          <t>No</t>
        </is>
      </c>
      <c r="B64" t="inlineStr"/>
      <c r="C64" t="inlineStr"/>
      <c r="D64" t="inlineStr"/>
      <c r="E64" t="inlineStr">
        <is>
          <t>Availability</t>
        </is>
      </c>
      <c r="F64" t="inlineStr">
        <is>
          <t>Work Schedule / Time Off</t>
        </is>
      </c>
      <c r="G64" t="inlineStr">
        <is>
          <t>Work Schedule / Time Off</t>
        </is>
      </c>
      <c r="H64" t="inlineStr"/>
      <c r="I64" t="inlineStr">
        <is>
          <t>HXP Can Influence</t>
        </is>
      </c>
      <c r="J64" t="b">
        <v>0</v>
      </c>
      <c r="K64" t="n">
        <v>1</v>
      </c>
      <c r="L64" t="inlineStr"/>
      <c r="M64" t="inlineStr"/>
    </row>
    <row r="65">
      <c r="A65" t="inlineStr">
        <is>
          <t>Maybe</t>
        </is>
      </c>
      <c r="B65" t="inlineStr"/>
      <c r="C65" t="inlineStr"/>
      <c r="D65" t="inlineStr"/>
      <c r="E65" t="inlineStr"/>
      <c r="F65" t="inlineStr"/>
      <c r="G65" t="inlineStr"/>
      <c r="H65" t="inlineStr"/>
      <c r="I65" t="inlineStr"/>
      <c r="J65" t="b">
        <v>0</v>
      </c>
      <c r="K65" t="n">
        <v>0</v>
      </c>
      <c r="L65" t="inlineStr"/>
      <c r="M65" t="inlineStr"/>
    </row>
    <row r="66">
      <c r="A66" t="inlineStr">
        <is>
          <t>No</t>
        </is>
      </c>
      <c r="B66" t="inlineStr"/>
      <c r="C66" t="inlineStr"/>
      <c r="D66" t="inlineStr"/>
      <c r="E66" t="inlineStr"/>
      <c r="F66" t="inlineStr"/>
      <c r="G66" t="inlineStr"/>
      <c r="H66" t="inlineStr"/>
      <c r="I66" t="inlineStr"/>
      <c r="J66" t="b">
        <v>0</v>
      </c>
      <c r="K66" t="n">
        <v>0</v>
      </c>
      <c r="L66" t="inlineStr"/>
      <c r="M66" t="inlineStr"/>
    </row>
    <row r="67">
      <c r="A67" t="inlineStr">
        <is>
          <t>No</t>
        </is>
      </c>
      <c r="B67" t="inlineStr"/>
      <c r="C67" t="inlineStr"/>
      <c r="D67" t="inlineStr"/>
      <c r="E67" t="inlineStr">
        <is>
          <t>My little kids at home.</t>
        </is>
      </c>
      <c r="F67" t="inlineStr">
        <is>
          <t>Other Kids / Family at Home</t>
        </is>
      </c>
      <c r="G67" t="inlineStr">
        <is>
          <t>Other Kids / Family at Home</t>
        </is>
      </c>
      <c r="H67" t="inlineStr"/>
      <c r="I67" t="inlineStr">
        <is>
          <t>Family's Own Choice</t>
        </is>
      </c>
      <c r="J67" t="b">
        <v>0</v>
      </c>
      <c r="K67" t="n">
        <v>1</v>
      </c>
      <c r="L67" t="inlineStr"/>
      <c r="M67" t="inlineStr"/>
    </row>
    <row r="68">
      <c r="A68" t="inlineStr">
        <is>
          <t>No</t>
        </is>
      </c>
      <c r="B68" t="inlineStr"/>
      <c r="C68" t="inlineStr"/>
      <c r="D68" t="inlineStr"/>
      <c r="E68" t="inlineStr">
        <is>
          <t>My child wanted to go alone and I have younger children</t>
        </is>
      </c>
      <c r="F68" t="inlineStr">
        <is>
          <t>Other Kids / Family at Home</t>
        </is>
      </c>
      <c r="G68" t="inlineStr">
        <is>
          <t>Other Kids / Family at Home; Wants Child to Have Independent Experience</t>
        </is>
      </c>
      <c r="H68" t="inlineStr"/>
      <c r="I68" t="inlineStr">
        <is>
          <t>Family's Own Choice</t>
        </is>
      </c>
      <c r="J68" t="b">
        <v>0</v>
      </c>
      <c r="K68" t="n">
        <v>2</v>
      </c>
      <c r="L68" t="inlineStr"/>
      <c r="M68" t="inlineStr"/>
    </row>
    <row r="69">
      <c r="A69" t="inlineStr">
        <is>
          <t>No</t>
        </is>
      </c>
      <c r="B69" t="inlineStr"/>
      <c r="C69" t="inlineStr"/>
      <c r="D69" t="inlineStr"/>
      <c r="E69" t="inlineStr">
        <is>
          <t>Time away from work and wanted son to have his own experience.</t>
        </is>
      </c>
      <c r="F69" t="inlineStr">
        <is>
          <t>Work Schedule / Time Off</t>
        </is>
      </c>
      <c r="G69" t="inlineStr">
        <is>
          <t>Work Schedule / Time Off; Wants Child to Have Independent Experience</t>
        </is>
      </c>
      <c r="H69" t="inlineStr"/>
      <c r="I69" t="inlineStr">
        <is>
          <t>HXP Can Influence</t>
        </is>
      </c>
      <c r="J69" t="b">
        <v>0</v>
      </c>
      <c r="K69" t="n">
        <v>2</v>
      </c>
      <c r="L69" t="inlineStr"/>
      <c r="M69" t="inlineStr"/>
    </row>
    <row r="70">
      <c r="A70" t="inlineStr">
        <is>
          <t>Yes</t>
        </is>
      </c>
      <c r="B70" t="inlineStr">
        <is>
          <t>My wife went with our son last year.</t>
        </is>
      </c>
      <c r="C70" t="inlineStr">
        <is>
          <t>Previous Positive Experience</t>
        </is>
      </c>
      <c r="D70" t="inlineStr">
        <is>
          <t>Previous Positive Experience</t>
        </is>
      </c>
      <c r="E70" t="inlineStr"/>
      <c r="F70" t="inlineStr"/>
      <c r="G70" t="inlineStr"/>
      <c r="H70" t="inlineStr"/>
      <c r="I70" t="inlineStr"/>
      <c r="J70" t="b">
        <v>0</v>
      </c>
      <c r="K70" t="n">
        <v>0</v>
      </c>
      <c r="L70" t="inlineStr"/>
      <c r="M70" t="inlineStr"/>
    </row>
    <row r="71">
      <c r="A71" t="inlineStr">
        <is>
          <t>No</t>
        </is>
      </c>
      <c r="B71" t="inlineStr"/>
      <c r="C71" t="inlineStr"/>
      <c r="D71" t="inlineStr"/>
      <c r="E71" t="inlineStr">
        <is>
          <t>Wanted my daughter to have as much autonomy while on her trip.</t>
        </is>
      </c>
      <c r="F71" t="inlineStr">
        <is>
          <t>Wants Child to Have Independent Experience</t>
        </is>
      </c>
      <c r="G71" t="inlineStr">
        <is>
          <t>Wants Child to Have Independent Experience</t>
        </is>
      </c>
      <c r="H71" t="inlineStr"/>
      <c r="I71" t="inlineStr">
        <is>
          <t>Family's Own Choice</t>
        </is>
      </c>
      <c r="J71" t="b">
        <v>0</v>
      </c>
      <c r="K71" t="n">
        <v>1</v>
      </c>
      <c r="L71" t="inlineStr"/>
      <c r="M71" t="inlineStr"/>
    </row>
    <row r="72">
      <c r="A72" t="inlineStr">
        <is>
          <t>Yes</t>
        </is>
      </c>
      <c r="B72" t="inlineStr">
        <is>
          <t>Desire to spend time with my daughter doing something important, memorable and impactful.</t>
        </is>
      </c>
      <c r="C72" t="inlineStr">
        <is>
          <t>Wanted Shared Experience with Child</t>
        </is>
      </c>
      <c r="D72" t="inlineStr">
        <is>
          <t>Wanted Shared Experience with Child</t>
        </is>
      </c>
      <c r="E72" t="inlineStr"/>
      <c r="F72" t="inlineStr"/>
      <c r="G72" t="inlineStr"/>
      <c r="H72" t="inlineStr"/>
      <c r="I72" t="inlineStr"/>
      <c r="J72" t="b">
        <v>0</v>
      </c>
      <c r="K72" t="n">
        <v>0</v>
      </c>
      <c r="L72" t="inlineStr"/>
      <c r="M72" t="inlineStr"/>
    </row>
    <row r="73">
      <c r="A73" t="inlineStr">
        <is>
          <t>No</t>
        </is>
      </c>
      <c r="B73" t="inlineStr"/>
      <c r="C73" t="inlineStr"/>
      <c r="D73" t="inlineStr"/>
      <c r="E73" t="inlineStr">
        <is>
          <t>Work obligations</t>
        </is>
      </c>
      <c r="F73" t="inlineStr">
        <is>
          <t>Work Schedule / Time Off</t>
        </is>
      </c>
      <c r="G73" t="inlineStr">
        <is>
          <t>Work Schedule / Time Off</t>
        </is>
      </c>
      <c r="H73" t="inlineStr"/>
      <c r="I73" t="inlineStr">
        <is>
          <t>HXP Can Influence</t>
        </is>
      </c>
      <c r="J73" t="b">
        <v>0</v>
      </c>
      <c r="K73" t="n">
        <v>1</v>
      </c>
      <c r="L73" t="inlineStr"/>
      <c r="M73" t="inlineStr"/>
    </row>
    <row r="74">
      <c r="A74" t="inlineStr">
        <is>
          <t>No</t>
        </is>
      </c>
      <c r="B74" t="inlineStr"/>
      <c r="C74" t="inlineStr"/>
      <c r="D74" t="inlineStr"/>
      <c r="E74" t="inlineStr">
        <is>
          <t>Work</t>
        </is>
      </c>
      <c r="F74" t="inlineStr">
        <is>
          <t>Work Schedule / Time Off</t>
        </is>
      </c>
      <c r="G74" t="inlineStr">
        <is>
          <t>Work Schedule / Time Off</t>
        </is>
      </c>
      <c r="H74" t="inlineStr"/>
      <c r="I74" t="inlineStr">
        <is>
          <t>HXP Can Influence</t>
        </is>
      </c>
      <c r="J74" t="b">
        <v>0</v>
      </c>
      <c r="K74" t="n">
        <v>1</v>
      </c>
      <c r="L74" t="inlineStr"/>
      <c r="M74" t="inlineStr"/>
    </row>
    <row r="75">
      <c r="A75" t="inlineStr">
        <is>
          <t>No</t>
        </is>
      </c>
      <c r="B75" t="inlineStr"/>
      <c r="C75" t="inlineStr"/>
      <c r="D75" t="inlineStr"/>
      <c r="E75" t="inlineStr">
        <is>
          <t>My child needed to do this without a parent</t>
        </is>
      </c>
      <c r="F75" t="inlineStr">
        <is>
          <t>Wants Child to Have Independent Experience</t>
        </is>
      </c>
      <c r="G75" t="inlineStr">
        <is>
          <t>Wants Child to Have Independent Experience</t>
        </is>
      </c>
      <c r="H75" t="inlineStr"/>
      <c r="I75" t="inlineStr">
        <is>
          <t>Family's Own Choice</t>
        </is>
      </c>
      <c r="J75" t="b">
        <v>0</v>
      </c>
      <c r="K75" t="n">
        <v>1</v>
      </c>
      <c r="L75" t="inlineStr"/>
      <c r="M75" t="inlineStr"/>
    </row>
    <row r="76">
      <c r="A76" t="inlineStr">
        <is>
          <t>No</t>
        </is>
      </c>
      <c r="B76" t="inlineStr"/>
      <c r="C76" t="inlineStr"/>
      <c r="D76" t="inlineStr"/>
      <c r="E76" t="inlineStr">
        <is>
          <t>I don't enjoy being responsible for other people's kids</t>
        </is>
      </c>
      <c r="F76" t="inlineStr">
        <is>
          <t>Not a Traveler / Personal Preference</t>
        </is>
      </c>
      <c r="G76" t="inlineStr">
        <is>
          <t>Not a Traveler / Personal Preference</t>
        </is>
      </c>
      <c r="H76" t="inlineStr"/>
      <c r="I76" t="inlineStr">
        <is>
          <t>HXP Can Influence</t>
        </is>
      </c>
      <c r="J76" t="b">
        <v>0</v>
      </c>
      <c r="K76" t="n">
        <v>1</v>
      </c>
      <c r="L76" t="inlineStr"/>
      <c r="M76" t="inlineStr"/>
    </row>
    <row r="77">
      <c r="A77" t="inlineStr">
        <is>
          <t>Yes</t>
        </is>
      </c>
      <c r="B77" t="inlineStr">
        <is>
          <t>Desire to spend time with my son and to have an adventure.</t>
        </is>
      </c>
      <c r="C77" t="inlineStr">
        <is>
          <t>Wanted Shared Experience with Child</t>
        </is>
      </c>
      <c r="D77" t="inlineStr">
        <is>
          <t>Wanted Shared Experience with Child; Love of Travel / Culture</t>
        </is>
      </c>
      <c r="E77" t="inlineStr"/>
      <c r="F77" t="inlineStr"/>
      <c r="G77" t="inlineStr"/>
      <c r="H77" t="inlineStr"/>
      <c r="I77" t="inlineStr"/>
      <c r="J77" t="b">
        <v>0</v>
      </c>
      <c r="K77" t="n">
        <v>0</v>
      </c>
      <c r="L77" t="inlineStr"/>
      <c r="M77" t="inlineStr"/>
    </row>
    <row r="78">
      <c r="A78" t="inlineStr">
        <is>
          <t>No</t>
        </is>
      </c>
      <c r="B78" t="inlineStr"/>
      <c r="C78" t="inlineStr"/>
      <c r="D78" t="inlineStr"/>
      <c r="E78" t="inlineStr"/>
      <c r="F78" t="inlineStr"/>
      <c r="G78" t="inlineStr"/>
      <c r="H78" t="inlineStr"/>
      <c r="I78" t="inlineStr"/>
      <c r="J78" t="b">
        <v>0</v>
      </c>
      <c r="K78" t="n">
        <v>0</v>
      </c>
      <c r="L78" t="inlineStr"/>
      <c r="M78" t="inlineStr"/>
    </row>
    <row r="79">
      <c r="A79" t="inlineStr">
        <is>
          <t>No</t>
        </is>
      </c>
      <c r="B79" t="inlineStr"/>
      <c r="C79" t="inlineStr"/>
      <c r="D79" t="inlineStr"/>
      <c r="E79" t="inlineStr">
        <is>
          <t>My daughter didn't want us to go</t>
        </is>
      </c>
      <c r="F79" t="inlineStr">
        <is>
          <t>Child Didn't Want Parent to Come</t>
        </is>
      </c>
      <c r="G79" t="inlineStr">
        <is>
          <t>Child Didn't Want Parent to Come</t>
        </is>
      </c>
      <c r="H79" t="inlineStr"/>
      <c r="I79" t="inlineStr">
        <is>
          <t>Family's Own Choice</t>
        </is>
      </c>
      <c r="J79" t="b">
        <v>0</v>
      </c>
      <c r="K79" t="n">
        <v>1</v>
      </c>
      <c r="L79" t="inlineStr"/>
      <c r="M79" t="inlineStr"/>
    </row>
    <row r="80">
      <c r="A80" t="inlineStr">
        <is>
          <t>No</t>
        </is>
      </c>
      <c r="B80" t="inlineStr"/>
      <c r="C80" t="inlineStr"/>
      <c r="D80" t="inlineStr"/>
      <c r="E80" t="inlineStr">
        <is>
          <t>Personally not adventurous and comfortable</t>
        </is>
      </c>
      <c r="F80" t="inlineStr">
        <is>
          <t>Not a Traveler / Personal Preference</t>
        </is>
      </c>
      <c r="G80" t="inlineStr">
        <is>
          <t>Not a Traveler / Personal Preference</t>
        </is>
      </c>
      <c r="H80" t="inlineStr"/>
      <c r="I80" t="inlineStr">
        <is>
          <t>HXP Can Influence</t>
        </is>
      </c>
      <c r="J80" t="b">
        <v>0</v>
      </c>
      <c r="K80" t="n">
        <v>1</v>
      </c>
      <c r="L80" t="inlineStr"/>
      <c r="M80" t="inlineStr"/>
    </row>
    <row r="81">
      <c r="A81" t="inlineStr">
        <is>
          <t>Yes</t>
        </is>
      </c>
      <c r="B81" t="inlineStr">
        <is>
          <t>I wanted my son to go, and there was not a spot for him. The spot was freed up when I agreed to go as a parent builder. And I have a brother-in-law who went as a parent builder and had nothing but fantastic things to say about his experience.</t>
        </is>
      </c>
      <c r="C81" t="inlineStr">
        <is>
          <t>Wanted Shared Experience with Child</t>
        </is>
      </c>
      <c r="D81" t="inlineStr">
        <is>
          <t>Wanted Shared Experience with Child</t>
        </is>
      </c>
      <c r="E81" t="inlineStr"/>
      <c r="F81" t="inlineStr"/>
      <c r="G81" t="inlineStr"/>
      <c r="H81" t="inlineStr"/>
      <c r="I81" t="inlineStr"/>
      <c r="J81" t="b">
        <v>0</v>
      </c>
      <c r="K81" t="n">
        <v>0</v>
      </c>
      <c r="L81" t="inlineStr"/>
      <c r="M81" t="inlineStr"/>
    </row>
    <row r="82">
      <c r="A82" t="inlineStr">
        <is>
          <t>No</t>
        </is>
      </c>
      <c r="B82" t="inlineStr"/>
      <c r="C82" t="inlineStr"/>
      <c r="D82" t="inlineStr"/>
      <c r="E82" t="inlineStr">
        <is>
          <t>We thought it would be a better experience for him to go alone</t>
        </is>
      </c>
      <c r="F82" t="inlineStr">
        <is>
          <t>Wants Child to Have Independent Experience</t>
        </is>
      </c>
      <c r="G82" t="inlineStr">
        <is>
          <t>Wants Child to Have Independent Experience</t>
        </is>
      </c>
      <c r="H82" t="inlineStr"/>
      <c r="I82" t="inlineStr">
        <is>
          <t>Family's Own Choice</t>
        </is>
      </c>
      <c r="J82" t="b">
        <v>0</v>
      </c>
      <c r="K82" t="n">
        <v>1</v>
      </c>
      <c r="L82" t="inlineStr"/>
      <c r="M82" t="inlineStr"/>
    </row>
    <row r="83">
      <c r="A83" t="inlineStr">
        <is>
          <t>No</t>
        </is>
      </c>
      <c r="B83" t="inlineStr"/>
      <c r="C83" t="inlineStr"/>
      <c r="D83" t="inlineStr"/>
      <c r="E83" t="inlineStr">
        <is>
          <t>Big church callings have required us to always be at camps and other activities for our children. Our son needs a chance to be able to go out and experience life on his own without mom and dad there.</t>
        </is>
      </c>
      <c r="F83" t="inlineStr">
        <is>
          <t>Wants Child to Have Independent Experience</t>
        </is>
      </c>
      <c r="G83" t="inlineStr">
        <is>
          <t>Wants Child to Have Independent Experience; Other Life Commitment</t>
        </is>
      </c>
      <c r="H83" t="inlineStr"/>
      <c r="I83" t="inlineStr">
        <is>
          <t>Family's Own Choice</t>
        </is>
      </c>
      <c r="J83" t="b">
        <v>0</v>
      </c>
      <c r="K83" t="n">
        <v>2</v>
      </c>
      <c r="L83" t="inlineStr"/>
      <c r="M83" t="inlineStr"/>
    </row>
    <row r="84">
      <c r="A84" t="inlineStr">
        <is>
          <t>No</t>
        </is>
      </c>
      <c r="B84" t="inlineStr"/>
      <c r="C84" t="inlineStr"/>
      <c r="D84" t="inlineStr"/>
      <c r="E84" t="inlineStr">
        <is>
          <t>Busy schedule</t>
        </is>
      </c>
      <c r="F84" t="inlineStr">
        <is>
          <t>Work Schedule / Time Off</t>
        </is>
      </c>
      <c r="G84" t="inlineStr">
        <is>
          <t>Work Schedule / Time Off</t>
        </is>
      </c>
      <c r="H84" t="inlineStr"/>
      <c r="I84" t="inlineStr">
        <is>
          <t>HXP Can Influence</t>
        </is>
      </c>
      <c r="J84" t="b">
        <v>0</v>
      </c>
      <c r="K84" t="n">
        <v>1</v>
      </c>
      <c r="L84" t="inlineStr"/>
      <c r="M84" t="inlineStr"/>
    </row>
    <row r="85">
      <c r="A85" t="inlineStr">
        <is>
          <t>No</t>
        </is>
      </c>
      <c r="B85" t="inlineStr"/>
      <c r="C85" t="inlineStr"/>
      <c r="D85" t="inlineStr"/>
      <c r="E85" t="inlineStr">
        <is>
          <t>can't make it work with kids at home</t>
        </is>
      </c>
      <c r="F85" t="inlineStr">
        <is>
          <t>Work Schedule / Time Off</t>
        </is>
      </c>
      <c r="G85" t="inlineStr">
        <is>
          <t>Work Schedule / Time Off; Other Kids / Family at Home</t>
        </is>
      </c>
      <c r="H85" t="inlineStr"/>
      <c r="I85" t="inlineStr">
        <is>
          <t>HXP Can Influence</t>
        </is>
      </c>
      <c r="J85" t="b">
        <v>0</v>
      </c>
      <c r="K85" t="n">
        <v>2</v>
      </c>
      <c r="L85" t="inlineStr"/>
      <c r="M85" t="inlineStr"/>
    </row>
    <row r="86">
      <c r="A86" t="inlineStr">
        <is>
          <t>No</t>
        </is>
      </c>
      <c r="B86" t="inlineStr"/>
      <c r="C86" t="inlineStr"/>
      <c r="D86" t="inlineStr"/>
      <c r="E86" t="inlineStr">
        <is>
          <t>We wanted our daughter to have an experience on her own, I have been at every camp etc she has been to. :)</t>
        </is>
      </c>
      <c r="F86" t="inlineStr">
        <is>
          <t>Wants Child to Have Independent Experience</t>
        </is>
      </c>
      <c r="G86" t="inlineStr">
        <is>
          <t>Wants Child to Have Independent Experience</t>
        </is>
      </c>
      <c r="H86" t="inlineStr"/>
      <c r="I86" t="inlineStr">
        <is>
          <t>Family's Own Choice</t>
        </is>
      </c>
      <c r="J86" t="b">
        <v>0</v>
      </c>
      <c r="K86" t="n">
        <v>1</v>
      </c>
      <c r="L86" t="inlineStr"/>
      <c r="M86" t="inlineStr"/>
    </row>
    <row r="87">
      <c r="A87" t="inlineStr">
        <is>
          <t>No</t>
        </is>
      </c>
      <c r="B87" t="inlineStr"/>
      <c r="C87" t="inlineStr"/>
      <c r="D87" t="inlineStr"/>
      <c r="E87" t="inlineStr">
        <is>
          <t>Other kids at home</t>
        </is>
      </c>
      <c r="F87" t="inlineStr">
        <is>
          <t>Other Kids / Family at Home</t>
        </is>
      </c>
      <c r="G87" t="inlineStr">
        <is>
          <t>Other Kids / Family at Home</t>
        </is>
      </c>
      <c r="H87" t="inlineStr"/>
      <c r="I87" t="inlineStr">
        <is>
          <t>Family's Own Choice</t>
        </is>
      </c>
      <c r="J87" t="b">
        <v>0</v>
      </c>
      <c r="K87" t="n">
        <v>1</v>
      </c>
      <c r="L87" t="inlineStr"/>
      <c r="M87" t="inlineStr"/>
    </row>
    <row r="88">
      <c r="A88" t="inlineStr">
        <is>
          <t>No</t>
        </is>
      </c>
      <c r="B88" t="inlineStr"/>
      <c r="C88" t="inlineStr"/>
      <c r="D88" t="inlineStr"/>
      <c r="E88" t="inlineStr">
        <is>
          <t>Not the right season of my life. I still have little kids at home. I also think for my particular child she will have a better experience on her own.</t>
        </is>
      </c>
      <c r="F88" t="inlineStr">
        <is>
          <t>Other Kids / Family at Home</t>
        </is>
      </c>
      <c r="G88" t="inlineStr">
        <is>
          <t>Other Kids / Family at Home; Wants Child to Have Independent Experience</t>
        </is>
      </c>
      <c r="H88" t="inlineStr"/>
      <c r="I88" t="inlineStr">
        <is>
          <t>Family's Own Choice</t>
        </is>
      </c>
      <c r="J88" t="b">
        <v>0</v>
      </c>
      <c r="K88" t="n">
        <v>2</v>
      </c>
      <c r="L88" t="inlineStr"/>
      <c r="M88" t="inlineStr"/>
    </row>
    <row r="89">
      <c r="A89" t="inlineStr">
        <is>
          <t>No</t>
        </is>
      </c>
      <c r="B89" t="inlineStr"/>
      <c r="C89" t="inlineStr"/>
      <c r="D89" t="inlineStr"/>
      <c r="E89" t="inlineStr">
        <is>
          <t>Sibling had a great experience</t>
        </is>
      </c>
      <c r="F89" t="inlineStr">
        <is>
          <t>Other Kids / Family at Home</t>
        </is>
      </c>
      <c r="G89" t="inlineStr">
        <is>
          <t>Other Kids / Family at Home; Wants Child to Have Independent Experience</t>
        </is>
      </c>
      <c r="H89" t="inlineStr"/>
      <c r="I89" t="inlineStr">
        <is>
          <t>Family's Own Choice</t>
        </is>
      </c>
      <c r="J89" t="b">
        <v>0</v>
      </c>
      <c r="K89" t="n">
        <v>2</v>
      </c>
      <c r="L89" t="inlineStr"/>
      <c r="M89" t="inlineStr"/>
    </row>
    <row r="90">
      <c r="A90" t="inlineStr">
        <is>
          <t>No</t>
        </is>
      </c>
      <c r="B90" t="inlineStr"/>
      <c r="C90" t="inlineStr"/>
      <c r="D90" t="inlineStr"/>
      <c r="E90" t="inlineStr">
        <is>
          <t>Money. Also our child needs to learn to do things without his parents there.</t>
        </is>
      </c>
      <c r="F90" t="inlineStr">
        <is>
          <t>Cost / Finances</t>
        </is>
      </c>
      <c r="G90" t="inlineStr">
        <is>
          <t>Cost / Finances; Wants Child to Have Independent Experience</t>
        </is>
      </c>
      <c r="H90" t="inlineStr"/>
      <c r="I90" t="inlineStr">
        <is>
          <t>HXP Can Directly Fix</t>
        </is>
      </c>
      <c r="J90" t="b">
        <v>0</v>
      </c>
      <c r="K90" t="n">
        <v>2</v>
      </c>
      <c r="L90" t="inlineStr"/>
      <c r="M90" t="inlineStr"/>
    </row>
    <row r="91">
      <c r="A91" t="inlineStr">
        <is>
          <t>No</t>
        </is>
      </c>
      <c r="B91" t="inlineStr"/>
      <c r="C91" t="inlineStr"/>
      <c r="D91" t="inlineStr"/>
      <c r="E91" t="inlineStr">
        <is>
          <t>To the parent expo? I must not have been paying attention because I didn't know about it.</t>
        </is>
      </c>
      <c r="F91" t="inlineStr">
        <is>
          <t>Not Aware It Was an Option</t>
        </is>
      </c>
      <c r="G91" t="inlineStr">
        <is>
          <t>Not Aware It Was an Option</t>
        </is>
      </c>
      <c r="H91" t="inlineStr"/>
      <c r="I91" t="inlineStr">
        <is>
          <t>HXP Can Directly Fix</t>
        </is>
      </c>
      <c r="J91" t="b">
        <v>0</v>
      </c>
      <c r="K91" t="n">
        <v>1</v>
      </c>
      <c r="L91" t="inlineStr"/>
      <c r="M91" t="inlineStr"/>
    </row>
    <row r="92">
      <c r="A92" t="inlineStr">
        <is>
          <t>No</t>
        </is>
      </c>
      <c r="B92" t="inlineStr"/>
      <c r="C92" t="inlineStr"/>
      <c r="D92" t="inlineStr"/>
      <c r="E92" t="inlineStr">
        <is>
          <t>I want my son to learn that he can be independent of me and have his own experience</t>
        </is>
      </c>
      <c r="F92" t="inlineStr">
        <is>
          <t>Wants Child to Have Independent Experience</t>
        </is>
      </c>
      <c r="G92" t="inlineStr">
        <is>
          <t>Wants Child to Have Independent Experience</t>
        </is>
      </c>
      <c r="H92" t="inlineStr"/>
      <c r="I92" t="inlineStr">
        <is>
          <t>Family's Own Choice</t>
        </is>
      </c>
      <c r="J92" t="b">
        <v>0</v>
      </c>
      <c r="K92" t="n">
        <v>1</v>
      </c>
      <c r="L92" t="inlineStr"/>
      <c r="M92" t="inlineStr"/>
    </row>
    <row r="93">
      <c r="A93" t="inlineStr">
        <is>
          <t>No</t>
        </is>
      </c>
      <c r="B93" t="inlineStr"/>
      <c r="C93" t="inlineStr"/>
      <c r="D93" t="inlineStr"/>
      <c r="E93" t="inlineStr">
        <is>
          <t>I wanted my daughter to have an independent experience</t>
        </is>
      </c>
      <c r="F93" t="inlineStr">
        <is>
          <t>Wants Child to Have Independent Experience</t>
        </is>
      </c>
      <c r="G93" t="inlineStr">
        <is>
          <t>Wants Child to Have Independent Experience</t>
        </is>
      </c>
      <c r="H93" t="inlineStr"/>
      <c r="I93" t="inlineStr">
        <is>
          <t>Family's Own Choice</t>
        </is>
      </c>
      <c r="J93" t="b">
        <v>0</v>
      </c>
      <c r="K93" t="n">
        <v>1</v>
      </c>
      <c r="L93" t="inlineStr"/>
      <c r="M93" t="inlineStr"/>
    </row>
    <row r="94">
      <c r="A94" t="inlineStr">
        <is>
          <t>Yes</t>
        </is>
      </c>
      <c r="B94" t="inlineStr">
        <is>
          <t>My daughter wouldn't go with me</t>
        </is>
      </c>
      <c r="C94" t="inlineStr">
        <is>
          <t>Concerned About Child Going Alone / Safety</t>
        </is>
      </c>
      <c r="D94" t="inlineStr">
        <is>
          <t>Concerned About Child Going Alone / Safety</t>
        </is>
      </c>
      <c r="E94" t="inlineStr"/>
      <c r="F94" t="inlineStr"/>
      <c r="G94" t="inlineStr"/>
      <c r="H94" t="inlineStr"/>
      <c r="I94" t="inlineStr"/>
      <c r="J94" t="b">
        <v>0</v>
      </c>
      <c r="K94" t="n">
        <v>0</v>
      </c>
      <c r="L94" t="inlineStr"/>
      <c r="M94" t="inlineStr"/>
    </row>
    <row r="95">
      <c r="A95" t="inlineStr">
        <is>
          <t>No</t>
        </is>
      </c>
      <c r="B95" t="inlineStr"/>
      <c r="C95" t="inlineStr"/>
      <c r="D95" t="inlineStr"/>
      <c r="E95" t="inlineStr">
        <is>
          <t>learning to know and serve people who are having a different life experience from us.</t>
        </is>
      </c>
      <c r="F95" t="inlineStr">
        <is>
          <t>Wants Child to Have Independent Experience</t>
        </is>
      </c>
      <c r="G95" t="inlineStr">
        <is>
          <t>Wants Child to Have Independent Experience</t>
        </is>
      </c>
      <c r="H95" t="inlineStr"/>
      <c r="I95" t="inlineStr">
        <is>
          <t>Family's Own Choice</t>
        </is>
      </c>
      <c r="J95" t="b">
        <v>0</v>
      </c>
      <c r="K95" t="n">
        <v>1</v>
      </c>
      <c r="L95" t="inlineStr"/>
      <c r="M95" t="inlineStr"/>
    </row>
    <row r="96">
      <c r="A96" t="inlineStr">
        <is>
          <t>No</t>
        </is>
      </c>
      <c r="B96" t="inlineStr"/>
      <c r="C96" t="inlineStr"/>
      <c r="D96" t="inlineStr"/>
      <c r="E96" t="inlineStr">
        <is>
          <t>cost and family responsibility at home</t>
        </is>
      </c>
      <c r="F96" t="inlineStr">
        <is>
          <t>Cost / Finances</t>
        </is>
      </c>
      <c r="G96" t="inlineStr">
        <is>
          <t>Cost / Finances; Work Schedule / Time Off</t>
        </is>
      </c>
      <c r="H96" t="inlineStr"/>
      <c r="I96" t="inlineStr">
        <is>
          <t>HXP Can Directly Fix</t>
        </is>
      </c>
      <c r="J96" t="b">
        <v>0</v>
      </c>
      <c r="K96" t="n">
        <v>2</v>
      </c>
      <c r="L96" t="inlineStr"/>
      <c r="M96" t="inlineStr"/>
    </row>
    <row r="97">
      <c r="A97" t="inlineStr">
        <is>
          <t>No</t>
        </is>
      </c>
      <c r="B97" t="inlineStr"/>
      <c r="C97" t="inlineStr"/>
      <c r="D97" t="inlineStr"/>
      <c r="E97" t="inlineStr">
        <is>
          <t>Cost mainly. Also, we want our child to have an experience away from family.</t>
        </is>
      </c>
      <c r="F97" t="inlineStr">
        <is>
          <t>Cost / Finances</t>
        </is>
      </c>
      <c r="G97" t="inlineStr">
        <is>
          <t>Cost / Finances; Other Kids / Family at Home; Wants Child to Have Independent Experience</t>
        </is>
      </c>
      <c r="H97" t="inlineStr"/>
      <c r="I97" t="inlineStr">
        <is>
          <t>HXP Can Directly Fix</t>
        </is>
      </c>
      <c r="J97" t="b">
        <v>0</v>
      </c>
      <c r="K97" t="n">
        <v>3</v>
      </c>
      <c r="L97" t="inlineStr"/>
      <c r="M97" t="inlineStr"/>
    </row>
    <row r="98">
      <c r="A98" t="inlineStr">
        <is>
          <t>No</t>
        </is>
      </c>
      <c r="B98" t="inlineStr"/>
      <c r="C98" t="inlineStr"/>
      <c r="D98" t="inlineStr"/>
      <c r="E98" t="inlineStr">
        <is>
          <t>My husband is going with our daughter instead</t>
        </is>
      </c>
      <c r="F98" t="inlineStr">
        <is>
          <t>Another Family Member Going Instead</t>
        </is>
      </c>
      <c r="G98" t="inlineStr">
        <is>
          <t>Another Family Member Going Instead</t>
        </is>
      </c>
      <c r="H98" t="inlineStr"/>
      <c r="I98" t="inlineStr">
        <is>
          <t>Family's Own Choice</t>
        </is>
      </c>
      <c r="J98" t="b">
        <v>0</v>
      </c>
      <c r="K98" t="n">
        <v>1</v>
      </c>
      <c r="L98" t="inlineStr"/>
      <c r="M98" t="inlineStr"/>
    </row>
    <row r="99">
      <c r="A99" t="inlineStr">
        <is>
          <t>No</t>
        </is>
      </c>
      <c r="B99" t="inlineStr"/>
      <c r="C99" t="inlineStr"/>
      <c r="D99" t="inlineStr"/>
      <c r="E99" t="inlineStr">
        <is>
          <t>Time</t>
        </is>
      </c>
      <c r="F99" t="inlineStr">
        <is>
          <t>Work Schedule / Time Off</t>
        </is>
      </c>
      <c r="G99" t="inlineStr">
        <is>
          <t>Work Schedule / Time Off</t>
        </is>
      </c>
      <c r="H99" t="inlineStr"/>
      <c r="I99" t="inlineStr">
        <is>
          <t>HXP Can Influence</t>
        </is>
      </c>
      <c r="J99" t="b">
        <v>0</v>
      </c>
      <c r="K99" t="n">
        <v>1</v>
      </c>
      <c r="L99" t="inlineStr"/>
      <c r="M99" t="inlineStr"/>
    </row>
    <row r="100">
      <c r="A100" t="inlineStr">
        <is>
          <t>No</t>
        </is>
      </c>
      <c r="B100" t="inlineStr"/>
      <c r="C100" t="inlineStr"/>
      <c r="D100" t="inlineStr"/>
      <c r="E100" t="inlineStr">
        <is>
          <t>money and time</t>
        </is>
      </c>
      <c r="F100" t="inlineStr">
        <is>
          <t>Cost / Finances</t>
        </is>
      </c>
      <c r="G100" t="inlineStr">
        <is>
          <t>Cost / Finances; Work Schedule / Time Off</t>
        </is>
      </c>
      <c r="H100" t="inlineStr"/>
      <c r="I100" t="inlineStr">
        <is>
          <t>HXP Can Directly Fix</t>
        </is>
      </c>
      <c r="J100" t="b">
        <v>0</v>
      </c>
      <c r="K100" t="n">
        <v>2</v>
      </c>
      <c r="L100" t="inlineStr"/>
      <c r="M100" t="inlineStr"/>
    </row>
    <row r="101">
      <c r="A101" t="inlineStr">
        <is>
          <t>No</t>
        </is>
      </c>
      <c r="B101" t="inlineStr"/>
      <c r="C101" t="inlineStr"/>
      <c r="D101" t="inlineStr"/>
      <c r="E101" t="inlineStr">
        <is>
          <t>I want my son to experience being away from his parents and make connections, make decisions and be his own person on the trip.</t>
        </is>
      </c>
      <c r="F101" t="inlineStr">
        <is>
          <t>Wants Child to Have Independent Experience</t>
        </is>
      </c>
      <c r="G101" t="inlineStr">
        <is>
          <t>Wants Child to Have Independent Experience</t>
        </is>
      </c>
      <c r="H101" t="inlineStr"/>
      <c r="I101" t="inlineStr">
        <is>
          <t>Family's Own Choice</t>
        </is>
      </c>
      <c r="J101" t="b">
        <v>0</v>
      </c>
      <c r="K101" t="n">
        <v>1</v>
      </c>
      <c r="L101" t="inlineStr"/>
      <c r="M101" t="inlineStr"/>
    </row>
    <row r="102">
      <c r="A102" t="inlineStr">
        <is>
          <t>No</t>
        </is>
      </c>
      <c r="B102" t="inlineStr"/>
      <c r="C102" t="inlineStr"/>
      <c r="D102" t="inlineStr"/>
      <c r="E102" t="inlineStr">
        <is>
          <t>Too many kids back home to take care of.</t>
        </is>
      </c>
      <c r="F102" t="inlineStr">
        <is>
          <t>Other Kids / Family at Home</t>
        </is>
      </c>
      <c r="G102" t="inlineStr">
        <is>
          <t>Other Kids / Family at Home</t>
        </is>
      </c>
      <c r="H102" t="inlineStr"/>
      <c r="I102" t="inlineStr">
        <is>
          <t>Family's Own Choice</t>
        </is>
      </c>
      <c r="J102" t="b">
        <v>0</v>
      </c>
      <c r="K102" t="n">
        <v>1</v>
      </c>
      <c r="L102" t="inlineStr"/>
      <c r="M102" t="inlineStr"/>
    </row>
    <row r="103">
      <c r="A103" t="inlineStr">
        <is>
          <t>No</t>
        </is>
      </c>
      <c r="B103" t="inlineStr"/>
      <c r="C103" t="inlineStr"/>
      <c r="D103" t="inlineStr"/>
      <c r="E103" t="inlineStr">
        <is>
          <t>Time commitment, availability, and I want my son to have an experience away from me</t>
        </is>
      </c>
      <c r="F103" t="inlineStr">
        <is>
          <t>Work Schedule / Time Off</t>
        </is>
      </c>
      <c r="G103" t="inlineStr">
        <is>
          <t>Work Schedule / Time Off; Wants Child to Have Independent Experience</t>
        </is>
      </c>
      <c r="H103" t="inlineStr"/>
      <c r="I103" t="inlineStr">
        <is>
          <t>HXP Can Influence</t>
        </is>
      </c>
      <c r="J103" t="b">
        <v>0</v>
      </c>
      <c r="K103" t="n">
        <v>2</v>
      </c>
      <c r="L103" t="inlineStr"/>
      <c r="M103" t="inlineStr"/>
    </row>
    <row r="104">
      <c r="A104" t="inlineStr">
        <is>
          <t>No</t>
        </is>
      </c>
      <c r="B104" t="inlineStr"/>
      <c r="C104" t="inlineStr"/>
      <c r="D104" t="inlineStr"/>
      <c r="E104" t="inlineStr">
        <is>
          <t>Costs. My husband went before and loved it. If it wasn't so expensive I would have gone!</t>
        </is>
      </c>
      <c r="F104" t="inlineStr">
        <is>
          <t>Cost / Finances</t>
        </is>
      </c>
      <c r="G104" t="inlineStr">
        <is>
          <t>Cost / Finances; Another Family Member Going Instead</t>
        </is>
      </c>
      <c r="H104" t="inlineStr"/>
      <c r="I104" t="inlineStr">
        <is>
          <t>HXP Can Directly Fix</t>
        </is>
      </c>
      <c r="J104" t="b">
        <v>0</v>
      </c>
      <c r="K104" t="n">
        <v>2</v>
      </c>
      <c r="L104" t="inlineStr"/>
      <c r="M104" t="inlineStr"/>
    </row>
    <row r="105">
      <c r="A105" t="inlineStr">
        <is>
          <t>No</t>
        </is>
      </c>
      <c r="B105" t="inlineStr"/>
      <c r="C105" t="inlineStr"/>
      <c r="D105" t="inlineStr"/>
      <c r="E105" t="inlineStr">
        <is>
          <t>I'm not good with teenagers</t>
        </is>
      </c>
      <c r="F105" t="inlineStr">
        <is>
          <t>Not a Traveler / Personal Preference</t>
        </is>
      </c>
      <c r="G105" t="inlineStr">
        <is>
          <t>Not a Traveler / Personal Preference</t>
        </is>
      </c>
      <c r="H105" t="inlineStr"/>
      <c r="I105" t="inlineStr">
        <is>
          <t>HXP Can Influence</t>
        </is>
      </c>
      <c r="J105" t="b">
        <v>0</v>
      </c>
      <c r="K105" t="n">
        <v>1</v>
      </c>
      <c r="L105" t="inlineStr"/>
      <c r="M105" t="inlineStr"/>
    </row>
    <row r="106">
      <c r="A106" t="inlineStr">
        <is>
          <t>No</t>
        </is>
      </c>
      <c r="B106" t="inlineStr"/>
      <c r="C106" t="inlineStr"/>
      <c r="D106" t="inlineStr"/>
      <c r="E106" t="inlineStr">
        <is>
          <t>I think the experience will be fuller without mom or dad there.</t>
        </is>
      </c>
      <c r="F106" t="inlineStr">
        <is>
          <t>Wants Child to Have Independent Experience</t>
        </is>
      </c>
      <c r="G106" t="inlineStr">
        <is>
          <t>Wants Child to Have Independent Experience</t>
        </is>
      </c>
      <c r="H106" t="inlineStr"/>
      <c r="I106" t="inlineStr">
        <is>
          <t>Family's Own Choice</t>
        </is>
      </c>
      <c r="J106" t="b">
        <v>0</v>
      </c>
      <c r="K106" t="n">
        <v>1</v>
      </c>
      <c r="L106" t="inlineStr"/>
      <c r="M106" t="inlineStr"/>
    </row>
    <row r="107">
      <c r="A107" t="inlineStr">
        <is>
          <t>Yes</t>
        </is>
      </c>
      <c r="B107" t="inlineStr">
        <is>
          <t>The destination country and the service opportunity</t>
        </is>
      </c>
      <c r="C107" t="inlineStr">
        <is>
          <t>Faith / Service Motivation</t>
        </is>
      </c>
      <c r="D107" t="inlineStr">
        <is>
          <t>Faith / Service Motivation</t>
        </is>
      </c>
      <c r="E107" t="inlineStr"/>
      <c r="F107" t="inlineStr"/>
      <c r="G107" t="inlineStr"/>
      <c r="H107" t="inlineStr"/>
      <c r="I107" t="inlineStr"/>
      <c r="J107" t="b">
        <v>0</v>
      </c>
      <c r="K107" t="n">
        <v>0</v>
      </c>
      <c r="L107" t="inlineStr"/>
      <c r="M107" t="inlineStr"/>
    </row>
    <row r="108">
      <c r="A108" t="inlineStr">
        <is>
          <t>No</t>
        </is>
      </c>
      <c r="B108" t="inlineStr"/>
      <c r="C108" t="inlineStr"/>
      <c r="D108" t="inlineStr"/>
      <c r="E108" t="inlineStr">
        <is>
          <t>Work</t>
        </is>
      </c>
      <c r="F108" t="inlineStr">
        <is>
          <t>Work Schedule / Time Off</t>
        </is>
      </c>
      <c r="G108" t="inlineStr">
        <is>
          <t>Work Schedule / Time Off</t>
        </is>
      </c>
      <c r="H108" t="inlineStr"/>
      <c r="I108" t="inlineStr">
        <is>
          <t>HXP Can Influence</t>
        </is>
      </c>
      <c r="J108" t="b">
        <v>0</v>
      </c>
      <c r="K108" t="n">
        <v>1</v>
      </c>
      <c r="L108" t="inlineStr"/>
      <c r="M108" t="inlineStr"/>
    </row>
    <row r="109">
      <c r="A109" t="inlineStr">
        <is>
          <t>No</t>
        </is>
      </c>
      <c r="B109" t="inlineStr"/>
      <c r="C109" t="inlineStr"/>
      <c r="D109" t="inlineStr"/>
      <c r="E109" t="inlineStr">
        <is>
          <t>Money</t>
        </is>
      </c>
      <c r="F109" t="inlineStr">
        <is>
          <t>Cost / Finances</t>
        </is>
      </c>
      <c r="G109" t="inlineStr">
        <is>
          <t>Cost / Finances</t>
        </is>
      </c>
      <c r="H109" t="inlineStr"/>
      <c r="I109" t="inlineStr">
        <is>
          <t>HXP Can Directly Fix</t>
        </is>
      </c>
      <c r="J109" t="b">
        <v>0</v>
      </c>
      <c r="K109" t="n">
        <v>1</v>
      </c>
      <c r="L109" t="inlineStr"/>
      <c r="M109" t="inlineStr"/>
    </row>
    <row r="110">
      <c r="A110" t="inlineStr">
        <is>
          <t>Maybe</t>
        </is>
      </c>
      <c r="B110" t="inlineStr"/>
      <c r="C110" t="inlineStr"/>
      <c r="D110" t="inlineStr"/>
      <c r="E110" t="inlineStr"/>
      <c r="F110" t="inlineStr"/>
      <c r="G110" t="inlineStr"/>
      <c r="H110" t="inlineStr">
        <is>
          <t>Cost and destination choice.</t>
        </is>
      </c>
      <c r="I110" t="inlineStr"/>
      <c r="J110" t="b">
        <v>0</v>
      </c>
      <c r="K110" t="n">
        <v>0</v>
      </c>
      <c r="L110" t="inlineStr">
        <is>
          <t>Cost / Financial Assistance</t>
        </is>
      </c>
      <c r="M110" t="inlineStr">
        <is>
          <t>Cost / Financial Assistance</t>
        </is>
      </c>
    </row>
    <row r="111">
      <c r="A111" t="inlineStr">
        <is>
          <t>No</t>
        </is>
      </c>
      <c r="B111" t="inlineStr"/>
      <c r="C111" t="inlineStr"/>
      <c r="D111" t="inlineStr"/>
      <c r="E111" t="inlineStr"/>
      <c r="F111" t="inlineStr"/>
      <c r="G111" t="inlineStr"/>
      <c r="H111" t="inlineStr"/>
      <c r="I111" t="inlineStr"/>
      <c r="J111" t="b">
        <v>0</v>
      </c>
      <c r="K111" t="n">
        <v>0</v>
      </c>
      <c r="L111" t="inlineStr"/>
      <c r="M111" t="inlineStr"/>
    </row>
    <row r="112">
      <c r="A112" t="inlineStr">
        <is>
          <t>No</t>
        </is>
      </c>
      <c r="B112" t="inlineStr"/>
      <c r="C112" t="inlineStr"/>
      <c r="D112" t="inlineStr"/>
      <c r="E112" t="inlineStr">
        <is>
          <t>Mostly financial… also wanted her to get to do something independently</t>
        </is>
      </c>
      <c r="F112" t="inlineStr">
        <is>
          <t>Cost / Finances</t>
        </is>
      </c>
      <c r="G112" t="inlineStr">
        <is>
          <t>Cost / Finances; Wants Child to Have Independent Experience</t>
        </is>
      </c>
      <c r="H112" t="inlineStr"/>
      <c r="I112" t="inlineStr">
        <is>
          <t>HXP Can Directly Fix</t>
        </is>
      </c>
      <c r="J112" t="b">
        <v>0</v>
      </c>
      <c r="K112" t="n">
        <v>2</v>
      </c>
      <c r="L112" t="inlineStr"/>
      <c r="M112" t="inlineStr"/>
    </row>
    <row r="113">
      <c r="A113" t="inlineStr">
        <is>
          <t>No</t>
        </is>
      </c>
      <c r="B113" t="inlineStr"/>
      <c r="C113" t="inlineStr"/>
      <c r="D113" t="inlineStr"/>
      <c r="E113" t="inlineStr">
        <is>
          <t>Felt my daughter needed the chance to go out on her own</t>
        </is>
      </c>
      <c r="F113" t="inlineStr">
        <is>
          <t>Wants Child to Have Independent Experience</t>
        </is>
      </c>
      <c r="G113" t="inlineStr">
        <is>
          <t>Wants Child to Have Independent Experience</t>
        </is>
      </c>
      <c r="H113" t="inlineStr"/>
      <c r="I113" t="inlineStr">
        <is>
          <t>Family's Own Choice</t>
        </is>
      </c>
      <c r="J113" t="b">
        <v>0</v>
      </c>
      <c r="K113" t="n">
        <v>1</v>
      </c>
      <c r="L113" t="inlineStr"/>
      <c r="M113" t="inlineStr"/>
    </row>
    <row r="114">
      <c r="A114" t="inlineStr">
        <is>
          <t>Yes</t>
        </is>
      </c>
      <c r="B114" t="inlineStr">
        <is>
          <t>My sibling went. Health concerns for my child.</t>
        </is>
      </c>
      <c r="C114" t="inlineStr">
        <is>
          <t>Concerned About Child Going Alone / Safety</t>
        </is>
      </c>
      <c r="D114" t="inlineStr">
        <is>
          <t>Concerned About Child Going Alone / Safety</t>
        </is>
      </c>
      <c r="E114" t="inlineStr"/>
      <c r="F114" t="inlineStr"/>
      <c r="G114" t="inlineStr"/>
      <c r="H114" t="inlineStr"/>
      <c r="I114" t="inlineStr"/>
      <c r="J114" t="b">
        <v>0</v>
      </c>
      <c r="K114" t="n">
        <v>0</v>
      </c>
      <c r="L114" t="inlineStr"/>
      <c r="M114" t="inlineStr"/>
    </row>
    <row r="115">
      <c r="A115" t="inlineStr">
        <is>
          <t>No</t>
        </is>
      </c>
      <c r="B115" t="inlineStr"/>
      <c r="C115" t="inlineStr"/>
      <c r="D115" t="inlineStr"/>
      <c r="E115" t="inlineStr">
        <is>
          <t>My daughter wanted this to be her experience.</t>
        </is>
      </c>
      <c r="F115" t="inlineStr">
        <is>
          <t>Wants Child to Have Independent Experience</t>
        </is>
      </c>
      <c r="G115" t="inlineStr">
        <is>
          <t>Wants Child to Have Independent Experience</t>
        </is>
      </c>
      <c r="H115" t="inlineStr"/>
      <c r="I115" t="inlineStr">
        <is>
          <t>Family's Own Choice</t>
        </is>
      </c>
      <c r="J115" t="b">
        <v>0</v>
      </c>
      <c r="K115" t="n">
        <v>1</v>
      </c>
      <c r="L115" t="inlineStr"/>
      <c r="M115" t="inlineStr"/>
    </row>
    <row r="116">
      <c r="A116" t="inlineStr">
        <is>
          <t>No</t>
        </is>
      </c>
      <c r="B116" t="inlineStr"/>
      <c r="C116" t="inlineStr"/>
      <c r="D116" t="inlineStr"/>
      <c r="E116" t="inlineStr"/>
      <c r="F116" t="inlineStr"/>
      <c r="G116" t="inlineStr"/>
      <c r="H116" t="inlineStr"/>
      <c r="I116" t="inlineStr"/>
      <c r="J116" t="b">
        <v>0</v>
      </c>
      <c r="K116" t="n">
        <v>0</v>
      </c>
      <c r="L116" t="inlineStr"/>
      <c r="M116" t="inlineStr"/>
    </row>
    <row r="117">
      <c r="A117" t="inlineStr">
        <is>
          <t>No</t>
        </is>
      </c>
      <c r="B117" t="inlineStr"/>
      <c r="C117" t="inlineStr"/>
      <c r="D117" t="inlineStr"/>
      <c r="E117" t="inlineStr">
        <is>
          <t>I have other kids at home and too many obligations to leave</t>
        </is>
      </c>
      <c r="F117" t="inlineStr">
        <is>
          <t>Work Schedule / Time Off</t>
        </is>
      </c>
      <c r="G117" t="inlineStr">
        <is>
          <t>Work Schedule / Time Off; Other Kids / Family at Home</t>
        </is>
      </c>
      <c r="H117" t="inlineStr"/>
      <c r="I117" t="inlineStr">
        <is>
          <t>HXP Can Influence</t>
        </is>
      </c>
      <c r="J117" t="b">
        <v>0</v>
      </c>
      <c r="K117" t="n">
        <v>2</v>
      </c>
      <c r="L117" t="inlineStr"/>
      <c r="M117" t="inlineStr"/>
    </row>
    <row r="118">
      <c r="A118" t="inlineStr">
        <is>
          <t>No</t>
        </is>
      </c>
      <c r="B118" t="inlineStr"/>
      <c r="C118" t="inlineStr"/>
      <c r="D118" t="inlineStr"/>
      <c r="E118" t="inlineStr">
        <is>
          <t>cost</t>
        </is>
      </c>
      <c r="F118" t="inlineStr">
        <is>
          <t>Cost / Finances</t>
        </is>
      </c>
      <c r="G118" t="inlineStr">
        <is>
          <t>Cost / Finances</t>
        </is>
      </c>
      <c r="H118" t="inlineStr"/>
      <c r="I118" t="inlineStr">
        <is>
          <t>HXP Can Directly Fix</t>
        </is>
      </c>
      <c r="J118" t="b">
        <v>0</v>
      </c>
      <c r="K118" t="n">
        <v>1</v>
      </c>
      <c r="L118" t="inlineStr"/>
      <c r="M118" t="inlineStr"/>
    </row>
    <row r="119">
      <c r="A119" t="inlineStr">
        <is>
          <t>No</t>
        </is>
      </c>
      <c r="B119" t="inlineStr"/>
      <c r="C119" t="inlineStr"/>
      <c r="D119" t="inlineStr"/>
      <c r="E119" t="inlineStr">
        <is>
          <t>Child wants to be independent and want to give them that opportunity.</t>
        </is>
      </c>
      <c r="F119" t="inlineStr">
        <is>
          <t>Wants Child to Have Independent Experience</t>
        </is>
      </c>
      <c r="G119" t="inlineStr">
        <is>
          <t>Wants Child to Have Independent Experience</t>
        </is>
      </c>
      <c r="H119" t="inlineStr"/>
      <c r="I119" t="inlineStr">
        <is>
          <t>Family's Own Choice</t>
        </is>
      </c>
      <c r="J119" t="b">
        <v>0</v>
      </c>
      <c r="K119" t="n">
        <v>1</v>
      </c>
      <c r="L119" t="inlineStr"/>
      <c r="M119" t="inlineStr"/>
    </row>
    <row r="120">
      <c r="A120" t="inlineStr">
        <is>
          <t>No</t>
        </is>
      </c>
      <c r="B120" t="inlineStr"/>
      <c r="C120" t="inlineStr"/>
      <c r="D120" t="inlineStr"/>
      <c r="E120" t="inlineStr"/>
      <c r="F120" t="inlineStr"/>
      <c r="G120" t="inlineStr"/>
      <c r="H120" t="inlineStr"/>
      <c r="I120" t="inlineStr"/>
      <c r="J120" t="b">
        <v>0</v>
      </c>
      <c r="K120" t="n">
        <v>0</v>
      </c>
      <c r="L120" t="inlineStr"/>
      <c r="M120" t="inlineStr"/>
    </row>
    <row r="121">
      <c r="A121" t="inlineStr">
        <is>
          <t>No</t>
        </is>
      </c>
      <c r="B121" t="inlineStr"/>
      <c r="C121" t="inlineStr"/>
      <c r="D121" t="inlineStr"/>
      <c r="E121" t="inlineStr">
        <is>
          <t>Money.</t>
        </is>
      </c>
      <c r="F121" t="inlineStr">
        <is>
          <t>Cost / Finances</t>
        </is>
      </c>
      <c r="G121" t="inlineStr">
        <is>
          <t>Cost / Finances</t>
        </is>
      </c>
      <c r="H121" t="inlineStr"/>
      <c r="I121" t="inlineStr">
        <is>
          <t>HXP Can Directly Fix</t>
        </is>
      </c>
      <c r="J121" t="b">
        <v>0</v>
      </c>
      <c r="K121" t="n">
        <v>1</v>
      </c>
      <c r="L121" t="inlineStr"/>
      <c r="M121" t="inlineStr"/>
    </row>
    <row r="122">
      <c r="A122" t="inlineStr">
        <is>
          <t>No</t>
        </is>
      </c>
      <c r="B122" t="inlineStr"/>
      <c r="C122" t="inlineStr"/>
      <c r="D122" t="inlineStr"/>
      <c r="E122" t="inlineStr"/>
      <c r="F122" t="inlineStr"/>
      <c r="G122" t="inlineStr"/>
      <c r="H122" t="inlineStr"/>
      <c r="I122" t="inlineStr"/>
      <c r="J122" t="b">
        <v>0</v>
      </c>
      <c r="K122" t="n">
        <v>0</v>
      </c>
      <c r="L122" t="inlineStr"/>
      <c r="M122" t="inlineStr"/>
    </row>
    <row r="123">
      <c r="A123" t="inlineStr">
        <is>
          <t>No</t>
        </is>
      </c>
      <c r="B123" t="inlineStr"/>
      <c r="C123" t="inlineStr"/>
      <c r="D123" t="inlineStr"/>
      <c r="E123" t="inlineStr">
        <is>
          <t>Work and family responsibilities</t>
        </is>
      </c>
      <c r="F123" t="inlineStr">
        <is>
          <t>Work Schedule / Time Off</t>
        </is>
      </c>
      <c r="G123" t="inlineStr">
        <is>
          <t>Work Schedule / Time Off</t>
        </is>
      </c>
      <c r="H123" t="inlineStr"/>
      <c r="I123" t="inlineStr">
        <is>
          <t>HXP Can Influence</t>
        </is>
      </c>
      <c r="J123" t="b">
        <v>0</v>
      </c>
      <c r="K123" t="n">
        <v>1</v>
      </c>
      <c r="L123" t="inlineStr"/>
      <c r="M123" t="inlineStr"/>
    </row>
    <row r="124">
      <c r="A124" t="inlineStr">
        <is>
          <t>No</t>
        </is>
      </c>
      <c r="B124" t="inlineStr"/>
      <c r="C124" t="inlineStr"/>
      <c r="D124" t="inlineStr"/>
      <c r="E124" t="inlineStr">
        <is>
          <t>the price was the main factor</t>
        </is>
      </c>
      <c r="F124" t="inlineStr">
        <is>
          <t>Cost / Finances</t>
        </is>
      </c>
      <c r="G124" t="inlineStr">
        <is>
          <t>Cost / Finances</t>
        </is>
      </c>
      <c r="H124" t="inlineStr"/>
      <c r="I124" t="inlineStr">
        <is>
          <t>HXP Can Directly Fix</t>
        </is>
      </c>
      <c r="J124" t="b">
        <v>0</v>
      </c>
      <c r="K124" t="n">
        <v>1</v>
      </c>
      <c r="L124" t="inlineStr"/>
      <c r="M124" t="inlineStr"/>
    </row>
    <row r="125">
      <c r="A125" t="inlineStr">
        <is>
          <t>Yes</t>
        </is>
      </c>
      <c r="B125" t="inlineStr">
        <is>
          <t>My son and wife asked me if I would like to participate as a Parent Builder... You don't say No to that kind of invitation... I was on it!</t>
        </is>
      </c>
      <c r="C125" t="inlineStr">
        <is>
          <t>Child/Spouse Asked Them to Go</t>
        </is>
      </c>
      <c r="D125" t="inlineStr">
        <is>
          <t>Child/Spouse Asked Them to Go</t>
        </is>
      </c>
      <c r="E125" t="inlineStr"/>
      <c r="F125" t="inlineStr"/>
      <c r="G125" t="inlineStr"/>
      <c r="H125" t="inlineStr"/>
      <c r="I125" t="inlineStr"/>
      <c r="J125" t="b">
        <v>0</v>
      </c>
      <c r="K125" t="n">
        <v>0</v>
      </c>
      <c r="L125" t="inlineStr"/>
      <c r="M125" t="inlineStr"/>
    </row>
    <row r="126">
      <c r="A126" t="inlineStr">
        <is>
          <t>No</t>
        </is>
      </c>
      <c r="B126" t="inlineStr"/>
      <c r="C126" t="inlineStr"/>
      <c r="D126" t="inlineStr"/>
      <c r="E126" t="inlineStr">
        <is>
          <t>Money and letting my daughter have her own experience</t>
        </is>
      </c>
      <c r="F126" t="inlineStr">
        <is>
          <t>Cost / Finances</t>
        </is>
      </c>
      <c r="G126" t="inlineStr">
        <is>
          <t>Cost / Finances; Wants Child to Have Independent Experience</t>
        </is>
      </c>
      <c r="H126" t="inlineStr"/>
      <c r="I126" t="inlineStr">
        <is>
          <t>HXP Can Directly Fix</t>
        </is>
      </c>
      <c r="J126" t="b">
        <v>0</v>
      </c>
      <c r="K126" t="n">
        <v>2</v>
      </c>
      <c r="L126" t="inlineStr"/>
      <c r="M126" t="inlineStr"/>
    </row>
    <row r="127">
      <c r="A127" t="inlineStr">
        <is>
          <t>Maybe</t>
        </is>
      </c>
      <c r="B127" t="inlineStr"/>
      <c r="C127" t="inlineStr"/>
      <c r="D127" t="inlineStr"/>
      <c r="E127" t="inlineStr"/>
      <c r="F127" t="inlineStr"/>
      <c r="G127" t="inlineStr"/>
      <c r="H127" t="inlineStr"/>
      <c r="I127" t="inlineStr"/>
      <c r="J127" t="b">
        <v>0</v>
      </c>
      <c r="K127" t="n">
        <v>0</v>
      </c>
      <c r="L127" t="inlineStr"/>
      <c r="M127" t="inlineStr"/>
    </row>
    <row r="128">
      <c r="A128" t="inlineStr">
        <is>
          <t>No</t>
        </is>
      </c>
      <c r="B128" t="inlineStr"/>
      <c r="C128" t="inlineStr"/>
      <c r="D128" t="inlineStr"/>
      <c r="E128" t="inlineStr">
        <is>
          <t>My daughter didn't want me to go with her</t>
        </is>
      </c>
      <c r="F128" t="inlineStr">
        <is>
          <t>Child Didn't Want Parent to Come</t>
        </is>
      </c>
      <c r="G128" t="inlineStr">
        <is>
          <t>Child Didn't Want Parent to Come</t>
        </is>
      </c>
      <c r="H128" t="inlineStr"/>
      <c r="I128" t="inlineStr">
        <is>
          <t>Family's Own Choice</t>
        </is>
      </c>
      <c r="J128" t="b">
        <v>0</v>
      </c>
      <c r="K128" t="n">
        <v>1</v>
      </c>
      <c r="L128" t="inlineStr"/>
      <c r="M128" t="inlineStr"/>
    </row>
    <row r="129">
      <c r="A129" t="inlineStr">
        <is>
          <t>No</t>
        </is>
      </c>
      <c r="B129" t="inlineStr"/>
      <c r="C129" t="inlineStr"/>
      <c r="D129" t="inlineStr"/>
      <c r="E129" t="inlineStr">
        <is>
          <t>My daughter did not want me to go</t>
        </is>
      </c>
      <c r="F129" t="inlineStr">
        <is>
          <t>Child Didn't Want Parent to Come</t>
        </is>
      </c>
      <c r="G129" t="inlineStr">
        <is>
          <t>Child Didn't Want Parent to Come</t>
        </is>
      </c>
      <c r="H129" t="inlineStr"/>
      <c r="I129" t="inlineStr">
        <is>
          <t>Family's Own Choice</t>
        </is>
      </c>
      <c r="J129" t="b">
        <v>0</v>
      </c>
      <c r="K129" t="n">
        <v>1</v>
      </c>
      <c r="L129" t="inlineStr"/>
      <c r="M129" t="inlineStr"/>
    </row>
    <row r="130">
      <c r="A130" t="inlineStr">
        <is>
          <t>No</t>
        </is>
      </c>
      <c r="B130" t="inlineStr"/>
      <c r="C130" t="inlineStr"/>
      <c r="D130" t="inlineStr"/>
      <c r="E130" t="inlineStr">
        <is>
          <t>Mom was already full</t>
        </is>
      </c>
      <c r="F130" t="inlineStr">
        <is>
          <t>Trip / Spot Was Already Full</t>
        </is>
      </c>
      <c r="G130" t="inlineStr">
        <is>
          <t>Trip / Spot Was Already Full; Another Family Member Going Instead</t>
        </is>
      </c>
      <c r="H130" t="inlineStr"/>
      <c r="I130" t="inlineStr">
        <is>
          <t>HXP Can Directly Fix</t>
        </is>
      </c>
      <c r="J130" t="b">
        <v>0</v>
      </c>
      <c r="K130" t="n">
        <v>2</v>
      </c>
      <c r="L130" t="inlineStr"/>
      <c r="M130" t="inlineStr"/>
    </row>
    <row r="131">
      <c r="A131" t="inlineStr">
        <is>
          <t>No</t>
        </is>
      </c>
      <c r="B131" t="inlineStr"/>
      <c r="C131" t="inlineStr"/>
      <c r="D131" t="inlineStr"/>
      <c r="E131" t="inlineStr">
        <is>
          <t>Cost of the trip was too expensive for both of us to go</t>
        </is>
      </c>
      <c r="F131" t="inlineStr">
        <is>
          <t>Cost / Finances</t>
        </is>
      </c>
      <c r="G131" t="inlineStr">
        <is>
          <t>Cost / Finances</t>
        </is>
      </c>
      <c r="H131" t="inlineStr"/>
      <c r="I131" t="inlineStr">
        <is>
          <t>HXP Can Directly Fix</t>
        </is>
      </c>
      <c r="J131" t="b">
        <v>0</v>
      </c>
      <c r="K131" t="n">
        <v>1</v>
      </c>
      <c r="L131" t="inlineStr"/>
      <c r="M131" t="inlineStr"/>
    </row>
    <row r="132">
      <c r="A132" t="inlineStr">
        <is>
          <t>Yes</t>
        </is>
      </c>
      <c r="B132" t="inlineStr">
        <is>
          <t>I love to travel and love what HXP does to help.</t>
        </is>
      </c>
      <c r="C132" t="inlineStr">
        <is>
          <t>Love of Travel / Culture</t>
        </is>
      </c>
      <c r="D132" t="inlineStr">
        <is>
          <t>Love of Travel / Culture</t>
        </is>
      </c>
      <c r="E132" t="inlineStr"/>
      <c r="F132" t="inlineStr"/>
      <c r="G132" t="inlineStr"/>
      <c r="H132" t="inlineStr"/>
      <c r="I132" t="inlineStr"/>
      <c r="J132" t="b">
        <v>0</v>
      </c>
      <c r="K132" t="n">
        <v>0</v>
      </c>
      <c r="L132" t="inlineStr"/>
      <c r="M132" t="inlineStr"/>
    </row>
    <row r="133">
      <c r="A133" t="inlineStr">
        <is>
          <t>No</t>
        </is>
      </c>
      <c r="B133" t="inlineStr"/>
      <c r="C133" t="inlineStr"/>
      <c r="D133" t="inlineStr"/>
      <c r="E133" t="inlineStr">
        <is>
          <t>Cost</t>
        </is>
      </c>
      <c r="F133" t="inlineStr">
        <is>
          <t>Cost / Finances</t>
        </is>
      </c>
      <c r="G133" t="inlineStr">
        <is>
          <t>Cost / Finances</t>
        </is>
      </c>
      <c r="H133" t="inlineStr"/>
      <c r="I133" t="inlineStr">
        <is>
          <t>HXP Can Directly Fix</t>
        </is>
      </c>
      <c r="J133" t="b">
        <v>0</v>
      </c>
      <c r="K133" t="n">
        <v>1</v>
      </c>
      <c r="L133" t="inlineStr"/>
      <c r="M133" t="inlineStr"/>
    </row>
    <row r="134">
      <c r="A134" t="inlineStr">
        <is>
          <t>No</t>
        </is>
      </c>
      <c r="B134" t="inlineStr"/>
      <c r="C134" t="inlineStr"/>
      <c r="D134" t="inlineStr"/>
      <c r="E134" t="inlineStr">
        <is>
          <t>3 other kids at home</t>
        </is>
      </c>
      <c r="F134" t="inlineStr">
        <is>
          <t>Other Kids / Family at Home</t>
        </is>
      </c>
      <c r="G134" t="inlineStr">
        <is>
          <t>Other Kids / Family at Home</t>
        </is>
      </c>
      <c r="H134" t="inlineStr"/>
      <c r="I134" t="inlineStr">
        <is>
          <t>Family's Own Choice</t>
        </is>
      </c>
      <c r="J134" t="b">
        <v>0</v>
      </c>
      <c r="K134" t="n">
        <v>1</v>
      </c>
      <c r="L134" t="inlineStr"/>
      <c r="M134" t="inlineStr"/>
    </row>
    <row r="135">
      <c r="A135" t="inlineStr">
        <is>
          <t>No</t>
        </is>
      </c>
      <c r="B135" t="inlineStr"/>
      <c r="C135" t="inlineStr"/>
      <c r="D135" t="inlineStr"/>
      <c r="E135" t="inlineStr"/>
      <c r="F135" t="inlineStr"/>
      <c r="G135" t="inlineStr"/>
      <c r="H135" t="inlineStr"/>
      <c r="I135" t="inlineStr"/>
      <c r="J135" t="b">
        <v>0</v>
      </c>
      <c r="K135" t="n">
        <v>0</v>
      </c>
      <c r="L135" t="inlineStr"/>
      <c r="M135" t="inlineStr"/>
    </row>
    <row r="136">
      <c r="A136" t="inlineStr">
        <is>
          <t>No</t>
        </is>
      </c>
      <c r="B136" t="inlineStr"/>
      <c r="C136" t="inlineStr"/>
      <c r="D136" t="inlineStr"/>
      <c r="E136" t="inlineStr">
        <is>
          <t>Additional Cost</t>
        </is>
      </c>
      <c r="F136" t="inlineStr">
        <is>
          <t>Cost / Finances</t>
        </is>
      </c>
      <c r="G136" t="inlineStr">
        <is>
          <t>Cost / Finances</t>
        </is>
      </c>
      <c r="H136" t="inlineStr"/>
      <c r="I136" t="inlineStr">
        <is>
          <t>HXP Can Directly Fix</t>
        </is>
      </c>
      <c r="J136" t="b">
        <v>0</v>
      </c>
      <c r="K136" t="n">
        <v>1</v>
      </c>
      <c r="L136" t="inlineStr"/>
      <c r="M136" t="inlineStr"/>
    </row>
    <row r="137">
      <c r="A137" t="inlineStr">
        <is>
          <t>No</t>
        </is>
      </c>
      <c r="B137" t="inlineStr"/>
      <c r="C137" t="inlineStr"/>
      <c r="D137" t="inlineStr"/>
      <c r="E137" t="inlineStr">
        <is>
          <t>Not enough vacation time</t>
        </is>
      </c>
      <c r="F137" t="inlineStr">
        <is>
          <t>Work Schedule / Time Off</t>
        </is>
      </c>
      <c r="G137" t="inlineStr">
        <is>
          <t>Work Schedule / Time Off</t>
        </is>
      </c>
      <c r="H137" t="inlineStr"/>
      <c r="I137" t="inlineStr">
        <is>
          <t>HXP Can Influence</t>
        </is>
      </c>
      <c r="J137" t="b">
        <v>0</v>
      </c>
      <c r="K137" t="n">
        <v>1</v>
      </c>
      <c r="L137" t="inlineStr"/>
      <c r="M137" t="inlineStr"/>
    </row>
    <row r="138">
      <c r="A138" t="inlineStr">
        <is>
          <t>No</t>
        </is>
      </c>
      <c r="B138" t="inlineStr"/>
      <c r="C138" t="inlineStr"/>
      <c r="D138" t="inlineStr"/>
      <c r="E138" t="inlineStr">
        <is>
          <t>Time availability. Two working parents don't have time available off work to commit to such a big trip.</t>
        </is>
      </c>
      <c r="F138" t="inlineStr">
        <is>
          <t>Work Schedule / Time Off</t>
        </is>
      </c>
      <c r="G138" t="inlineStr">
        <is>
          <t>Work Schedule / Time Off</t>
        </is>
      </c>
      <c r="H138" t="inlineStr"/>
      <c r="I138" t="inlineStr">
        <is>
          <t>HXP Can Influence</t>
        </is>
      </c>
      <c r="J138" t="b">
        <v>0</v>
      </c>
      <c r="K138" t="n">
        <v>1</v>
      </c>
      <c r="L138" t="inlineStr"/>
      <c r="M138" t="inlineStr"/>
    </row>
    <row r="139">
      <c r="A139" t="inlineStr">
        <is>
          <t>No</t>
        </is>
      </c>
      <c r="B139" t="inlineStr"/>
      <c r="C139" t="inlineStr"/>
      <c r="D139" t="inlineStr"/>
      <c r="E139" t="inlineStr">
        <is>
          <t>Other commitments and wanting to give son space</t>
        </is>
      </c>
      <c r="F139" t="inlineStr">
        <is>
          <t>Work Schedule / Time Off</t>
        </is>
      </c>
      <c r="G139" t="inlineStr">
        <is>
          <t>Work Schedule / Time Off</t>
        </is>
      </c>
      <c r="H139" t="inlineStr"/>
      <c r="I139" t="inlineStr">
        <is>
          <t>HXP Can Influence</t>
        </is>
      </c>
      <c r="J139" t="b">
        <v>0</v>
      </c>
      <c r="K139" t="n">
        <v>1</v>
      </c>
      <c r="L139" t="inlineStr"/>
      <c r="M139" t="inlineStr"/>
    </row>
    <row r="140">
      <c r="A140" t="inlineStr">
        <is>
          <t>No</t>
        </is>
      </c>
      <c r="B140" t="inlineStr"/>
      <c r="C140" t="inlineStr"/>
      <c r="D140" t="inlineStr"/>
      <c r="E140" t="inlineStr"/>
      <c r="F140" t="inlineStr"/>
      <c r="G140" t="inlineStr"/>
      <c r="H140" t="inlineStr"/>
      <c r="I140" t="inlineStr"/>
      <c r="J140" t="b">
        <v>0</v>
      </c>
      <c r="K140" t="n">
        <v>0</v>
      </c>
      <c r="L140" t="inlineStr"/>
      <c r="M140" t="inlineStr"/>
    </row>
    <row r="141">
      <c r="A141" t="inlineStr">
        <is>
          <t>No</t>
        </is>
      </c>
      <c r="B141" t="inlineStr"/>
      <c r="C141" t="inlineStr"/>
      <c r="D141" t="inlineStr"/>
      <c r="E141" t="inlineStr">
        <is>
          <t>Cost</t>
        </is>
      </c>
      <c r="F141" t="inlineStr">
        <is>
          <t>Cost / Finances</t>
        </is>
      </c>
      <c r="G141" t="inlineStr">
        <is>
          <t>Cost / Finances</t>
        </is>
      </c>
      <c r="H141" t="inlineStr"/>
      <c r="I141" t="inlineStr">
        <is>
          <t>HXP Can Directly Fix</t>
        </is>
      </c>
      <c r="J141" t="b">
        <v>0</v>
      </c>
      <c r="K141" t="n">
        <v>1</v>
      </c>
      <c r="L141" t="inlineStr"/>
      <c r="M141" t="inlineStr"/>
    </row>
    <row r="142">
      <c r="A142" t="inlineStr">
        <is>
          <t>No</t>
        </is>
      </c>
      <c r="B142" t="inlineStr"/>
      <c r="C142" t="inlineStr"/>
      <c r="D142" t="inlineStr"/>
      <c r="E142" t="inlineStr">
        <is>
          <t>my child</t>
        </is>
      </c>
      <c r="F142" t="inlineStr">
        <is>
          <t>Family's Own Choice (No Elaboration)</t>
        </is>
      </c>
      <c r="G142" t="inlineStr">
        <is>
          <t>Family's Own Choice (No Elaboration)</t>
        </is>
      </c>
      <c r="H142" t="inlineStr"/>
      <c r="I142" t="inlineStr">
        <is>
          <t>Family's Own Choice</t>
        </is>
      </c>
      <c r="J142" t="b">
        <v>0</v>
      </c>
      <c r="K142" t="n">
        <v>1</v>
      </c>
      <c r="L142" t="inlineStr"/>
      <c r="M142" t="inlineStr"/>
    </row>
    <row r="143">
      <c r="A143" t="inlineStr">
        <is>
          <t>No</t>
        </is>
      </c>
      <c r="B143" t="inlineStr"/>
      <c r="C143" t="inlineStr"/>
      <c r="D143" t="inlineStr"/>
      <c r="E143" t="inlineStr">
        <is>
          <t>I have 6 younger children at home</t>
        </is>
      </c>
      <c r="F143" t="inlineStr">
        <is>
          <t>Other Kids / Family at Home</t>
        </is>
      </c>
      <c r="G143" t="inlineStr">
        <is>
          <t>Other Kids / Family at Home</t>
        </is>
      </c>
      <c r="H143" t="inlineStr"/>
      <c r="I143" t="inlineStr">
        <is>
          <t>Family's Own Choice</t>
        </is>
      </c>
      <c r="J143" t="b">
        <v>0</v>
      </c>
      <c r="K143" t="n">
        <v>1</v>
      </c>
      <c r="L143" t="inlineStr"/>
      <c r="M143" t="inlineStr"/>
    </row>
    <row r="144">
      <c r="A144" t="inlineStr">
        <is>
          <t>No</t>
        </is>
      </c>
      <c r="B144" t="inlineStr"/>
      <c r="C144" t="inlineStr"/>
      <c r="D144" t="inlineStr"/>
      <c r="E144" t="inlineStr">
        <is>
          <t>Cost</t>
        </is>
      </c>
      <c r="F144" t="inlineStr">
        <is>
          <t>Cost / Finances</t>
        </is>
      </c>
      <c r="G144" t="inlineStr">
        <is>
          <t>Cost / Finances</t>
        </is>
      </c>
      <c r="H144" t="inlineStr"/>
      <c r="I144" t="inlineStr">
        <is>
          <t>HXP Can Directly Fix</t>
        </is>
      </c>
      <c r="J144" t="b">
        <v>0</v>
      </c>
      <c r="K144" t="n">
        <v>1</v>
      </c>
      <c r="L144" t="inlineStr"/>
      <c r="M144" t="inlineStr"/>
    </row>
    <row r="145">
      <c r="A145" t="inlineStr">
        <is>
          <t>No</t>
        </is>
      </c>
      <c r="B145" t="inlineStr"/>
      <c r="C145" t="inlineStr"/>
      <c r="D145" t="inlineStr"/>
      <c r="E145" t="inlineStr">
        <is>
          <t>Daughter wanted to go alone.</t>
        </is>
      </c>
      <c r="F145" t="inlineStr">
        <is>
          <t>Wants Child to Have Independent Experience</t>
        </is>
      </c>
      <c r="G145" t="inlineStr">
        <is>
          <t>Wants Child to Have Independent Experience</t>
        </is>
      </c>
      <c r="H145" t="inlineStr"/>
      <c r="I145" t="inlineStr">
        <is>
          <t>Family's Own Choice</t>
        </is>
      </c>
      <c r="J145" t="b">
        <v>0</v>
      </c>
      <c r="K145" t="n">
        <v>1</v>
      </c>
      <c r="L145" t="inlineStr"/>
      <c r="M145" t="inlineStr"/>
    </row>
    <row r="146">
      <c r="A146" t="inlineStr">
        <is>
          <t>Yes</t>
        </is>
      </c>
      <c r="B146" t="inlineStr">
        <is>
          <t>I'm impressed by the HXP program and know we'll be in good hands.</t>
        </is>
      </c>
      <c r="C146" t="inlineStr">
        <is>
          <t>Trust in the HXP Program</t>
        </is>
      </c>
      <c r="D146" t="inlineStr">
        <is>
          <t>Trust in the HXP Program</t>
        </is>
      </c>
      <c r="E146" t="inlineStr"/>
      <c r="F146" t="inlineStr"/>
      <c r="G146" t="inlineStr"/>
      <c r="H146" t="inlineStr"/>
      <c r="I146" t="inlineStr"/>
      <c r="J146" t="b">
        <v>0</v>
      </c>
      <c r="K146" t="n">
        <v>0</v>
      </c>
      <c r="L146" t="inlineStr"/>
      <c r="M146" t="inlineStr"/>
    </row>
    <row r="147">
      <c r="A147" t="inlineStr">
        <is>
          <t>No</t>
        </is>
      </c>
      <c r="B147" t="inlineStr"/>
      <c r="C147" t="inlineStr"/>
      <c r="D147" t="inlineStr"/>
      <c r="E147" t="inlineStr">
        <is>
          <t>My child wouldn't want me there</t>
        </is>
      </c>
      <c r="F147" t="inlineStr">
        <is>
          <t>Child Didn't Want Parent to Come</t>
        </is>
      </c>
      <c r="G147" t="inlineStr">
        <is>
          <t>Child Didn't Want Parent to Come</t>
        </is>
      </c>
      <c r="H147" t="inlineStr"/>
      <c r="I147" t="inlineStr">
        <is>
          <t>Family's Own Choice</t>
        </is>
      </c>
      <c r="J147" t="b">
        <v>0</v>
      </c>
      <c r="K147" t="n">
        <v>1</v>
      </c>
      <c r="L147" t="inlineStr"/>
      <c r="M147" t="inlineStr"/>
    </row>
    <row r="148">
      <c r="A148" t="inlineStr">
        <is>
          <t>No</t>
        </is>
      </c>
      <c r="B148" t="inlineStr"/>
      <c r="C148" t="inlineStr"/>
      <c r="D148" t="inlineStr"/>
      <c r="E148" t="inlineStr">
        <is>
          <t>My kids. They didn't want me to go. They wanted to experience it themselves without me getting a birds eye view.</t>
        </is>
      </c>
      <c r="F148" t="inlineStr">
        <is>
          <t>Child Didn't Want Parent to Come</t>
        </is>
      </c>
      <c r="G148" t="inlineStr">
        <is>
          <t>Child Didn't Want Parent to Come; Wants Child to Have Independent Experience</t>
        </is>
      </c>
      <c r="H148" t="inlineStr"/>
      <c r="I148" t="inlineStr">
        <is>
          <t>Family's Own Choice</t>
        </is>
      </c>
      <c r="J148" t="b">
        <v>0</v>
      </c>
      <c r="K148" t="n">
        <v>2</v>
      </c>
      <c r="L148" t="inlineStr"/>
      <c r="M148" t="inlineStr"/>
    </row>
    <row r="149">
      <c r="A149" t="inlineStr">
        <is>
          <t>No</t>
        </is>
      </c>
      <c r="B149" t="inlineStr"/>
      <c r="C149" t="inlineStr"/>
      <c r="D149" t="inlineStr"/>
      <c r="E149" t="inlineStr">
        <is>
          <t>Money and time</t>
        </is>
      </c>
      <c r="F149" t="inlineStr">
        <is>
          <t>Cost / Finances</t>
        </is>
      </c>
      <c r="G149" t="inlineStr">
        <is>
          <t>Cost / Finances; Work Schedule / Time Off</t>
        </is>
      </c>
      <c r="H149" t="inlineStr"/>
      <c r="I149" t="inlineStr">
        <is>
          <t>HXP Can Directly Fix</t>
        </is>
      </c>
      <c r="J149" t="b">
        <v>0</v>
      </c>
      <c r="K149" t="n">
        <v>2</v>
      </c>
      <c r="L149" t="inlineStr"/>
      <c r="M149" t="inlineStr"/>
    </row>
    <row r="150">
      <c r="A150" t="inlineStr">
        <is>
          <t>No</t>
        </is>
      </c>
      <c r="B150" t="inlineStr"/>
      <c r="C150" t="inlineStr"/>
      <c r="D150" t="inlineStr"/>
      <c r="E150" t="inlineStr">
        <is>
          <t>Our daughter didn't want us to go with her =)</t>
        </is>
      </c>
      <c r="F150" t="inlineStr">
        <is>
          <t>Child Didn't Want Parent to Come</t>
        </is>
      </c>
      <c r="G150" t="inlineStr">
        <is>
          <t>Child Didn't Want Parent to Come</t>
        </is>
      </c>
      <c r="H150" t="inlineStr"/>
      <c r="I150" t="inlineStr">
        <is>
          <t>Family's Own Choice</t>
        </is>
      </c>
      <c r="J150" t="b">
        <v>0</v>
      </c>
      <c r="K150" t="n">
        <v>1</v>
      </c>
      <c r="L150" t="inlineStr"/>
      <c r="M150" t="inlineStr"/>
    </row>
    <row r="151">
      <c r="A151" t="inlineStr">
        <is>
          <t>No</t>
        </is>
      </c>
      <c r="B151" t="inlineStr"/>
      <c r="C151" t="inlineStr"/>
      <c r="D151" t="inlineStr"/>
      <c r="E151" t="inlineStr">
        <is>
          <t>schedule with work</t>
        </is>
      </c>
      <c r="F151" t="inlineStr">
        <is>
          <t>Work Schedule / Time Off</t>
        </is>
      </c>
      <c r="G151" t="inlineStr">
        <is>
          <t>Work Schedule / Time Off</t>
        </is>
      </c>
      <c r="H151" t="inlineStr"/>
      <c r="I151" t="inlineStr">
        <is>
          <t>HXP Can Influence</t>
        </is>
      </c>
      <c r="J151" t="b">
        <v>0</v>
      </c>
      <c r="K151" t="n">
        <v>1</v>
      </c>
      <c r="L151" t="inlineStr"/>
      <c r="M151" t="inlineStr"/>
    </row>
    <row r="152">
      <c r="A152" t="inlineStr">
        <is>
          <t>No</t>
        </is>
      </c>
      <c r="B152" t="inlineStr"/>
      <c r="C152" t="inlineStr"/>
      <c r="D152" t="inlineStr"/>
      <c r="E152" t="inlineStr">
        <is>
          <t>Other obligations at home</t>
        </is>
      </c>
      <c r="F152" t="inlineStr">
        <is>
          <t>Work Schedule / Time Off</t>
        </is>
      </c>
      <c r="G152" t="inlineStr">
        <is>
          <t>Work Schedule / Time Off</t>
        </is>
      </c>
      <c r="H152" t="inlineStr"/>
      <c r="I152" t="inlineStr">
        <is>
          <t>HXP Can Influence</t>
        </is>
      </c>
      <c r="J152" t="b">
        <v>0</v>
      </c>
      <c r="K152" t="n">
        <v>1</v>
      </c>
      <c r="L152" t="inlineStr"/>
      <c r="M152" t="inlineStr"/>
    </row>
    <row r="153">
      <c r="A153" t="inlineStr">
        <is>
          <t>No</t>
        </is>
      </c>
      <c r="B153" t="inlineStr"/>
      <c r="C153" t="inlineStr"/>
      <c r="D153" t="inlineStr"/>
      <c r="E153" t="inlineStr">
        <is>
          <t>Health issues, other children at home</t>
        </is>
      </c>
      <c r="F153" t="inlineStr">
        <is>
          <t>Other Kids / Family at Home</t>
        </is>
      </c>
      <c r="G153" t="inlineStr">
        <is>
          <t>Other Kids / Family at Home; Health / Physical / Age</t>
        </is>
      </c>
      <c r="H153" t="inlineStr"/>
      <c r="I153" t="inlineStr">
        <is>
          <t>Family's Own Choice</t>
        </is>
      </c>
      <c r="J153" t="b">
        <v>0</v>
      </c>
      <c r="K153" t="n">
        <v>2</v>
      </c>
      <c r="L153" t="inlineStr"/>
      <c r="M153" t="inlineStr"/>
    </row>
    <row r="154">
      <c r="A154" t="inlineStr">
        <is>
          <t>No</t>
        </is>
      </c>
      <c r="B154" t="inlineStr"/>
      <c r="C154" t="inlineStr"/>
      <c r="D154" t="inlineStr"/>
      <c r="E154" t="inlineStr">
        <is>
          <t>Time and $ and expired passport</t>
        </is>
      </c>
      <c r="F154" t="inlineStr">
        <is>
          <t>Cost / Finances</t>
        </is>
      </c>
      <c r="G154" t="inlineStr">
        <is>
          <t>Cost / Finances; Work Schedule / Time Off</t>
        </is>
      </c>
      <c r="H154" t="inlineStr"/>
      <c r="I154" t="inlineStr">
        <is>
          <t>HXP Can Directly Fix</t>
        </is>
      </c>
      <c r="J154" t="b">
        <v>0</v>
      </c>
      <c r="K154" t="n">
        <v>2</v>
      </c>
      <c r="L154" t="inlineStr"/>
      <c r="M154" t="inlineStr"/>
    </row>
    <row r="155">
      <c r="A155" t="inlineStr">
        <is>
          <t>No</t>
        </is>
      </c>
      <c r="B155" t="inlineStr"/>
      <c r="C155" t="inlineStr"/>
      <c r="D155" t="inlineStr"/>
      <c r="E155" t="inlineStr">
        <is>
          <t>Time</t>
        </is>
      </c>
      <c r="F155" t="inlineStr">
        <is>
          <t>Work Schedule / Time Off</t>
        </is>
      </c>
      <c r="G155" t="inlineStr">
        <is>
          <t>Work Schedule / Time Off</t>
        </is>
      </c>
      <c r="H155" t="inlineStr"/>
      <c r="I155" t="inlineStr">
        <is>
          <t>HXP Can Influence</t>
        </is>
      </c>
      <c r="J155" t="b">
        <v>0</v>
      </c>
      <c r="K155" t="n">
        <v>1</v>
      </c>
      <c r="L155" t="inlineStr"/>
      <c r="M155" t="inlineStr"/>
    </row>
    <row r="156">
      <c r="A156" t="inlineStr">
        <is>
          <t>No</t>
        </is>
      </c>
      <c r="B156" t="inlineStr"/>
      <c r="C156" t="inlineStr"/>
      <c r="D156" t="inlineStr"/>
      <c r="E156" t="inlineStr">
        <is>
          <t>We think it would be great for our son to go without one of us. My older son went last year with my husband.</t>
        </is>
      </c>
      <c r="F156" t="inlineStr">
        <is>
          <t>Wants Child to Have Independent Experience</t>
        </is>
      </c>
      <c r="G156" t="inlineStr">
        <is>
          <t>Wants Child to Have Independent Experience</t>
        </is>
      </c>
      <c r="H156" t="inlineStr"/>
      <c r="I156" t="inlineStr">
        <is>
          <t>Family's Own Choice</t>
        </is>
      </c>
      <c r="J156" t="b">
        <v>0</v>
      </c>
      <c r="K156" t="n">
        <v>1</v>
      </c>
      <c r="L156" t="inlineStr"/>
      <c r="M156" t="inlineStr"/>
    </row>
    <row r="157">
      <c r="A157" t="inlineStr">
        <is>
          <t>No</t>
        </is>
      </c>
      <c r="B157" t="inlineStr"/>
      <c r="C157" t="inlineStr"/>
      <c r="D157" t="inlineStr"/>
      <c r="E157" t="inlineStr">
        <is>
          <t>Cost</t>
        </is>
      </c>
      <c r="F157" t="inlineStr">
        <is>
          <t>Cost / Finances</t>
        </is>
      </c>
      <c r="G157" t="inlineStr">
        <is>
          <t>Cost / Finances</t>
        </is>
      </c>
      <c r="H157" t="inlineStr"/>
      <c r="I157" t="inlineStr">
        <is>
          <t>HXP Can Directly Fix</t>
        </is>
      </c>
      <c r="J157" t="b">
        <v>0</v>
      </c>
      <c r="K157" t="n">
        <v>1</v>
      </c>
      <c r="L157" t="inlineStr"/>
      <c r="M157" t="inlineStr"/>
    </row>
    <row r="158">
      <c r="A158" t="inlineStr">
        <is>
          <t>No</t>
        </is>
      </c>
      <c r="B158" t="inlineStr"/>
      <c r="C158" t="inlineStr"/>
      <c r="D158" t="inlineStr"/>
      <c r="E158" t="inlineStr">
        <is>
          <t>I'm deaf and I believe it would be difficult to communicate with the group.</t>
        </is>
      </c>
      <c r="F158" t="inlineStr">
        <is>
          <t>Health / Physical / Age</t>
        </is>
      </c>
      <c r="G158" t="inlineStr">
        <is>
          <t>Health / Physical / Age</t>
        </is>
      </c>
      <c r="H158" t="inlineStr"/>
      <c r="I158" t="inlineStr">
        <is>
          <t>HXP Can Influence</t>
        </is>
      </c>
      <c r="J158" t="b">
        <v>0</v>
      </c>
      <c r="K158" t="n">
        <v>1</v>
      </c>
      <c r="L158" t="inlineStr"/>
      <c r="M158" t="inlineStr"/>
    </row>
    <row r="159">
      <c r="A159" t="inlineStr">
        <is>
          <t>No</t>
        </is>
      </c>
      <c r="B159" t="inlineStr"/>
      <c r="C159" t="inlineStr"/>
      <c r="D159" t="inlineStr"/>
      <c r="E159" t="inlineStr"/>
      <c r="F159" t="inlineStr"/>
      <c r="G159" t="inlineStr"/>
      <c r="H159" t="inlineStr"/>
      <c r="I159" t="inlineStr"/>
      <c r="J159" t="b">
        <v>0</v>
      </c>
      <c r="K159" t="n">
        <v>0</v>
      </c>
      <c r="L159" t="inlineStr"/>
      <c r="M159" t="inlineStr"/>
    </row>
    <row r="160">
      <c r="A160" t="inlineStr">
        <is>
          <t>No</t>
        </is>
      </c>
      <c r="B160" t="inlineStr"/>
      <c r="C160" t="inlineStr"/>
      <c r="D160" t="inlineStr"/>
      <c r="E160" t="inlineStr">
        <is>
          <t>Work obligations</t>
        </is>
      </c>
      <c r="F160" t="inlineStr">
        <is>
          <t>Work Schedule / Time Off</t>
        </is>
      </c>
      <c r="G160" t="inlineStr">
        <is>
          <t>Work Schedule / Time Off</t>
        </is>
      </c>
      <c r="H160" t="inlineStr"/>
      <c r="I160" t="inlineStr">
        <is>
          <t>HXP Can Influence</t>
        </is>
      </c>
      <c r="J160" t="b">
        <v>0</v>
      </c>
      <c r="K160" t="n">
        <v>1</v>
      </c>
      <c r="L160" t="inlineStr"/>
      <c r="M160" t="inlineStr"/>
    </row>
    <row r="161">
      <c r="A161" t="inlineStr">
        <is>
          <t>No</t>
        </is>
      </c>
      <c r="B161" t="inlineStr"/>
      <c r="C161" t="inlineStr"/>
      <c r="D161" t="inlineStr"/>
      <c r="E161" t="inlineStr">
        <is>
          <t>Can't make it.</t>
        </is>
      </c>
      <c r="F161" t="inlineStr">
        <is>
          <t>Work Schedule / Time Off</t>
        </is>
      </c>
      <c r="G161" t="inlineStr">
        <is>
          <t>Work Schedule / Time Off</t>
        </is>
      </c>
      <c r="H161" t="inlineStr"/>
      <c r="I161" t="inlineStr">
        <is>
          <t>HXP Can Influence</t>
        </is>
      </c>
      <c r="J161" t="b">
        <v>0</v>
      </c>
      <c r="K161" t="n">
        <v>1</v>
      </c>
      <c r="L161" t="inlineStr"/>
      <c r="M161" t="inlineStr"/>
    </row>
    <row r="162">
      <c r="A162" t="inlineStr">
        <is>
          <t>No</t>
        </is>
      </c>
      <c r="B162" t="inlineStr"/>
      <c r="C162" t="inlineStr"/>
      <c r="D162" t="inlineStr"/>
      <c r="E162" t="inlineStr">
        <is>
          <t>Time demands</t>
        </is>
      </c>
      <c r="F162" t="inlineStr">
        <is>
          <t>Work Schedule / Time Off</t>
        </is>
      </c>
      <c r="G162" t="inlineStr">
        <is>
          <t>Work Schedule / Time Off</t>
        </is>
      </c>
      <c r="H162" t="inlineStr"/>
      <c r="I162" t="inlineStr">
        <is>
          <t>HXP Can Influence</t>
        </is>
      </c>
      <c r="J162" t="b">
        <v>0</v>
      </c>
      <c r="K162" t="n">
        <v>1</v>
      </c>
      <c r="L162" t="inlineStr"/>
      <c r="M162" t="inlineStr"/>
    </row>
    <row r="163">
      <c r="A163" t="inlineStr">
        <is>
          <t>No</t>
        </is>
      </c>
      <c r="B163" t="inlineStr"/>
      <c r="C163" t="inlineStr"/>
      <c r="D163" t="inlineStr"/>
      <c r="E163" t="inlineStr">
        <is>
          <t>Money</t>
        </is>
      </c>
      <c r="F163" t="inlineStr">
        <is>
          <t>Cost / Finances</t>
        </is>
      </c>
      <c r="G163" t="inlineStr">
        <is>
          <t>Cost / Finances</t>
        </is>
      </c>
      <c r="H163" t="inlineStr"/>
      <c r="I163" t="inlineStr">
        <is>
          <t>HXP Can Directly Fix</t>
        </is>
      </c>
      <c r="J163" t="b">
        <v>0</v>
      </c>
      <c r="K163" t="n">
        <v>1</v>
      </c>
      <c r="L163" t="inlineStr"/>
      <c r="M163" t="inlineStr"/>
    </row>
    <row r="164">
      <c r="A164" t="inlineStr">
        <is>
          <t>No</t>
        </is>
      </c>
      <c r="B164" t="inlineStr"/>
      <c r="C164" t="inlineStr"/>
      <c r="D164" t="inlineStr"/>
      <c r="E164" t="inlineStr">
        <is>
          <t>My son did not want me to go with him</t>
        </is>
      </c>
      <c r="F164" t="inlineStr">
        <is>
          <t>Child Didn't Want Parent to Come</t>
        </is>
      </c>
      <c r="G164" t="inlineStr">
        <is>
          <t>Child Didn't Want Parent to Come</t>
        </is>
      </c>
      <c r="H164" t="inlineStr"/>
      <c r="I164" t="inlineStr">
        <is>
          <t>Family's Own Choice</t>
        </is>
      </c>
      <c r="J164" t="b">
        <v>0</v>
      </c>
      <c r="K164" t="n">
        <v>1</v>
      </c>
      <c r="L164" t="inlineStr"/>
      <c r="M164" t="inlineStr"/>
    </row>
    <row r="165">
      <c r="A165" t="inlineStr">
        <is>
          <t>Yes</t>
        </is>
      </c>
      <c r="B165" t="inlineStr"/>
      <c r="C165" t="inlineStr"/>
      <c r="D165" t="inlineStr"/>
      <c r="E165" t="inlineStr"/>
      <c r="F165" t="inlineStr"/>
      <c r="G165" t="inlineStr"/>
      <c r="H165" t="inlineStr"/>
      <c r="I165" t="inlineStr"/>
      <c r="J165" t="b">
        <v>0</v>
      </c>
      <c r="K165" t="n">
        <v>0</v>
      </c>
      <c r="L165" t="inlineStr"/>
      <c r="M165" t="inlineStr"/>
    </row>
    <row r="166">
      <c r="A166" t="inlineStr">
        <is>
          <t>No</t>
        </is>
      </c>
      <c r="B166" t="inlineStr"/>
      <c r="C166" t="inlineStr"/>
      <c r="D166" t="inlineStr"/>
      <c r="E166" t="inlineStr"/>
      <c r="F166" t="inlineStr"/>
      <c r="G166" t="inlineStr"/>
      <c r="H166" t="inlineStr"/>
      <c r="I166" t="inlineStr"/>
      <c r="J166" t="b">
        <v>0</v>
      </c>
      <c r="K166" t="n">
        <v>0</v>
      </c>
      <c r="L166" t="inlineStr"/>
      <c r="M166" t="inlineStr"/>
    </row>
    <row r="167">
      <c r="A167" t="inlineStr">
        <is>
          <t>No</t>
        </is>
      </c>
      <c r="B167" t="inlineStr"/>
      <c r="C167" t="inlineStr"/>
      <c r="D167" t="inlineStr"/>
      <c r="E167" t="inlineStr">
        <is>
          <t>Work</t>
        </is>
      </c>
      <c r="F167" t="inlineStr">
        <is>
          <t>Work Schedule / Time Off</t>
        </is>
      </c>
      <c r="G167" t="inlineStr">
        <is>
          <t>Work Schedule / Time Off</t>
        </is>
      </c>
      <c r="H167" t="inlineStr"/>
      <c r="I167" t="inlineStr">
        <is>
          <t>HXP Can Influence</t>
        </is>
      </c>
      <c r="J167" t="b">
        <v>0</v>
      </c>
      <c r="K167" t="n">
        <v>1</v>
      </c>
      <c r="L167" t="inlineStr"/>
      <c r="M167" t="inlineStr"/>
    </row>
    <row r="168">
      <c r="A168" t="inlineStr">
        <is>
          <t>No</t>
        </is>
      </c>
      <c r="B168" t="inlineStr"/>
      <c r="C168" t="inlineStr"/>
      <c r="D168" t="inlineStr"/>
      <c r="E168" t="inlineStr">
        <is>
          <t>I have young children at home</t>
        </is>
      </c>
      <c r="F168" t="inlineStr">
        <is>
          <t>Other Kids / Family at Home</t>
        </is>
      </c>
      <c r="G168" t="inlineStr">
        <is>
          <t>Other Kids / Family at Home</t>
        </is>
      </c>
      <c r="H168" t="inlineStr"/>
      <c r="I168" t="inlineStr">
        <is>
          <t>Family's Own Choice</t>
        </is>
      </c>
      <c r="J168" t="b">
        <v>0</v>
      </c>
      <c r="K168" t="n">
        <v>1</v>
      </c>
      <c r="L168" t="inlineStr"/>
      <c r="M168" t="inlineStr"/>
    </row>
    <row r="169">
      <c r="A169" t="inlineStr">
        <is>
          <t>No</t>
        </is>
      </c>
      <c r="B169" t="inlineStr"/>
      <c r="C169" t="inlineStr"/>
      <c r="D169" t="inlineStr"/>
      <c r="E169" t="inlineStr">
        <is>
          <t>Too many other kids at home that I can't leave</t>
        </is>
      </c>
      <c r="F169" t="inlineStr">
        <is>
          <t>Other Kids / Family at Home</t>
        </is>
      </c>
      <c r="G169" t="inlineStr">
        <is>
          <t>Other Kids / Family at Home</t>
        </is>
      </c>
      <c r="H169" t="inlineStr"/>
      <c r="I169" t="inlineStr">
        <is>
          <t>Family's Own Choice</t>
        </is>
      </c>
      <c r="J169" t="b">
        <v>0</v>
      </c>
      <c r="K169" t="n">
        <v>1</v>
      </c>
      <c r="L169" t="inlineStr"/>
      <c r="M169" t="inlineStr"/>
    </row>
    <row r="170">
      <c r="A170" t="inlineStr">
        <is>
          <t>No</t>
        </is>
      </c>
      <c r="B170" t="inlineStr"/>
      <c r="C170" t="inlineStr"/>
      <c r="D170" t="inlineStr"/>
      <c r="E170" t="inlineStr">
        <is>
          <t>Let my daughter have her own experience with me</t>
        </is>
      </c>
      <c r="F170" t="inlineStr">
        <is>
          <t>Wants Child to Have Independent Experience</t>
        </is>
      </c>
      <c r="G170" t="inlineStr">
        <is>
          <t>Wants Child to Have Independent Experience</t>
        </is>
      </c>
      <c r="H170" t="inlineStr"/>
      <c r="I170" t="inlineStr">
        <is>
          <t>Family's Own Choice</t>
        </is>
      </c>
      <c r="J170" t="b">
        <v>0</v>
      </c>
      <c r="K170" t="n">
        <v>1</v>
      </c>
      <c r="L170" t="inlineStr"/>
      <c r="M170" t="inlineStr"/>
    </row>
    <row r="171">
      <c r="A171" t="inlineStr">
        <is>
          <t>No</t>
        </is>
      </c>
      <c r="B171" t="inlineStr"/>
      <c r="C171" t="inlineStr"/>
      <c r="D171" t="inlineStr"/>
      <c r="E171" t="inlineStr">
        <is>
          <t>My son did not want me to go</t>
        </is>
      </c>
      <c r="F171" t="inlineStr">
        <is>
          <t>Child Didn't Want Parent to Come</t>
        </is>
      </c>
      <c r="G171" t="inlineStr">
        <is>
          <t>Child Didn't Want Parent to Come</t>
        </is>
      </c>
      <c r="H171" t="inlineStr"/>
      <c r="I171" t="inlineStr">
        <is>
          <t>Family's Own Choice</t>
        </is>
      </c>
      <c r="J171" t="b">
        <v>0</v>
      </c>
      <c r="K171" t="n">
        <v>1</v>
      </c>
      <c r="L171" t="inlineStr"/>
      <c r="M171" t="inlineStr"/>
    </row>
    <row r="172">
      <c r="A172" t="inlineStr">
        <is>
          <t>No</t>
        </is>
      </c>
      <c r="B172" t="inlineStr"/>
      <c r="C172" t="inlineStr"/>
      <c r="D172" t="inlineStr"/>
      <c r="E172" t="inlineStr">
        <is>
          <t>Cost and I already went with another child</t>
        </is>
      </c>
      <c r="F172" t="inlineStr">
        <is>
          <t>Cost / Finances</t>
        </is>
      </c>
      <c r="G172" t="inlineStr">
        <is>
          <t>Cost / Finances; Other Kids / Family at Home</t>
        </is>
      </c>
      <c r="H172" t="inlineStr"/>
      <c r="I172" t="inlineStr">
        <is>
          <t>HXP Can Directly Fix</t>
        </is>
      </c>
      <c r="J172" t="b">
        <v>0</v>
      </c>
      <c r="K172" t="n">
        <v>2</v>
      </c>
      <c r="L172" t="inlineStr"/>
      <c r="M172" t="inlineStr"/>
    </row>
    <row r="173">
      <c r="A173" t="inlineStr">
        <is>
          <t>No</t>
        </is>
      </c>
      <c r="B173" t="inlineStr"/>
      <c r="C173" t="inlineStr"/>
      <c r="D173" t="inlineStr"/>
      <c r="E173" t="inlineStr">
        <is>
          <t>Cost</t>
        </is>
      </c>
      <c r="F173" t="inlineStr">
        <is>
          <t>Cost / Finances</t>
        </is>
      </c>
      <c r="G173" t="inlineStr">
        <is>
          <t>Cost / Finances</t>
        </is>
      </c>
      <c r="H173" t="inlineStr"/>
      <c r="I173" t="inlineStr">
        <is>
          <t>HXP Can Directly Fix</t>
        </is>
      </c>
      <c r="J173" t="b">
        <v>0</v>
      </c>
      <c r="K173" t="n">
        <v>1</v>
      </c>
      <c r="L173" t="inlineStr"/>
      <c r="M173" t="inlineStr"/>
    </row>
    <row r="174">
      <c r="A174" t="inlineStr">
        <is>
          <t>No</t>
        </is>
      </c>
      <c r="B174" t="inlineStr"/>
      <c r="C174" t="inlineStr"/>
      <c r="D174" t="inlineStr"/>
      <c r="E174" t="inlineStr">
        <is>
          <t>too expensive to pay for my child and myself. I also think this is a great opportunity for her to do this on her own.</t>
        </is>
      </c>
      <c r="F174" t="inlineStr">
        <is>
          <t>Cost / Finances</t>
        </is>
      </c>
      <c r="G174" t="inlineStr">
        <is>
          <t>Cost / Finances; Wants Child to Have Independent Experience</t>
        </is>
      </c>
      <c r="H174" t="inlineStr"/>
      <c r="I174" t="inlineStr">
        <is>
          <t>HXP Can Directly Fix</t>
        </is>
      </c>
      <c r="J174" t="b">
        <v>0</v>
      </c>
      <c r="K174" t="n">
        <v>2</v>
      </c>
      <c r="L174" t="inlineStr"/>
      <c r="M174" t="inlineStr"/>
    </row>
    <row r="175">
      <c r="A175" t="inlineStr">
        <is>
          <t>No</t>
        </is>
      </c>
      <c r="B175" t="inlineStr"/>
      <c r="C175" t="inlineStr"/>
      <c r="D175" t="inlineStr"/>
      <c r="E175" t="inlineStr">
        <is>
          <t>Other obligations this year, but I hope to go in the future!</t>
        </is>
      </c>
      <c r="F175" t="inlineStr">
        <is>
          <t>Work Schedule / Time Off</t>
        </is>
      </c>
      <c r="G175" t="inlineStr">
        <is>
          <t>Work Schedule / Time Off</t>
        </is>
      </c>
      <c r="H175" t="inlineStr"/>
      <c r="I175" t="inlineStr">
        <is>
          <t>HXP Can Influence</t>
        </is>
      </c>
      <c r="J175" t="b">
        <v>1</v>
      </c>
      <c r="K175" t="n">
        <v>1</v>
      </c>
      <c r="L175" t="inlineStr"/>
      <c r="M175" t="inlineStr"/>
    </row>
    <row r="176">
      <c r="A176" t="inlineStr">
        <is>
          <t>No</t>
        </is>
      </c>
      <c r="B176" t="inlineStr"/>
      <c r="C176" t="inlineStr"/>
      <c r="D176" t="inlineStr"/>
      <c r="E176" t="inlineStr">
        <is>
          <t>I want my daughter to have an independent experience.</t>
        </is>
      </c>
      <c r="F176" t="inlineStr">
        <is>
          <t>Wants Child to Have Independent Experience</t>
        </is>
      </c>
      <c r="G176" t="inlineStr">
        <is>
          <t>Wants Child to Have Independent Experience</t>
        </is>
      </c>
      <c r="H176" t="inlineStr"/>
      <c r="I176" t="inlineStr">
        <is>
          <t>Family's Own Choice</t>
        </is>
      </c>
      <c r="J176" t="b">
        <v>0</v>
      </c>
      <c r="K176" t="n">
        <v>1</v>
      </c>
      <c r="L176" t="inlineStr"/>
      <c r="M176" t="inlineStr"/>
    </row>
    <row r="177">
      <c r="A177" t="inlineStr">
        <is>
          <t>No</t>
        </is>
      </c>
      <c r="B177" t="inlineStr"/>
      <c r="C177" t="inlineStr"/>
      <c r="D177" t="inlineStr"/>
      <c r="E177" t="inlineStr">
        <is>
          <t>I can't leave my other children.</t>
        </is>
      </c>
      <c r="F177" t="inlineStr">
        <is>
          <t>Other Kids / Family at Home</t>
        </is>
      </c>
      <c r="G177" t="inlineStr">
        <is>
          <t>Other Kids / Family at Home</t>
        </is>
      </c>
      <c r="H177" t="inlineStr"/>
      <c r="I177" t="inlineStr">
        <is>
          <t>Family's Own Choice</t>
        </is>
      </c>
      <c r="J177" t="b">
        <v>0</v>
      </c>
      <c r="K177" t="n">
        <v>1</v>
      </c>
      <c r="L177" t="inlineStr"/>
      <c r="M177" t="inlineStr"/>
    </row>
    <row r="178">
      <c r="A178" t="inlineStr">
        <is>
          <t>Maybe</t>
        </is>
      </c>
      <c r="B178" t="inlineStr"/>
      <c r="C178" t="inlineStr"/>
      <c r="D178" t="inlineStr"/>
      <c r="E178" t="inlineStr"/>
      <c r="F178" t="inlineStr"/>
      <c r="G178" t="inlineStr"/>
      <c r="H178" t="inlineStr">
        <is>
          <t>This year my son wanted to go alone. But on our way to drop him off at LAX for Fiji Nadi 1, he asked if I would go with him on a trip next year. I'm surprised he wanted me to go! So I'll definitely consider it for next year.</t>
        </is>
      </c>
      <c r="I178" t="inlineStr"/>
      <c r="J178" t="b">
        <v>0</v>
      </c>
      <c r="K178" t="n">
        <v>0</v>
      </c>
      <c r="L178" t="inlineStr">
        <is>
          <t>Other / Uncategorized</t>
        </is>
      </c>
      <c r="M178" t="inlineStr"/>
    </row>
    <row r="179">
      <c r="A179" t="inlineStr">
        <is>
          <t>No</t>
        </is>
      </c>
      <c r="B179" t="inlineStr"/>
      <c r="C179" t="inlineStr"/>
      <c r="D179" t="inlineStr"/>
      <c r="E179" t="inlineStr">
        <is>
          <t>I'm not adventurous enough. I don't do well being away from home for that long. Also I want my child to have their own experience without me there.</t>
        </is>
      </c>
      <c r="F179" t="inlineStr">
        <is>
          <t>Other Kids / Family at Home</t>
        </is>
      </c>
      <c r="G179" t="inlineStr">
        <is>
          <t>Other Kids / Family at Home; Wants Child to Have Independent Experience; Not a Traveler / Personal Preference</t>
        </is>
      </c>
      <c r="H179" t="inlineStr"/>
      <c r="I179" t="inlineStr">
        <is>
          <t>Family's Own Choice</t>
        </is>
      </c>
      <c r="J179" t="b">
        <v>0</v>
      </c>
      <c r="K179" t="n">
        <v>3</v>
      </c>
      <c r="L179" t="inlineStr"/>
      <c r="M179" t="inlineStr"/>
    </row>
    <row r="180">
      <c r="A180" t="inlineStr">
        <is>
          <t>No</t>
        </is>
      </c>
      <c r="B180" t="inlineStr"/>
      <c r="C180" t="inlineStr"/>
      <c r="D180" t="inlineStr"/>
      <c r="E180" t="inlineStr">
        <is>
          <t>Expense</t>
        </is>
      </c>
      <c r="F180" t="inlineStr">
        <is>
          <t>Cost / Finances</t>
        </is>
      </c>
      <c r="G180" t="inlineStr">
        <is>
          <t>Cost / Finances</t>
        </is>
      </c>
      <c r="H180" t="inlineStr"/>
      <c r="I180" t="inlineStr">
        <is>
          <t>HXP Can Directly Fix</t>
        </is>
      </c>
      <c r="J180" t="b">
        <v>0</v>
      </c>
      <c r="K180" t="n">
        <v>1</v>
      </c>
      <c r="L180" t="inlineStr"/>
      <c r="M180" t="inlineStr"/>
    </row>
    <row r="181">
      <c r="A181" t="inlineStr">
        <is>
          <t>No</t>
        </is>
      </c>
      <c r="B181" t="inlineStr"/>
      <c r="C181" t="inlineStr"/>
      <c r="D181" t="inlineStr"/>
      <c r="E181" t="inlineStr">
        <is>
          <t>Too busy with other kids</t>
        </is>
      </c>
      <c r="F181" t="inlineStr">
        <is>
          <t>Work Schedule / Time Off</t>
        </is>
      </c>
      <c r="G181" t="inlineStr">
        <is>
          <t>Work Schedule / Time Off; Other Kids / Family at Home</t>
        </is>
      </c>
      <c r="H181" t="inlineStr"/>
      <c r="I181" t="inlineStr">
        <is>
          <t>HXP Can Influence</t>
        </is>
      </c>
      <c r="J181" t="b">
        <v>0</v>
      </c>
      <c r="K181" t="n">
        <v>2</v>
      </c>
      <c r="L181" t="inlineStr"/>
      <c r="M181" t="inlineStr"/>
    </row>
    <row r="182">
      <c r="A182" t="inlineStr">
        <is>
          <t>No</t>
        </is>
      </c>
      <c r="B182" t="inlineStr"/>
      <c r="C182" t="inlineStr"/>
      <c r="D182" t="inlineStr"/>
      <c r="E182" t="inlineStr">
        <is>
          <t>Son didn't want me to!</t>
        </is>
      </c>
      <c r="F182" t="inlineStr">
        <is>
          <t>Child Didn't Want Parent to Come</t>
        </is>
      </c>
      <c r="G182" t="inlineStr">
        <is>
          <t>Child Didn't Want Parent to Come</t>
        </is>
      </c>
      <c r="H182" t="inlineStr"/>
      <c r="I182" t="inlineStr">
        <is>
          <t>Family's Own Choice</t>
        </is>
      </c>
      <c r="J182" t="b">
        <v>0</v>
      </c>
      <c r="K182" t="n">
        <v>1</v>
      </c>
      <c r="L182" t="inlineStr"/>
      <c r="M182" t="inlineStr"/>
    </row>
    <row r="183">
      <c r="A183" t="inlineStr">
        <is>
          <t>No</t>
        </is>
      </c>
      <c r="B183" t="inlineStr"/>
      <c r="C183" t="inlineStr"/>
      <c r="D183" t="inlineStr"/>
      <c r="E183" t="inlineStr">
        <is>
          <t>Work commitments</t>
        </is>
      </c>
      <c r="F183" t="inlineStr">
        <is>
          <t>Work Schedule / Time Off</t>
        </is>
      </c>
      <c r="G183" t="inlineStr">
        <is>
          <t>Work Schedule / Time Off</t>
        </is>
      </c>
      <c r="H183" t="inlineStr"/>
      <c r="I183" t="inlineStr">
        <is>
          <t>HXP Can Influence</t>
        </is>
      </c>
      <c r="J183" t="b">
        <v>0</v>
      </c>
      <c r="K183" t="n">
        <v>1</v>
      </c>
      <c r="L183" t="inlineStr"/>
      <c r="M183" t="inlineStr"/>
    </row>
    <row r="184">
      <c r="A184" t="inlineStr">
        <is>
          <t>No</t>
        </is>
      </c>
      <c r="B184" t="inlineStr"/>
      <c r="C184" t="inlineStr"/>
      <c r="D184" t="inlineStr"/>
      <c r="E184" t="inlineStr">
        <is>
          <t>I think it would be better for my daughter to be on her own experiencing this!</t>
        </is>
      </c>
      <c r="F184" t="inlineStr">
        <is>
          <t>Wants Child to Have Independent Experience</t>
        </is>
      </c>
      <c r="G184" t="inlineStr">
        <is>
          <t>Wants Child to Have Independent Experience</t>
        </is>
      </c>
      <c r="H184" t="inlineStr"/>
      <c r="I184" t="inlineStr">
        <is>
          <t>Family's Own Choice</t>
        </is>
      </c>
      <c r="J184" t="b">
        <v>0</v>
      </c>
      <c r="K184" t="n">
        <v>1</v>
      </c>
      <c r="L184" t="inlineStr"/>
      <c r="M184" t="inlineStr"/>
    </row>
    <row r="185">
      <c r="A185" t="inlineStr">
        <is>
          <t>No</t>
        </is>
      </c>
      <c r="B185" t="inlineStr"/>
      <c r="C185" t="inlineStr"/>
      <c r="D185" t="inlineStr"/>
      <c r="E185" t="inlineStr">
        <is>
          <t>son wanted to see how he could do being away from us in preparing for leaving on a mission next summer.</t>
        </is>
      </c>
      <c r="F185" t="inlineStr">
        <is>
          <t>Other Life Commitment</t>
        </is>
      </c>
      <c r="G185" t="inlineStr">
        <is>
          <t>Other Life Commitment</t>
        </is>
      </c>
      <c r="H185" t="inlineStr"/>
      <c r="I185" t="inlineStr">
        <is>
          <t>Family's Own Choice</t>
        </is>
      </c>
      <c r="J185" t="b">
        <v>0</v>
      </c>
      <c r="K185" t="n">
        <v>1</v>
      </c>
      <c r="L185" t="inlineStr"/>
      <c r="M185" t="inlineStr"/>
    </row>
    <row r="186">
      <c r="A186" t="inlineStr">
        <is>
          <t>Maybe</t>
        </is>
      </c>
      <c r="B186" t="inlineStr"/>
      <c r="C186" t="inlineStr"/>
      <c r="D186" t="inlineStr"/>
      <c r="E186" t="inlineStr"/>
      <c r="F186" t="inlineStr"/>
      <c r="G186" t="inlineStr"/>
      <c r="H186" t="inlineStr"/>
      <c r="I186" t="inlineStr"/>
      <c r="J186" t="b">
        <v>0</v>
      </c>
      <c r="K186" t="n">
        <v>0</v>
      </c>
      <c r="L186" t="inlineStr"/>
      <c r="M186" t="inlineStr"/>
    </row>
    <row r="187">
      <c r="A187" t="inlineStr">
        <is>
          <t>No</t>
        </is>
      </c>
      <c r="B187" t="inlineStr"/>
      <c r="C187" t="inlineStr"/>
      <c r="D187" t="inlineStr"/>
      <c r="E187" t="inlineStr">
        <is>
          <t>Too many thing going on at home, and cost.</t>
        </is>
      </c>
      <c r="F187" t="inlineStr">
        <is>
          <t>Cost / Finances</t>
        </is>
      </c>
      <c r="G187" t="inlineStr">
        <is>
          <t>Cost / Finances</t>
        </is>
      </c>
      <c r="H187" t="inlineStr"/>
      <c r="I187" t="inlineStr">
        <is>
          <t>HXP Can Directly Fix</t>
        </is>
      </c>
      <c r="J187" t="b">
        <v>0</v>
      </c>
      <c r="K187" t="n">
        <v>1</v>
      </c>
      <c r="L187" t="inlineStr"/>
      <c r="M187" t="inlineStr"/>
    </row>
    <row r="188">
      <c r="A188" t="inlineStr">
        <is>
          <t>No</t>
        </is>
      </c>
      <c r="B188" t="inlineStr"/>
      <c r="C188" t="inlineStr"/>
      <c r="D188" t="inlineStr"/>
      <c r="E188" t="inlineStr">
        <is>
          <t>I attended as a parent builder with my daughter in Malawi 2022. We absolutely loved it. My son wanted to go on a trip independently this time. I hope to go again sometime!</t>
        </is>
      </c>
      <c r="F188" t="inlineStr">
        <is>
          <t>Work Schedule / Time Off</t>
        </is>
      </c>
      <c r="G188" t="inlineStr">
        <is>
          <t>Work Schedule / Time Off; Wants Child to Have Independent Experience</t>
        </is>
      </c>
      <c r="H188" t="inlineStr"/>
      <c r="I188" t="inlineStr">
        <is>
          <t>HXP Can Influence</t>
        </is>
      </c>
      <c r="J188" t="b">
        <v>0</v>
      </c>
      <c r="K188" t="n">
        <v>2</v>
      </c>
      <c r="L188" t="inlineStr"/>
      <c r="M188" t="inlineStr"/>
    </row>
    <row r="189">
      <c r="A189" t="inlineStr">
        <is>
          <t>No</t>
        </is>
      </c>
      <c r="B189" t="inlineStr"/>
      <c r="C189" t="inlineStr"/>
      <c r="D189" t="inlineStr"/>
      <c r="E189" t="inlineStr">
        <is>
          <t>my son didn't ask me to go</t>
        </is>
      </c>
      <c r="F189" t="inlineStr">
        <is>
          <t>Child Didn't Want Parent to Come</t>
        </is>
      </c>
      <c r="G189" t="inlineStr">
        <is>
          <t>Child Didn't Want Parent to Come</t>
        </is>
      </c>
      <c r="H189" t="inlineStr"/>
      <c r="I189" t="inlineStr">
        <is>
          <t>Family's Own Choice</t>
        </is>
      </c>
      <c r="J189" t="b">
        <v>0</v>
      </c>
      <c r="K189" t="n">
        <v>1</v>
      </c>
      <c r="L189" t="inlineStr"/>
      <c r="M189" t="inlineStr"/>
    </row>
    <row r="190">
      <c r="A190" t="inlineStr">
        <is>
          <t>No</t>
        </is>
      </c>
      <c r="B190" t="inlineStr"/>
      <c r="C190" t="inlineStr"/>
      <c r="D190" t="inlineStr"/>
      <c r="E190" t="inlineStr">
        <is>
          <t>More kids at home.</t>
        </is>
      </c>
      <c r="F190" t="inlineStr">
        <is>
          <t>Other Kids / Family at Home</t>
        </is>
      </c>
      <c r="G190" t="inlineStr">
        <is>
          <t>Other Kids / Family at Home</t>
        </is>
      </c>
      <c r="H190" t="inlineStr"/>
      <c r="I190" t="inlineStr">
        <is>
          <t>Family's Own Choice</t>
        </is>
      </c>
      <c r="J190" t="b">
        <v>0</v>
      </c>
      <c r="K190" t="n">
        <v>1</v>
      </c>
      <c r="L190" t="inlineStr"/>
      <c r="M190" t="inlineStr"/>
    </row>
    <row r="191">
      <c r="A191" t="inlineStr">
        <is>
          <t>No</t>
        </is>
      </c>
      <c r="B191" t="inlineStr"/>
      <c r="C191" t="inlineStr"/>
      <c r="D191" t="inlineStr"/>
      <c r="E191" t="inlineStr">
        <is>
          <t>we wanted our child to be able to enjloy this experience on her own without us - we feel that she will have a much better experience being able to go and meet new people and feel independent of parental influence</t>
        </is>
      </c>
      <c r="F191" t="inlineStr">
        <is>
          <t>Wants Child to Have Independent Experience</t>
        </is>
      </c>
      <c r="G191" t="inlineStr">
        <is>
          <t>Wants Child to Have Independent Experience</t>
        </is>
      </c>
      <c r="H191" t="inlineStr"/>
      <c r="I191" t="inlineStr">
        <is>
          <t>Family's Own Choice</t>
        </is>
      </c>
      <c r="J191" t="b">
        <v>0</v>
      </c>
      <c r="K191" t="n">
        <v>1</v>
      </c>
      <c r="L191" t="inlineStr"/>
      <c r="M191" t="inlineStr"/>
    </row>
    <row r="192">
      <c r="A192" t="inlineStr">
        <is>
          <t>No</t>
        </is>
      </c>
      <c r="B192" t="inlineStr"/>
      <c r="C192" t="inlineStr"/>
      <c r="D192" t="inlineStr"/>
      <c r="E192" t="inlineStr">
        <is>
          <t>Money and time</t>
        </is>
      </c>
      <c r="F192" t="inlineStr">
        <is>
          <t>Cost / Finances</t>
        </is>
      </c>
      <c r="G192" t="inlineStr">
        <is>
          <t>Cost / Finances; Work Schedule / Time Off</t>
        </is>
      </c>
      <c r="H192" t="inlineStr"/>
      <c r="I192" t="inlineStr">
        <is>
          <t>HXP Can Directly Fix</t>
        </is>
      </c>
      <c r="J192" t="b">
        <v>0</v>
      </c>
      <c r="K192" t="n">
        <v>2</v>
      </c>
      <c r="L192" t="inlineStr"/>
      <c r="M192" t="inlineStr"/>
    </row>
    <row r="193">
      <c r="A193" t="inlineStr">
        <is>
          <t>No</t>
        </is>
      </c>
      <c r="B193" t="inlineStr"/>
      <c r="C193" t="inlineStr"/>
      <c r="D193" t="inlineStr"/>
      <c r="E193" t="inlineStr"/>
      <c r="F193" t="inlineStr"/>
      <c r="G193" t="inlineStr"/>
      <c r="H193" t="inlineStr"/>
      <c r="I193" t="inlineStr"/>
      <c r="J193" t="b">
        <v>0</v>
      </c>
      <c r="K193" t="n">
        <v>0</v>
      </c>
      <c r="L193" t="inlineStr"/>
      <c r="M193" t="inlineStr"/>
    </row>
    <row r="194">
      <c r="A194" t="inlineStr">
        <is>
          <t>No</t>
        </is>
      </c>
      <c r="B194" t="inlineStr"/>
      <c r="C194" t="inlineStr"/>
      <c r="D194" t="inlineStr"/>
      <c r="E194" t="inlineStr">
        <is>
          <t>I have other children at home and it is too long to leave them. My so. Also wanted an experience just for himself.</t>
        </is>
      </c>
      <c r="F194" t="inlineStr">
        <is>
          <t>Other Kids / Family at Home</t>
        </is>
      </c>
      <c r="G194" t="inlineStr">
        <is>
          <t>Other Kids / Family at Home; Wants Child to Have Independent Experience</t>
        </is>
      </c>
      <c r="H194" t="inlineStr"/>
      <c r="I194" t="inlineStr">
        <is>
          <t>Family's Own Choice</t>
        </is>
      </c>
      <c r="J194" t="b">
        <v>0</v>
      </c>
      <c r="K194" t="n">
        <v>2</v>
      </c>
      <c r="L194" t="inlineStr"/>
      <c r="M194" t="inlineStr"/>
    </row>
    <row r="195">
      <c r="A195" t="inlineStr">
        <is>
          <t>No</t>
        </is>
      </c>
      <c r="B195" t="inlineStr"/>
      <c r="C195" t="inlineStr"/>
      <c r="D195" t="inlineStr"/>
      <c r="E195" t="inlineStr">
        <is>
          <t>I wanted my daughter to have this experience on her own before she moves out of state for college in the fall. Trying her first time away from home this long in preparation for moving out of state. We will miss her greatly.</t>
        </is>
      </c>
      <c r="F195" t="inlineStr">
        <is>
          <t>Work Schedule / Time Off</t>
        </is>
      </c>
      <c r="G195" t="inlineStr">
        <is>
          <t>Work Schedule / Time Off; Other Kids / Family at Home; Wants Child to Have Independent Experience; Other Life Commitment</t>
        </is>
      </c>
      <c r="H195" t="inlineStr"/>
      <c r="I195" t="inlineStr">
        <is>
          <t>HXP Can Influence</t>
        </is>
      </c>
      <c r="J195" t="b">
        <v>0</v>
      </c>
      <c r="K195" t="n">
        <v>4</v>
      </c>
      <c r="L195" t="inlineStr"/>
      <c r="M195" t="inlineStr"/>
    </row>
    <row r="196">
      <c r="A196" t="inlineStr">
        <is>
          <t>No</t>
        </is>
      </c>
      <c r="B196" t="inlineStr"/>
      <c r="C196" t="inlineStr"/>
      <c r="D196" t="inlineStr"/>
      <c r="E196" t="inlineStr">
        <is>
          <t>Cost.</t>
        </is>
      </c>
      <c r="F196" t="inlineStr">
        <is>
          <t>Cost / Finances</t>
        </is>
      </c>
      <c r="G196" t="inlineStr">
        <is>
          <t>Cost / Finances</t>
        </is>
      </c>
      <c r="H196" t="inlineStr"/>
      <c r="I196" t="inlineStr">
        <is>
          <t>HXP Can Directly Fix</t>
        </is>
      </c>
      <c r="J196" t="b">
        <v>0</v>
      </c>
      <c r="K196" t="n">
        <v>1</v>
      </c>
      <c r="L196" t="inlineStr"/>
      <c r="M196" t="inlineStr"/>
    </row>
    <row r="197">
      <c r="A197" t="inlineStr">
        <is>
          <t>Yes</t>
        </is>
      </c>
      <c r="B197" t="inlineStr">
        <is>
          <t>Someone at hxp and my daughter</t>
        </is>
      </c>
      <c r="C197" t="inlineStr">
        <is>
          <t>Other / Uncategorized</t>
        </is>
      </c>
      <c r="D197" t="inlineStr"/>
      <c r="E197" t="inlineStr"/>
      <c r="F197" t="inlineStr"/>
      <c r="G197" t="inlineStr"/>
      <c r="H197" t="inlineStr"/>
      <c r="I197" t="inlineStr"/>
      <c r="J197" t="b">
        <v>0</v>
      </c>
      <c r="K197" t="n">
        <v>0</v>
      </c>
      <c r="L197" t="inlineStr"/>
      <c r="M197" t="inlineStr"/>
    </row>
    <row r="198">
      <c r="A198" t="inlineStr">
        <is>
          <t>No</t>
        </is>
      </c>
      <c r="B198" t="inlineStr"/>
      <c r="C198" t="inlineStr"/>
      <c r="D198" t="inlineStr"/>
      <c r="E198" t="inlineStr">
        <is>
          <t>Time</t>
        </is>
      </c>
      <c r="F198" t="inlineStr">
        <is>
          <t>Work Schedule / Time Off</t>
        </is>
      </c>
      <c r="G198" t="inlineStr">
        <is>
          <t>Work Schedule / Time Off</t>
        </is>
      </c>
      <c r="H198" t="inlineStr"/>
      <c r="I198" t="inlineStr">
        <is>
          <t>HXP Can Influence</t>
        </is>
      </c>
      <c r="J198" t="b">
        <v>0</v>
      </c>
      <c r="K198" t="n">
        <v>1</v>
      </c>
      <c r="L198" t="inlineStr"/>
      <c r="M198" t="inlineStr"/>
    </row>
    <row r="199">
      <c r="A199" t="inlineStr">
        <is>
          <t>No</t>
        </is>
      </c>
      <c r="B199" t="inlineStr"/>
      <c r="C199" t="inlineStr"/>
      <c r="D199" t="inlineStr"/>
      <c r="E199" t="inlineStr">
        <is>
          <t>Cost</t>
        </is>
      </c>
      <c r="F199" t="inlineStr">
        <is>
          <t>Cost / Finances</t>
        </is>
      </c>
      <c r="G199" t="inlineStr">
        <is>
          <t>Cost / Finances</t>
        </is>
      </c>
      <c r="H199" t="inlineStr"/>
      <c r="I199" t="inlineStr">
        <is>
          <t>HXP Can Directly Fix</t>
        </is>
      </c>
      <c r="J199" t="b">
        <v>0</v>
      </c>
      <c r="K199" t="n">
        <v>1</v>
      </c>
      <c r="L199" t="inlineStr"/>
      <c r="M199" t="inlineStr"/>
    </row>
    <row r="200">
      <c r="A200" t="inlineStr">
        <is>
          <t>No</t>
        </is>
      </c>
      <c r="B200" t="inlineStr"/>
      <c r="C200" t="inlineStr"/>
      <c r="D200" t="inlineStr"/>
      <c r="E200" t="inlineStr">
        <is>
          <t>I have other children at home to care for. Also, the cost is too high for me to go as well.</t>
        </is>
      </c>
      <c r="F200" t="inlineStr">
        <is>
          <t>Cost / Finances</t>
        </is>
      </c>
      <c r="G200" t="inlineStr">
        <is>
          <t>Cost / Finances; Other Kids / Family at Home</t>
        </is>
      </c>
      <c r="H200" t="inlineStr"/>
      <c r="I200" t="inlineStr">
        <is>
          <t>HXP Can Directly Fix</t>
        </is>
      </c>
      <c r="J200" t="b">
        <v>0</v>
      </c>
      <c r="K200" t="n">
        <v>2</v>
      </c>
      <c r="L200" t="inlineStr"/>
      <c r="M200" t="inlineStr"/>
    </row>
    <row r="201">
      <c r="A201" t="inlineStr">
        <is>
          <t>No</t>
        </is>
      </c>
      <c r="B201" t="inlineStr"/>
      <c r="C201" t="inlineStr"/>
      <c r="D201" t="inlineStr"/>
      <c r="E201" t="inlineStr">
        <is>
          <t>Our girls (we have 2 going) needed to push themselves out of their comfort zones &amp; we thought that that would not happen if we were there. They would hold back getting to know others &amp; just stick closer to us.</t>
        </is>
      </c>
      <c r="F201" t="inlineStr">
        <is>
          <t>Wants Child to Have Independent Experience</t>
        </is>
      </c>
      <c r="G201" t="inlineStr">
        <is>
          <t>Wants Child to Have Independent Experience</t>
        </is>
      </c>
      <c r="H201" t="inlineStr"/>
      <c r="I201" t="inlineStr">
        <is>
          <t>Family's Own Choice</t>
        </is>
      </c>
      <c r="J201" t="b">
        <v>0</v>
      </c>
      <c r="K201" t="n">
        <v>1</v>
      </c>
      <c r="L201" t="inlineStr"/>
      <c r="M201" t="inlineStr"/>
    </row>
    <row r="202">
      <c r="A202" t="inlineStr">
        <is>
          <t>No</t>
        </is>
      </c>
      <c r="B202" t="inlineStr"/>
      <c r="C202" t="inlineStr"/>
      <c r="D202" t="inlineStr"/>
      <c r="E202" t="inlineStr"/>
      <c r="F202" t="inlineStr"/>
      <c r="G202" t="inlineStr"/>
      <c r="H202" t="inlineStr"/>
      <c r="I202" t="inlineStr"/>
      <c r="J202" t="b">
        <v>0</v>
      </c>
      <c r="K202" t="n">
        <v>0</v>
      </c>
      <c r="L202" t="inlineStr"/>
      <c r="M202" t="inlineStr"/>
    </row>
    <row r="203">
      <c r="A203" t="inlineStr">
        <is>
          <t>No</t>
        </is>
      </c>
      <c r="B203" t="inlineStr"/>
      <c r="C203" t="inlineStr"/>
      <c r="D203" t="inlineStr"/>
      <c r="E203" t="inlineStr">
        <is>
          <t>My child</t>
        </is>
      </c>
      <c r="F203" t="inlineStr">
        <is>
          <t>Family's Own Choice (No Elaboration)</t>
        </is>
      </c>
      <c r="G203" t="inlineStr">
        <is>
          <t>Family's Own Choice (No Elaboration)</t>
        </is>
      </c>
      <c r="H203" t="inlineStr"/>
      <c r="I203" t="inlineStr">
        <is>
          <t>Family's Own Choice</t>
        </is>
      </c>
      <c r="J203" t="b">
        <v>0</v>
      </c>
      <c r="K203" t="n">
        <v>1</v>
      </c>
      <c r="L203" t="inlineStr"/>
      <c r="M203" t="inlineStr"/>
    </row>
    <row r="204">
      <c r="A204" t="inlineStr">
        <is>
          <t>No</t>
        </is>
      </c>
      <c r="B204" t="inlineStr"/>
      <c r="C204" t="inlineStr"/>
      <c r="D204" t="inlineStr"/>
      <c r="E204" t="inlineStr">
        <is>
          <t>My child didn't really want me to go</t>
        </is>
      </c>
      <c r="F204" t="inlineStr">
        <is>
          <t>Child Didn't Want Parent to Come</t>
        </is>
      </c>
      <c r="G204" t="inlineStr">
        <is>
          <t>Child Didn't Want Parent to Come</t>
        </is>
      </c>
      <c r="H204" t="inlineStr"/>
      <c r="I204" t="inlineStr">
        <is>
          <t>Family's Own Choice</t>
        </is>
      </c>
      <c r="J204" t="b">
        <v>0</v>
      </c>
      <c r="K204" t="n">
        <v>1</v>
      </c>
      <c r="L204" t="inlineStr"/>
      <c r="M204" t="inlineStr"/>
    </row>
    <row r="205">
      <c r="A205" t="inlineStr">
        <is>
          <t>No</t>
        </is>
      </c>
      <c r="B205" t="inlineStr"/>
      <c r="C205" t="inlineStr"/>
      <c r="D205" t="inlineStr"/>
      <c r="E205" t="inlineStr">
        <is>
          <t>I have other kids at home I need to be here for</t>
        </is>
      </c>
      <c r="F205" t="inlineStr">
        <is>
          <t>Other Kids / Family at Home</t>
        </is>
      </c>
      <c r="G205" t="inlineStr">
        <is>
          <t>Other Kids / Family at Home</t>
        </is>
      </c>
      <c r="H205" t="inlineStr"/>
      <c r="I205" t="inlineStr">
        <is>
          <t>Family's Own Choice</t>
        </is>
      </c>
      <c r="J205" t="b">
        <v>0</v>
      </c>
      <c r="K205" t="n">
        <v>1</v>
      </c>
      <c r="L205" t="inlineStr"/>
      <c r="M205" t="inlineStr"/>
    </row>
    <row r="206">
      <c r="A206" t="inlineStr">
        <is>
          <t>No</t>
        </is>
      </c>
      <c r="B206" t="inlineStr"/>
      <c r="C206" t="inlineStr"/>
      <c r="D206" t="inlineStr"/>
      <c r="E206" t="inlineStr">
        <is>
          <t>Time of year</t>
        </is>
      </c>
      <c r="F206" t="inlineStr">
        <is>
          <t>Work Schedule / Time Off</t>
        </is>
      </c>
      <c r="G206" t="inlineStr">
        <is>
          <t>Work Schedule / Time Off</t>
        </is>
      </c>
      <c r="H206" t="inlineStr"/>
      <c r="I206" t="inlineStr">
        <is>
          <t>HXP Can Influence</t>
        </is>
      </c>
      <c r="J206" t="b">
        <v>0</v>
      </c>
      <c r="K206" t="n">
        <v>1</v>
      </c>
      <c r="L206" t="inlineStr"/>
      <c r="M206" t="inlineStr"/>
    </row>
    <row r="207">
      <c r="A207" t="inlineStr">
        <is>
          <t>No</t>
        </is>
      </c>
      <c r="B207" t="inlineStr"/>
      <c r="C207" t="inlineStr"/>
      <c r="D207" t="inlineStr"/>
      <c r="E207" t="inlineStr"/>
      <c r="F207" t="inlineStr"/>
      <c r="G207" t="inlineStr"/>
      <c r="H207" t="inlineStr"/>
      <c r="I207" t="inlineStr"/>
      <c r="J207" t="b">
        <v>0</v>
      </c>
      <c r="K207" t="n">
        <v>0</v>
      </c>
      <c r="L207" t="inlineStr"/>
      <c r="M207" t="inlineStr"/>
    </row>
    <row r="208">
      <c r="A208" t="inlineStr">
        <is>
          <t>No</t>
        </is>
      </c>
      <c r="B208" t="inlineStr"/>
      <c r="C208" t="inlineStr"/>
      <c r="D208" t="inlineStr"/>
      <c r="E208" t="inlineStr">
        <is>
          <t>I have younger kids at home that need me.</t>
        </is>
      </c>
      <c r="F208" t="inlineStr">
        <is>
          <t>Other Kids / Family at Home</t>
        </is>
      </c>
      <c r="G208" t="inlineStr">
        <is>
          <t>Other Kids / Family at Home</t>
        </is>
      </c>
      <c r="H208" t="inlineStr"/>
      <c r="I208" t="inlineStr">
        <is>
          <t>Family's Own Choice</t>
        </is>
      </c>
      <c r="J208" t="b">
        <v>0</v>
      </c>
      <c r="K208" t="n">
        <v>1</v>
      </c>
      <c r="L208" t="inlineStr"/>
      <c r="M208" t="inlineStr"/>
    </row>
    <row r="209">
      <c r="A209" t="inlineStr">
        <is>
          <t>No</t>
        </is>
      </c>
      <c r="B209" t="inlineStr"/>
      <c r="C209" t="inlineStr"/>
      <c r="D209" t="inlineStr"/>
      <c r="E209" t="inlineStr">
        <is>
          <t>Physical limitations</t>
        </is>
      </c>
      <c r="F209" t="inlineStr">
        <is>
          <t>Health / Physical / Age</t>
        </is>
      </c>
      <c r="G209" t="inlineStr">
        <is>
          <t>Health / Physical / Age</t>
        </is>
      </c>
      <c r="H209" t="inlineStr"/>
      <c r="I209" t="inlineStr">
        <is>
          <t>HXP Can Influence</t>
        </is>
      </c>
      <c r="J209" t="b">
        <v>0</v>
      </c>
      <c r="K209" t="n">
        <v>1</v>
      </c>
      <c r="L209" t="inlineStr"/>
      <c r="M209" t="inlineStr"/>
    </row>
    <row r="210">
      <c r="A210" t="inlineStr">
        <is>
          <t>Yes</t>
        </is>
      </c>
      <c r="B210" t="inlineStr">
        <is>
          <t>Love HXP and what they offer</t>
        </is>
      </c>
      <c r="C210" t="inlineStr">
        <is>
          <t>Trust in the HXP Program</t>
        </is>
      </c>
      <c r="D210" t="inlineStr">
        <is>
          <t>Trust in the HXP Program</t>
        </is>
      </c>
      <c r="E210" t="inlineStr"/>
      <c r="F210" t="inlineStr"/>
      <c r="G210" t="inlineStr"/>
      <c r="H210" t="inlineStr"/>
      <c r="I210" t="inlineStr"/>
      <c r="J210" t="b">
        <v>0</v>
      </c>
      <c r="K210" t="n">
        <v>0</v>
      </c>
      <c r="L210" t="inlineStr"/>
      <c r="M210" t="inlineStr"/>
    </row>
    <row r="211">
      <c r="A211" t="inlineStr">
        <is>
          <t>No</t>
        </is>
      </c>
      <c r="B211" t="inlineStr"/>
      <c r="C211" t="inlineStr"/>
      <c r="D211" t="inlineStr"/>
      <c r="E211" t="inlineStr"/>
      <c r="F211" t="inlineStr"/>
      <c r="G211" t="inlineStr"/>
      <c r="H211" t="inlineStr"/>
      <c r="I211" t="inlineStr"/>
      <c r="J211" t="b">
        <v>0</v>
      </c>
      <c r="K211" t="n">
        <v>0</v>
      </c>
      <c r="L211" t="inlineStr"/>
      <c r="M211" t="inlineStr"/>
    </row>
    <row r="212">
      <c r="A212" t="inlineStr">
        <is>
          <t>No</t>
        </is>
      </c>
      <c r="B212" t="inlineStr"/>
      <c r="C212" t="inlineStr"/>
      <c r="D212" t="inlineStr"/>
      <c r="E212" t="inlineStr">
        <is>
          <t>My child wanted to go without a parent.</t>
        </is>
      </c>
      <c r="F212" t="inlineStr">
        <is>
          <t>Wants Child to Have Independent Experience</t>
        </is>
      </c>
      <c r="G212" t="inlineStr">
        <is>
          <t>Wants Child to Have Independent Experience</t>
        </is>
      </c>
      <c r="H212" t="inlineStr"/>
      <c r="I212" t="inlineStr">
        <is>
          <t>Family's Own Choice</t>
        </is>
      </c>
      <c r="J212" t="b">
        <v>0</v>
      </c>
      <c r="K212" t="n">
        <v>1</v>
      </c>
      <c r="L212" t="inlineStr"/>
      <c r="M212" t="inlineStr"/>
    </row>
    <row r="213">
      <c r="A213" t="inlineStr">
        <is>
          <t>No</t>
        </is>
      </c>
      <c r="B213" t="inlineStr"/>
      <c r="C213" t="inlineStr"/>
      <c r="D213" t="inlineStr"/>
      <c r="E213" t="inlineStr">
        <is>
          <t>Time constraints with working</t>
        </is>
      </c>
      <c r="F213" t="inlineStr">
        <is>
          <t>Work Schedule / Time Off</t>
        </is>
      </c>
      <c r="G213" t="inlineStr">
        <is>
          <t>Work Schedule / Time Off</t>
        </is>
      </c>
      <c r="H213" t="inlineStr"/>
      <c r="I213" t="inlineStr">
        <is>
          <t>HXP Can Influence</t>
        </is>
      </c>
      <c r="J213" t="b">
        <v>0</v>
      </c>
      <c r="K213" t="n">
        <v>1</v>
      </c>
      <c r="L213" t="inlineStr"/>
      <c r="M213" t="inlineStr"/>
    </row>
    <row r="214">
      <c r="A214" t="inlineStr">
        <is>
          <t>No</t>
        </is>
      </c>
      <c r="B214" t="inlineStr"/>
      <c r="C214" t="inlineStr"/>
      <c r="D214" t="inlineStr"/>
      <c r="E214" t="inlineStr">
        <is>
          <t>Money</t>
        </is>
      </c>
      <c r="F214" t="inlineStr">
        <is>
          <t>Cost / Finances</t>
        </is>
      </c>
      <c r="G214" t="inlineStr">
        <is>
          <t>Cost / Finances</t>
        </is>
      </c>
      <c r="H214" t="inlineStr"/>
      <c r="I214" t="inlineStr">
        <is>
          <t>HXP Can Directly Fix</t>
        </is>
      </c>
      <c r="J214" t="b">
        <v>0</v>
      </c>
      <c r="K214" t="n">
        <v>1</v>
      </c>
      <c r="L214" t="inlineStr"/>
      <c r="M214" t="inlineStr"/>
    </row>
    <row r="215">
      <c r="A215" t="inlineStr">
        <is>
          <t>No</t>
        </is>
      </c>
      <c r="B215" t="inlineStr"/>
      <c r="C215" t="inlineStr"/>
      <c r="D215" t="inlineStr"/>
      <c r="E215" t="inlineStr">
        <is>
          <t>Younger kids at home</t>
        </is>
      </c>
      <c r="F215" t="inlineStr">
        <is>
          <t>Other Kids / Family at Home</t>
        </is>
      </c>
      <c r="G215" t="inlineStr">
        <is>
          <t>Other Kids / Family at Home</t>
        </is>
      </c>
      <c r="H215" t="inlineStr"/>
      <c r="I215" t="inlineStr">
        <is>
          <t>Family's Own Choice</t>
        </is>
      </c>
      <c r="J215" t="b">
        <v>0</v>
      </c>
      <c r="K215" t="n">
        <v>1</v>
      </c>
      <c r="L215" t="inlineStr"/>
      <c r="M215" t="inlineStr"/>
    </row>
    <row r="216">
      <c r="A216" t="inlineStr">
        <is>
          <t>No</t>
        </is>
      </c>
      <c r="B216" t="inlineStr"/>
      <c r="C216" t="inlineStr"/>
      <c r="D216" t="inlineStr"/>
      <c r="E216" t="inlineStr"/>
      <c r="F216" t="inlineStr"/>
      <c r="G216" t="inlineStr"/>
      <c r="H216" t="inlineStr"/>
      <c r="I216" t="inlineStr"/>
      <c r="J216" t="b">
        <v>0</v>
      </c>
      <c r="K216" t="n">
        <v>0</v>
      </c>
      <c r="L216" t="inlineStr"/>
      <c r="M216" t="inlineStr"/>
    </row>
    <row r="217">
      <c r="A217" t="inlineStr">
        <is>
          <t>No</t>
        </is>
      </c>
      <c r="B217" t="inlineStr"/>
      <c r="C217" t="inlineStr"/>
      <c r="D217" t="inlineStr"/>
      <c r="E217" t="inlineStr">
        <is>
          <t>time commitment</t>
        </is>
      </c>
      <c r="F217" t="inlineStr">
        <is>
          <t>Work Schedule / Time Off</t>
        </is>
      </c>
      <c r="G217" t="inlineStr">
        <is>
          <t>Work Schedule / Time Off</t>
        </is>
      </c>
      <c r="H217" t="inlineStr"/>
      <c r="I217" t="inlineStr">
        <is>
          <t>HXP Can Influence</t>
        </is>
      </c>
      <c r="J217" t="b">
        <v>0</v>
      </c>
      <c r="K217" t="n">
        <v>1</v>
      </c>
      <c r="L217" t="inlineStr"/>
      <c r="M217" t="inlineStr"/>
    </row>
    <row r="218">
      <c r="A218" t="inlineStr">
        <is>
          <t>No</t>
        </is>
      </c>
      <c r="B218" t="inlineStr"/>
      <c r="C218" t="inlineStr"/>
      <c r="D218" t="inlineStr"/>
      <c r="E218" t="inlineStr">
        <is>
          <t>Our daughter really wanted to go on her own, after reading on the website why it's good to go without friends. She decided without a parent would be good too. Haha!</t>
        </is>
      </c>
      <c r="F218" t="inlineStr">
        <is>
          <t>Wants Child to Have Independent Experience</t>
        </is>
      </c>
      <c r="G218" t="inlineStr">
        <is>
          <t>Wants Child to Have Independent Experience</t>
        </is>
      </c>
      <c r="H218" t="inlineStr"/>
      <c r="I218" t="inlineStr">
        <is>
          <t>Family's Own Choice</t>
        </is>
      </c>
      <c r="J218" t="b">
        <v>0</v>
      </c>
      <c r="K218" t="n">
        <v>1</v>
      </c>
      <c r="L218" t="inlineStr"/>
      <c r="M218" t="inlineStr"/>
    </row>
    <row r="219">
      <c r="A219" t="inlineStr">
        <is>
          <t>Yes</t>
        </is>
      </c>
      <c r="B219" t="inlineStr">
        <is>
          <t>spending time with my son</t>
        </is>
      </c>
      <c r="C219" t="inlineStr">
        <is>
          <t>Wanted Shared Experience with Child</t>
        </is>
      </c>
      <c r="D219" t="inlineStr">
        <is>
          <t>Wanted Shared Experience with Child</t>
        </is>
      </c>
      <c r="E219" t="inlineStr"/>
      <c r="F219" t="inlineStr"/>
      <c r="G219" t="inlineStr"/>
      <c r="H219" t="inlineStr"/>
      <c r="I219" t="inlineStr"/>
      <c r="J219" t="b">
        <v>0</v>
      </c>
      <c r="K219" t="n">
        <v>0</v>
      </c>
      <c r="L219" t="inlineStr"/>
      <c r="M219" t="inlineStr"/>
    </row>
    <row r="220">
      <c r="A220" t="inlineStr">
        <is>
          <t>No</t>
        </is>
      </c>
      <c r="B220" t="inlineStr"/>
      <c r="C220" t="inlineStr"/>
      <c r="D220" t="inlineStr"/>
      <c r="E220" t="inlineStr">
        <is>
          <t>Other children and church calling.</t>
        </is>
      </c>
      <c r="F220" t="inlineStr">
        <is>
          <t>Other Kids / Family at Home</t>
        </is>
      </c>
      <c r="G220" t="inlineStr">
        <is>
          <t>Other Kids / Family at Home</t>
        </is>
      </c>
      <c r="H220" t="inlineStr"/>
      <c r="I220" t="inlineStr">
        <is>
          <t>Family's Own Choice</t>
        </is>
      </c>
      <c r="J220" t="b">
        <v>0</v>
      </c>
      <c r="K220" t="n">
        <v>1</v>
      </c>
      <c r="L220" t="inlineStr"/>
      <c r="M220" t="inlineStr"/>
    </row>
    <row r="221">
      <c r="A221" t="inlineStr">
        <is>
          <t>No</t>
        </is>
      </c>
      <c r="B221" t="inlineStr"/>
      <c r="C221" t="inlineStr"/>
      <c r="D221" t="inlineStr"/>
      <c r="E221" t="inlineStr">
        <is>
          <t>Mostly because it is a trip my kids want to do with out us. And it's expensive</t>
        </is>
      </c>
      <c r="F221" t="inlineStr">
        <is>
          <t>Cost / Finances</t>
        </is>
      </c>
      <c r="G221" t="inlineStr">
        <is>
          <t>Cost / Finances; Wants Child to Have Independent Experience</t>
        </is>
      </c>
      <c r="H221" t="inlineStr"/>
      <c r="I221" t="inlineStr">
        <is>
          <t>HXP Can Directly Fix</t>
        </is>
      </c>
      <c r="J221" t="b">
        <v>0</v>
      </c>
      <c r="K221" t="n">
        <v>2</v>
      </c>
      <c r="L221" t="inlineStr"/>
      <c r="M221" t="inlineStr"/>
    </row>
    <row r="222">
      <c r="A222" t="inlineStr">
        <is>
          <t>No</t>
        </is>
      </c>
      <c r="B222" t="inlineStr"/>
      <c r="C222" t="inlineStr"/>
      <c r="D222" t="inlineStr"/>
      <c r="E222" t="inlineStr">
        <is>
          <t>Work schedule</t>
        </is>
      </c>
      <c r="F222" t="inlineStr">
        <is>
          <t>Work Schedule / Time Off</t>
        </is>
      </c>
      <c r="G222" t="inlineStr">
        <is>
          <t>Work Schedule / Time Off</t>
        </is>
      </c>
      <c r="H222" t="inlineStr"/>
      <c r="I222" t="inlineStr">
        <is>
          <t>HXP Can Influence</t>
        </is>
      </c>
      <c r="J222" t="b">
        <v>0</v>
      </c>
      <c r="K222" t="n">
        <v>1</v>
      </c>
      <c r="L222" t="inlineStr"/>
      <c r="M222" t="inlineStr"/>
    </row>
    <row r="223">
      <c r="A223" t="inlineStr">
        <is>
          <t>No</t>
        </is>
      </c>
      <c r="B223" t="inlineStr"/>
      <c r="C223" t="inlineStr"/>
      <c r="D223" t="inlineStr"/>
      <c r="E223" t="inlineStr">
        <is>
          <t>It was full</t>
        </is>
      </c>
      <c r="F223" t="inlineStr">
        <is>
          <t>Trip / Spot Was Already Full</t>
        </is>
      </c>
      <c r="G223" t="inlineStr">
        <is>
          <t>Trip / Spot Was Already Full</t>
        </is>
      </c>
      <c r="H223" t="inlineStr"/>
      <c r="I223" t="inlineStr">
        <is>
          <t>HXP Can Directly Fix</t>
        </is>
      </c>
      <c r="J223" t="b">
        <v>0</v>
      </c>
      <c r="K223" t="n">
        <v>1</v>
      </c>
      <c r="L223" t="inlineStr"/>
      <c r="M223" t="inlineStr"/>
    </row>
    <row r="224">
      <c r="A224" t="inlineStr">
        <is>
          <t>No</t>
        </is>
      </c>
      <c r="B224" t="inlineStr"/>
      <c r="C224" t="inlineStr"/>
      <c r="D224" t="inlineStr"/>
      <c r="E224" t="inlineStr">
        <is>
          <t>Not a huge fan of traveling.</t>
        </is>
      </c>
      <c r="F224" t="inlineStr">
        <is>
          <t>Not a Traveler / Personal Preference</t>
        </is>
      </c>
      <c r="G224" t="inlineStr">
        <is>
          <t>Not a Traveler / Personal Preference</t>
        </is>
      </c>
      <c r="H224" t="inlineStr"/>
      <c r="I224" t="inlineStr">
        <is>
          <t>HXP Can Influence</t>
        </is>
      </c>
      <c r="J224" t="b">
        <v>0</v>
      </c>
      <c r="K224" t="n">
        <v>1</v>
      </c>
      <c r="L224" t="inlineStr"/>
      <c r="M224" t="inlineStr"/>
    </row>
    <row r="225">
      <c r="A225" t="inlineStr">
        <is>
          <t>No</t>
        </is>
      </c>
      <c r="B225" t="inlineStr"/>
      <c r="C225" t="inlineStr"/>
      <c r="D225" t="inlineStr"/>
      <c r="E225" t="inlineStr">
        <is>
          <t>Cost &amp; time committment</t>
        </is>
      </c>
      <c r="F225" t="inlineStr">
        <is>
          <t>Cost / Finances</t>
        </is>
      </c>
      <c r="G225" t="inlineStr">
        <is>
          <t>Cost / Finances; Work Schedule / Time Off</t>
        </is>
      </c>
      <c r="H225" t="inlineStr"/>
      <c r="I225" t="inlineStr">
        <is>
          <t>HXP Can Directly Fix</t>
        </is>
      </c>
      <c r="J225" t="b">
        <v>0</v>
      </c>
      <c r="K225" t="n">
        <v>2</v>
      </c>
      <c r="L225" t="inlineStr"/>
      <c r="M225" t="inlineStr"/>
    </row>
    <row r="226">
      <c r="A226" t="inlineStr">
        <is>
          <t>No</t>
        </is>
      </c>
      <c r="B226" t="inlineStr"/>
      <c r="C226" t="inlineStr"/>
      <c r="D226" t="inlineStr"/>
      <c r="E226" t="inlineStr"/>
      <c r="F226" t="inlineStr"/>
      <c r="G226" t="inlineStr"/>
      <c r="H226" t="inlineStr"/>
      <c r="I226" t="inlineStr"/>
      <c r="J226" t="b">
        <v>0</v>
      </c>
      <c r="K226" t="n">
        <v>0</v>
      </c>
      <c r="L226" t="inlineStr"/>
      <c r="M226" t="inlineStr"/>
    </row>
    <row r="227">
      <c r="A227" t="inlineStr">
        <is>
          <t>No</t>
        </is>
      </c>
      <c r="B227" t="inlineStr"/>
      <c r="C227" t="inlineStr"/>
      <c r="D227" t="inlineStr"/>
      <c r="E227" t="inlineStr">
        <is>
          <t>Money</t>
        </is>
      </c>
      <c r="F227" t="inlineStr">
        <is>
          <t>Cost / Finances</t>
        </is>
      </c>
      <c r="G227" t="inlineStr">
        <is>
          <t>Cost / Finances</t>
        </is>
      </c>
      <c r="H227" t="inlineStr"/>
      <c r="I227" t="inlineStr">
        <is>
          <t>HXP Can Directly Fix</t>
        </is>
      </c>
      <c r="J227" t="b">
        <v>0</v>
      </c>
      <c r="K227" t="n">
        <v>1</v>
      </c>
      <c r="L227" t="inlineStr"/>
      <c r="M227" t="inlineStr"/>
    </row>
    <row r="228">
      <c r="A228" t="inlineStr">
        <is>
          <t>No</t>
        </is>
      </c>
      <c r="B228" t="inlineStr"/>
      <c r="C228" t="inlineStr"/>
      <c r="D228" t="inlineStr"/>
      <c r="E228" t="inlineStr">
        <is>
          <t>I have other small kids so it's not feasible at this time</t>
        </is>
      </c>
      <c r="F228" t="inlineStr">
        <is>
          <t>Work Schedule / Time Off</t>
        </is>
      </c>
      <c r="G228" t="inlineStr">
        <is>
          <t>Work Schedule / Time Off</t>
        </is>
      </c>
      <c r="H228" t="inlineStr"/>
      <c r="I228" t="inlineStr">
        <is>
          <t>HXP Can Influence</t>
        </is>
      </c>
      <c r="J228" t="b">
        <v>0</v>
      </c>
      <c r="K228" t="n">
        <v>1</v>
      </c>
      <c r="L228" t="inlineStr"/>
      <c r="M228" t="inlineStr"/>
    </row>
    <row r="229">
      <c r="A229" t="inlineStr">
        <is>
          <t>No</t>
        </is>
      </c>
      <c r="B229" t="inlineStr"/>
      <c r="C229" t="inlineStr"/>
      <c r="D229" t="inlineStr"/>
      <c r="E229" t="inlineStr"/>
      <c r="F229" t="inlineStr"/>
      <c r="G229" t="inlineStr"/>
      <c r="H229" t="inlineStr"/>
      <c r="I229" t="inlineStr"/>
      <c r="J229" t="b">
        <v>0</v>
      </c>
      <c r="K229" t="n">
        <v>0</v>
      </c>
      <c r="L229" t="inlineStr"/>
      <c r="M229" t="inlineStr"/>
    </row>
    <row r="230">
      <c r="A230" t="inlineStr">
        <is>
          <t>No</t>
        </is>
      </c>
      <c r="B230" t="inlineStr"/>
      <c r="C230" t="inlineStr"/>
      <c r="D230" t="inlineStr"/>
      <c r="E230" t="inlineStr">
        <is>
          <t>I want my kids to have an experience without their own parents there.</t>
        </is>
      </c>
      <c r="F230" t="inlineStr">
        <is>
          <t>Wants Child to Have Independent Experience</t>
        </is>
      </c>
      <c r="G230" t="inlineStr">
        <is>
          <t>Wants Child to Have Independent Experience</t>
        </is>
      </c>
      <c r="H230" t="inlineStr"/>
      <c r="I230" t="inlineStr">
        <is>
          <t>Family's Own Choice</t>
        </is>
      </c>
      <c r="J230" t="b">
        <v>0</v>
      </c>
      <c r="K230" t="n">
        <v>1</v>
      </c>
      <c r="L230" t="inlineStr"/>
      <c r="M230" t="inlineStr"/>
    </row>
    <row r="231">
      <c r="A231" t="inlineStr">
        <is>
          <t>No</t>
        </is>
      </c>
      <c r="B231" t="inlineStr"/>
      <c r="C231" t="inlineStr"/>
      <c r="D231" t="inlineStr"/>
      <c r="E231" t="inlineStr">
        <is>
          <t>Got asked last minute and had other travel plans</t>
        </is>
      </c>
      <c r="F231" t="inlineStr">
        <is>
          <t>Other Life Commitment</t>
        </is>
      </c>
      <c r="G231" t="inlineStr">
        <is>
          <t>Other Life Commitment</t>
        </is>
      </c>
      <c r="H231" t="inlineStr"/>
      <c r="I231" t="inlineStr">
        <is>
          <t>Family's Own Choice</t>
        </is>
      </c>
      <c r="J231" t="b">
        <v>0</v>
      </c>
      <c r="K231" t="n">
        <v>1</v>
      </c>
      <c r="L231" t="inlineStr"/>
      <c r="M231" t="inlineStr"/>
    </row>
    <row r="232">
      <c r="A232" t="inlineStr">
        <is>
          <t>No</t>
        </is>
      </c>
      <c r="B232" t="inlineStr"/>
      <c r="C232" t="inlineStr"/>
      <c r="D232" t="inlineStr"/>
      <c r="E232" t="inlineStr">
        <is>
          <t>My son didn't want me to. He wanted his own experience. 🤣</t>
        </is>
      </c>
      <c r="F232" t="inlineStr">
        <is>
          <t>Child Didn't Want Parent to Come</t>
        </is>
      </c>
      <c r="G232" t="inlineStr">
        <is>
          <t>Child Didn't Want Parent to Come; Wants Child to Have Independent Experience</t>
        </is>
      </c>
      <c r="H232" t="inlineStr"/>
      <c r="I232" t="inlineStr">
        <is>
          <t>Family's Own Choice</t>
        </is>
      </c>
      <c r="J232" t="b">
        <v>0</v>
      </c>
      <c r="K232" t="n">
        <v>2</v>
      </c>
      <c r="L232" t="inlineStr"/>
      <c r="M232" t="inlineStr"/>
    </row>
    <row r="233">
      <c r="A233" t="inlineStr">
        <is>
          <t>Yes</t>
        </is>
      </c>
      <c r="B233" t="inlineStr">
        <is>
          <t>Having this experience to share with my daughter</t>
        </is>
      </c>
      <c r="C233" t="inlineStr">
        <is>
          <t>Wanted Shared Experience with Child</t>
        </is>
      </c>
      <c r="D233" t="inlineStr">
        <is>
          <t>Wanted Shared Experience with Child</t>
        </is>
      </c>
      <c r="E233" t="inlineStr"/>
      <c r="F233" t="inlineStr"/>
      <c r="G233" t="inlineStr"/>
      <c r="H233" t="inlineStr"/>
      <c r="I233" t="inlineStr"/>
      <c r="J233" t="b">
        <v>0</v>
      </c>
      <c r="K233" t="n">
        <v>0</v>
      </c>
      <c r="L233" t="inlineStr"/>
      <c r="M233" t="inlineStr"/>
    </row>
    <row r="234">
      <c r="A234" t="inlineStr">
        <is>
          <t>No</t>
        </is>
      </c>
      <c r="B234" t="inlineStr"/>
      <c r="C234" t="inlineStr"/>
      <c r="D234" t="inlineStr"/>
      <c r="E234" t="inlineStr">
        <is>
          <t>My son's independece</t>
        </is>
      </c>
      <c r="F234" t="inlineStr">
        <is>
          <t>Wants Child to Have Independent Experience</t>
        </is>
      </c>
      <c r="G234" t="inlineStr">
        <is>
          <t>Wants Child to Have Independent Experience</t>
        </is>
      </c>
      <c r="H234" t="inlineStr"/>
      <c r="I234" t="inlineStr">
        <is>
          <t>Family's Own Choice</t>
        </is>
      </c>
      <c r="J234" t="b">
        <v>0</v>
      </c>
      <c r="K234" t="n">
        <v>1</v>
      </c>
      <c r="L234" t="inlineStr"/>
      <c r="M234" t="inlineStr"/>
    </row>
    <row r="235">
      <c r="A235" t="inlineStr">
        <is>
          <t>No</t>
        </is>
      </c>
      <c r="B235" t="inlineStr"/>
      <c r="C235" t="inlineStr"/>
      <c r="D235" t="inlineStr"/>
      <c r="E235" t="inlineStr">
        <is>
          <t>Time</t>
        </is>
      </c>
      <c r="F235" t="inlineStr">
        <is>
          <t>Work Schedule / Time Off</t>
        </is>
      </c>
      <c r="G235" t="inlineStr">
        <is>
          <t>Work Schedule / Time Off</t>
        </is>
      </c>
      <c r="H235" t="inlineStr"/>
      <c r="I235" t="inlineStr">
        <is>
          <t>HXP Can Influence</t>
        </is>
      </c>
      <c r="J235" t="b">
        <v>0</v>
      </c>
      <c r="K235" t="n">
        <v>1</v>
      </c>
      <c r="L235" t="inlineStr"/>
      <c r="M235" t="inlineStr"/>
    </row>
    <row r="236">
      <c r="A236" t="inlineStr">
        <is>
          <t>Yes</t>
        </is>
      </c>
      <c r="B236" t="inlineStr">
        <is>
          <t>Previous children went on HXP</t>
        </is>
      </c>
      <c r="C236" t="inlineStr">
        <is>
          <t>Previous Positive Experience</t>
        </is>
      </c>
      <c r="D236" t="inlineStr">
        <is>
          <t>Previous Positive Experience</t>
        </is>
      </c>
      <c r="E236" t="inlineStr"/>
      <c r="F236" t="inlineStr"/>
      <c r="G236" t="inlineStr"/>
      <c r="H236" t="inlineStr"/>
      <c r="I236" t="inlineStr"/>
      <c r="J236" t="b">
        <v>0</v>
      </c>
      <c r="K236" t="n">
        <v>0</v>
      </c>
      <c r="L236" t="inlineStr"/>
      <c r="M236" t="inlineStr"/>
    </row>
    <row r="237">
      <c r="A237" t="inlineStr">
        <is>
          <t>No</t>
        </is>
      </c>
      <c r="B237" t="inlineStr"/>
      <c r="C237" t="inlineStr"/>
      <c r="D237" t="inlineStr"/>
      <c r="E237" t="inlineStr">
        <is>
          <t>Children at home.</t>
        </is>
      </c>
      <c r="F237" t="inlineStr">
        <is>
          <t>Other Kids / Family at Home</t>
        </is>
      </c>
      <c r="G237" t="inlineStr">
        <is>
          <t>Other Kids / Family at Home</t>
        </is>
      </c>
      <c r="H237" t="inlineStr"/>
      <c r="I237" t="inlineStr">
        <is>
          <t>Family's Own Choice</t>
        </is>
      </c>
      <c r="J237" t="b">
        <v>0</v>
      </c>
      <c r="K237" t="n">
        <v>1</v>
      </c>
      <c r="L237" t="inlineStr"/>
      <c r="M237" t="inlineStr"/>
    </row>
    <row r="238">
      <c r="A238" t="inlineStr">
        <is>
          <t>No</t>
        </is>
      </c>
      <c r="B238" t="inlineStr"/>
      <c r="C238" t="inlineStr"/>
      <c r="D238" t="inlineStr"/>
      <c r="E238" t="inlineStr">
        <is>
          <t>I've done it before and it was awesome. But I can't afford it.</t>
        </is>
      </c>
      <c r="F238" t="inlineStr">
        <is>
          <t>Cost / Finances</t>
        </is>
      </c>
      <c r="G238" t="inlineStr">
        <is>
          <t>Cost / Finances</t>
        </is>
      </c>
      <c r="H238" t="inlineStr"/>
      <c r="I238" t="inlineStr">
        <is>
          <t>HXP Can Directly Fix</t>
        </is>
      </c>
      <c r="J238" t="b">
        <v>0</v>
      </c>
      <c r="K238" t="n">
        <v>1</v>
      </c>
      <c r="L238" t="inlineStr"/>
      <c r="M238" t="inlineStr"/>
    </row>
    <row r="239">
      <c r="A239" t="inlineStr">
        <is>
          <t>No</t>
        </is>
      </c>
      <c r="B239" t="inlineStr"/>
      <c r="C239" t="inlineStr"/>
      <c r="D239" t="inlineStr"/>
      <c r="E239" t="inlineStr">
        <is>
          <t>You her son at home</t>
        </is>
      </c>
      <c r="F239" t="inlineStr">
        <is>
          <t>Other Kids / Family at Home</t>
        </is>
      </c>
      <c r="G239" t="inlineStr">
        <is>
          <t>Other Kids / Family at Home</t>
        </is>
      </c>
      <c r="H239" t="inlineStr"/>
      <c r="I239" t="inlineStr">
        <is>
          <t>Family's Own Choice</t>
        </is>
      </c>
      <c r="J239" t="b">
        <v>0</v>
      </c>
      <c r="K239" t="n">
        <v>1</v>
      </c>
      <c r="L239" t="inlineStr"/>
      <c r="M239" t="inlineStr"/>
    </row>
    <row r="240">
      <c r="A240" t="inlineStr">
        <is>
          <t>Yes</t>
        </is>
      </c>
      <c r="B240" t="inlineStr">
        <is>
          <t>Daughter/cause</t>
        </is>
      </c>
      <c r="C240" t="inlineStr">
        <is>
          <t>Other / Uncategorized</t>
        </is>
      </c>
      <c r="D240" t="inlineStr"/>
      <c r="E240" t="inlineStr"/>
      <c r="F240" t="inlineStr"/>
      <c r="G240" t="inlineStr"/>
      <c r="H240" t="inlineStr"/>
      <c r="I240" t="inlineStr"/>
      <c r="J240" t="b">
        <v>0</v>
      </c>
      <c r="K240" t="n">
        <v>0</v>
      </c>
      <c r="L240" t="inlineStr"/>
      <c r="M240" t="inlineStr"/>
    </row>
    <row r="241">
      <c r="A241" t="inlineStr">
        <is>
          <t>No</t>
        </is>
      </c>
      <c r="B241" t="inlineStr"/>
      <c r="C241" t="inlineStr"/>
      <c r="D241" t="inlineStr"/>
      <c r="E241" t="inlineStr">
        <is>
          <t>Cost</t>
        </is>
      </c>
      <c r="F241" t="inlineStr">
        <is>
          <t>Cost / Finances</t>
        </is>
      </c>
      <c r="G241" t="inlineStr">
        <is>
          <t>Cost / Finances</t>
        </is>
      </c>
      <c r="H241" t="inlineStr"/>
      <c r="I241" t="inlineStr">
        <is>
          <t>HXP Can Directly Fix</t>
        </is>
      </c>
      <c r="J241" t="b">
        <v>0</v>
      </c>
      <c r="K241" t="n">
        <v>1</v>
      </c>
      <c r="L241" t="inlineStr"/>
      <c r="M241" t="inlineStr"/>
    </row>
    <row r="242">
      <c r="A242" t="inlineStr">
        <is>
          <t>No</t>
        </is>
      </c>
      <c r="B242" t="inlineStr"/>
      <c r="C242" t="inlineStr"/>
      <c r="D242" t="inlineStr"/>
      <c r="E242" t="inlineStr">
        <is>
          <t>Time</t>
        </is>
      </c>
      <c r="F242" t="inlineStr">
        <is>
          <t>Work Schedule / Time Off</t>
        </is>
      </c>
      <c r="G242" t="inlineStr">
        <is>
          <t>Work Schedule / Time Off</t>
        </is>
      </c>
      <c r="H242" t="inlineStr"/>
      <c r="I242" t="inlineStr">
        <is>
          <t>HXP Can Influence</t>
        </is>
      </c>
      <c r="J242" t="b">
        <v>0</v>
      </c>
      <c r="K242" t="n">
        <v>1</v>
      </c>
      <c r="L242" t="inlineStr"/>
      <c r="M242" t="inlineStr"/>
    </row>
    <row r="243">
      <c r="A243" t="inlineStr">
        <is>
          <t>No</t>
        </is>
      </c>
      <c r="B243" t="inlineStr"/>
      <c r="C243" t="inlineStr"/>
      <c r="D243" t="inlineStr"/>
      <c r="E243" t="inlineStr">
        <is>
          <t>Let me child go alone</t>
        </is>
      </c>
      <c r="F243" t="inlineStr">
        <is>
          <t>Wants Child to Have Independent Experience</t>
        </is>
      </c>
      <c r="G243" t="inlineStr">
        <is>
          <t>Wants Child to Have Independent Experience</t>
        </is>
      </c>
      <c r="H243" t="inlineStr"/>
      <c r="I243" t="inlineStr">
        <is>
          <t>Family's Own Choice</t>
        </is>
      </c>
      <c r="J243" t="b">
        <v>0</v>
      </c>
      <c r="K243" t="n">
        <v>1</v>
      </c>
      <c r="L243" t="inlineStr"/>
      <c r="M243" t="inlineStr"/>
    </row>
    <row r="244">
      <c r="A244" t="inlineStr">
        <is>
          <t>No</t>
        </is>
      </c>
      <c r="B244" t="inlineStr"/>
      <c r="C244" t="inlineStr"/>
      <c r="D244" t="inlineStr"/>
      <c r="E244" t="inlineStr">
        <is>
          <t>Location</t>
        </is>
      </c>
      <c r="F244" t="inlineStr">
        <is>
          <t>Other / Uncategorized</t>
        </is>
      </c>
      <c r="G244" t="inlineStr"/>
      <c r="H244" t="inlineStr"/>
      <c r="I244" t="inlineStr">
        <is>
          <t>Unknown</t>
        </is>
      </c>
      <c r="J244" t="b">
        <v>0</v>
      </c>
      <c r="K244" t="n">
        <v>0</v>
      </c>
      <c r="L244" t="inlineStr"/>
      <c r="M244" t="inlineStr"/>
    </row>
    <row r="245">
      <c r="A245" t="inlineStr">
        <is>
          <t>No</t>
        </is>
      </c>
      <c r="B245" t="inlineStr"/>
      <c r="C245" t="inlineStr"/>
      <c r="D245" t="inlineStr"/>
      <c r="E245" t="inlineStr">
        <is>
          <t>Our daughter didn't want a parent to go</t>
        </is>
      </c>
      <c r="F245" t="inlineStr">
        <is>
          <t>Child Didn't Want Parent to Come</t>
        </is>
      </c>
      <c r="G245" t="inlineStr">
        <is>
          <t>Child Didn't Want Parent to Come</t>
        </is>
      </c>
      <c r="H245" t="inlineStr"/>
      <c r="I245" t="inlineStr">
        <is>
          <t>Family's Own Choice</t>
        </is>
      </c>
      <c r="J245" t="b">
        <v>0</v>
      </c>
      <c r="K245" t="n">
        <v>1</v>
      </c>
      <c r="L245" t="inlineStr"/>
      <c r="M245" t="inlineStr"/>
    </row>
    <row r="246">
      <c r="A246" t="inlineStr">
        <is>
          <t>No</t>
        </is>
      </c>
      <c r="B246" t="inlineStr"/>
      <c r="C246" t="inlineStr"/>
      <c r="D246" t="inlineStr"/>
      <c r="E246" t="inlineStr">
        <is>
          <t>Time away from family and cost</t>
        </is>
      </c>
      <c r="F246" t="inlineStr">
        <is>
          <t>Cost / Finances</t>
        </is>
      </c>
      <c r="G246" t="inlineStr">
        <is>
          <t>Cost / Finances; Work Schedule / Time Off; Other Kids / Family at Home</t>
        </is>
      </c>
      <c r="H246" t="inlineStr"/>
      <c r="I246" t="inlineStr">
        <is>
          <t>HXP Can Directly Fix</t>
        </is>
      </c>
      <c r="J246" t="b">
        <v>0</v>
      </c>
      <c r="K246" t="n">
        <v>3</v>
      </c>
      <c r="L246" t="inlineStr"/>
      <c r="M246" t="inlineStr"/>
    </row>
    <row r="247">
      <c r="A247" t="inlineStr">
        <is>
          <t>No</t>
        </is>
      </c>
      <c r="B247" t="inlineStr"/>
      <c r="C247" t="inlineStr"/>
      <c r="D247" t="inlineStr"/>
      <c r="E247" t="inlineStr">
        <is>
          <t>Time</t>
        </is>
      </c>
      <c r="F247" t="inlineStr">
        <is>
          <t>Work Schedule / Time Off</t>
        </is>
      </c>
      <c r="G247" t="inlineStr">
        <is>
          <t>Work Schedule / Time Off</t>
        </is>
      </c>
      <c r="H247" t="inlineStr"/>
      <c r="I247" t="inlineStr">
        <is>
          <t>HXP Can Influence</t>
        </is>
      </c>
      <c r="J247" t="b">
        <v>0</v>
      </c>
      <c r="K247" t="n">
        <v>1</v>
      </c>
      <c r="L247" t="inlineStr"/>
      <c r="M247" t="inlineStr"/>
    </row>
    <row r="248">
      <c r="A248" t="inlineStr">
        <is>
          <t>Yes</t>
        </is>
      </c>
      <c r="B248" t="inlineStr">
        <is>
          <t>went a few years ago with another daughter and loved it. wanted it again for this child</t>
        </is>
      </c>
      <c r="C248" t="inlineStr">
        <is>
          <t>Previous Positive Experience</t>
        </is>
      </c>
      <c r="D248" t="inlineStr">
        <is>
          <t>Previous Positive Experience</t>
        </is>
      </c>
      <c r="E248" t="inlineStr"/>
      <c r="F248" t="inlineStr"/>
      <c r="G248" t="inlineStr"/>
      <c r="H248" t="inlineStr"/>
      <c r="I248" t="inlineStr"/>
      <c r="J248" t="b">
        <v>0</v>
      </c>
      <c r="K248" t="n">
        <v>0</v>
      </c>
      <c r="L248" t="inlineStr"/>
      <c r="M248" t="inlineStr"/>
    </row>
    <row r="249">
      <c r="A249" t="inlineStr">
        <is>
          <t>No</t>
        </is>
      </c>
      <c r="B249" t="inlineStr"/>
      <c r="C249" t="inlineStr"/>
      <c r="D249" t="inlineStr"/>
      <c r="E249" t="inlineStr">
        <is>
          <t>My granddaughter went to Thailand last year so we wanted Drake to have the experience too.</t>
        </is>
      </c>
      <c r="F249" t="inlineStr">
        <is>
          <t>Wants Child to Have Independent Experience</t>
        </is>
      </c>
      <c r="G249" t="inlineStr">
        <is>
          <t>Wants Child to Have Independent Experience</t>
        </is>
      </c>
      <c r="H249" t="inlineStr"/>
      <c r="I249" t="inlineStr">
        <is>
          <t>Family's Own Choice</t>
        </is>
      </c>
      <c r="J249" t="b">
        <v>0</v>
      </c>
      <c r="K249" t="n">
        <v>1</v>
      </c>
      <c r="L249" t="inlineStr"/>
      <c r="M249" t="inlineStr"/>
    </row>
    <row r="250">
      <c r="A250" t="inlineStr">
        <is>
          <t>Yes</t>
        </is>
      </c>
      <c r="B250" t="inlineStr">
        <is>
          <t>My daughter, and my sister-in-law went as a parent builder last year.</t>
        </is>
      </c>
      <c r="C250" t="inlineStr">
        <is>
          <t>Previous Positive Experience</t>
        </is>
      </c>
      <c r="D250" t="inlineStr">
        <is>
          <t>Previous Positive Experience</t>
        </is>
      </c>
      <c r="E250" t="inlineStr"/>
      <c r="F250" t="inlineStr"/>
      <c r="G250" t="inlineStr"/>
      <c r="H250" t="inlineStr"/>
      <c r="I250" t="inlineStr"/>
      <c r="J250" t="b">
        <v>0</v>
      </c>
      <c r="K250" t="n">
        <v>0</v>
      </c>
      <c r="L250" t="inlineStr"/>
      <c r="M250" t="inlineStr"/>
    </row>
    <row r="251">
      <c r="A251" t="inlineStr">
        <is>
          <t>Yes</t>
        </is>
      </c>
      <c r="B251" t="inlineStr">
        <is>
          <t>Knowing past parent builders, chance to spend time with my daughter (busy/demanding job) and a chance to return to my mission</t>
        </is>
      </c>
      <c r="C251" t="inlineStr">
        <is>
          <t>Wanted Shared Experience with Child</t>
        </is>
      </c>
      <c r="D251" t="inlineStr">
        <is>
          <t>Wanted Shared Experience with Child; Faith / Service Motivation</t>
        </is>
      </c>
      <c r="E251" t="inlineStr"/>
      <c r="F251" t="inlineStr"/>
      <c r="G251" t="inlineStr"/>
      <c r="H251" t="inlineStr"/>
      <c r="I251" t="inlineStr"/>
      <c r="J251" t="b">
        <v>0</v>
      </c>
      <c r="K251" t="n">
        <v>0</v>
      </c>
      <c r="L251" t="inlineStr"/>
      <c r="M251" t="inlineStr"/>
    </row>
    <row r="252">
      <c r="A252" t="inlineStr">
        <is>
          <t>No</t>
        </is>
      </c>
      <c r="B252" t="inlineStr"/>
      <c r="C252" t="inlineStr"/>
      <c r="D252" t="inlineStr"/>
      <c r="E252" t="inlineStr"/>
      <c r="F252" t="inlineStr"/>
      <c r="G252" t="inlineStr"/>
      <c r="H252" t="inlineStr"/>
      <c r="I252" t="inlineStr"/>
      <c r="J252" t="b">
        <v>0</v>
      </c>
      <c r="K252" t="n">
        <v>0</v>
      </c>
      <c r="L252" t="inlineStr"/>
      <c r="M252" t="inlineStr"/>
    </row>
    <row r="253">
      <c r="A253" t="inlineStr">
        <is>
          <t>No</t>
        </is>
      </c>
      <c r="B253" t="inlineStr"/>
      <c r="C253" t="inlineStr"/>
      <c r="D253" t="inlineStr"/>
      <c r="E253" t="inlineStr">
        <is>
          <t>My child didn't really want me to go. She wanted to experience it on her own!</t>
        </is>
      </c>
      <c r="F253" t="inlineStr">
        <is>
          <t>Child Didn't Want Parent to Come</t>
        </is>
      </c>
      <c r="G253" t="inlineStr">
        <is>
          <t>Child Didn't Want Parent to Come; Wants Child to Have Independent Experience</t>
        </is>
      </c>
      <c r="H253" t="inlineStr"/>
      <c r="I253" t="inlineStr">
        <is>
          <t>Family's Own Choice</t>
        </is>
      </c>
      <c r="J253" t="b">
        <v>0</v>
      </c>
      <c r="K253" t="n">
        <v>2</v>
      </c>
      <c r="L253" t="inlineStr"/>
      <c r="M253" t="inlineStr"/>
    </row>
    <row r="254">
      <c r="A254" t="inlineStr">
        <is>
          <t>No</t>
        </is>
      </c>
      <c r="B254" t="inlineStr"/>
      <c r="C254" t="inlineStr"/>
      <c r="D254" t="inlineStr"/>
      <c r="E254" t="inlineStr">
        <is>
          <t>Time, money, and other kids at home</t>
        </is>
      </c>
      <c r="F254" t="inlineStr">
        <is>
          <t>Cost / Finances</t>
        </is>
      </c>
      <c r="G254" t="inlineStr">
        <is>
          <t>Cost / Finances; Work Schedule / Time Off; Other Kids / Family at Home</t>
        </is>
      </c>
      <c r="H254" t="inlineStr"/>
      <c r="I254" t="inlineStr">
        <is>
          <t>HXP Can Directly Fix</t>
        </is>
      </c>
      <c r="J254" t="b">
        <v>0</v>
      </c>
      <c r="K254" t="n">
        <v>3</v>
      </c>
      <c r="L254" t="inlineStr"/>
      <c r="M254" t="inlineStr"/>
    </row>
    <row r="255">
      <c r="A255" t="inlineStr">
        <is>
          <t>No</t>
        </is>
      </c>
      <c r="B255" t="inlineStr"/>
      <c r="C255" t="inlineStr"/>
      <c r="D255" t="inlineStr"/>
      <c r="E255" t="inlineStr">
        <is>
          <t>Only the price</t>
        </is>
      </c>
      <c r="F255" t="inlineStr">
        <is>
          <t>Cost / Finances</t>
        </is>
      </c>
      <c r="G255" t="inlineStr">
        <is>
          <t>Cost / Finances</t>
        </is>
      </c>
      <c r="H255" t="inlineStr"/>
      <c r="I255" t="inlineStr">
        <is>
          <t>HXP Can Directly Fix</t>
        </is>
      </c>
      <c r="J255" t="b">
        <v>0</v>
      </c>
      <c r="K255" t="n">
        <v>1</v>
      </c>
      <c r="L255" t="inlineStr"/>
      <c r="M255" t="inlineStr"/>
    </row>
    <row r="256">
      <c r="A256" t="inlineStr">
        <is>
          <t>No</t>
        </is>
      </c>
      <c r="B256" t="inlineStr"/>
      <c r="C256" t="inlineStr"/>
      <c r="D256" t="inlineStr"/>
      <c r="E256" t="inlineStr"/>
      <c r="F256" t="inlineStr"/>
      <c r="G256" t="inlineStr"/>
      <c r="H256" t="inlineStr"/>
      <c r="I256" t="inlineStr"/>
      <c r="J256" t="b">
        <v>0</v>
      </c>
      <c r="K256" t="n">
        <v>0</v>
      </c>
      <c r="L256" t="inlineStr"/>
      <c r="M256" t="inlineStr"/>
    </row>
    <row r="257">
      <c r="A257" t="inlineStr">
        <is>
          <t>No</t>
        </is>
      </c>
      <c r="B257" t="inlineStr"/>
      <c r="C257" t="inlineStr"/>
      <c r="D257" t="inlineStr"/>
      <c r="E257" t="inlineStr">
        <is>
          <t>My son wants to do it on his own, and the cost.</t>
        </is>
      </c>
      <c r="F257" t="inlineStr">
        <is>
          <t>Cost / Finances</t>
        </is>
      </c>
      <c r="G257" t="inlineStr">
        <is>
          <t>Cost / Finances; Wants Child to Have Independent Experience</t>
        </is>
      </c>
      <c r="H257" t="inlineStr"/>
      <c r="I257" t="inlineStr">
        <is>
          <t>HXP Can Directly Fix</t>
        </is>
      </c>
      <c r="J257" t="b">
        <v>0</v>
      </c>
      <c r="K257" t="n">
        <v>2</v>
      </c>
      <c r="L257" t="inlineStr"/>
      <c r="M257" t="inlineStr"/>
    </row>
    <row r="258">
      <c r="A258" t="inlineStr">
        <is>
          <t>No</t>
        </is>
      </c>
      <c r="B258" t="inlineStr"/>
      <c r="C258" t="inlineStr"/>
      <c r="D258" t="inlineStr"/>
      <c r="E258" t="inlineStr">
        <is>
          <t>other obligations at this time</t>
        </is>
      </c>
      <c r="F258" t="inlineStr">
        <is>
          <t>Work Schedule / Time Off</t>
        </is>
      </c>
      <c r="G258" t="inlineStr">
        <is>
          <t>Work Schedule / Time Off</t>
        </is>
      </c>
      <c r="H258" t="inlineStr"/>
      <c r="I258" t="inlineStr">
        <is>
          <t>HXP Can Influence</t>
        </is>
      </c>
      <c r="J258" t="b">
        <v>0</v>
      </c>
      <c r="K258" t="n">
        <v>1</v>
      </c>
      <c r="L258" t="inlineStr"/>
      <c r="M258" t="inlineStr"/>
    </row>
    <row r="259">
      <c r="A259" t="inlineStr">
        <is>
          <t>No</t>
        </is>
      </c>
      <c r="B259" t="inlineStr"/>
      <c r="C259" t="inlineStr"/>
      <c r="D259" t="inlineStr"/>
      <c r="E259" t="inlineStr">
        <is>
          <t>Other Children at Home</t>
        </is>
      </c>
      <c r="F259" t="inlineStr">
        <is>
          <t>Other Kids / Family at Home</t>
        </is>
      </c>
      <c r="G259" t="inlineStr">
        <is>
          <t>Other Kids / Family at Home</t>
        </is>
      </c>
      <c r="H259" t="inlineStr"/>
      <c r="I259" t="inlineStr">
        <is>
          <t>Family's Own Choice</t>
        </is>
      </c>
      <c r="J259" t="b">
        <v>0</v>
      </c>
      <c r="K259" t="n">
        <v>1</v>
      </c>
      <c r="L259" t="inlineStr"/>
      <c r="M259" t="inlineStr"/>
    </row>
    <row r="260">
      <c r="A260" t="inlineStr">
        <is>
          <t>No</t>
        </is>
      </c>
      <c r="B260" t="inlineStr"/>
      <c r="C260" t="inlineStr"/>
      <c r="D260" t="inlineStr"/>
      <c r="E260" t="inlineStr">
        <is>
          <t>I couldn't leave my family</t>
        </is>
      </c>
      <c r="F260" t="inlineStr">
        <is>
          <t>Other Kids / Family at Home</t>
        </is>
      </c>
      <c r="G260" t="inlineStr">
        <is>
          <t>Other Kids / Family at Home</t>
        </is>
      </c>
      <c r="H260" t="inlineStr"/>
      <c r="I260" t="inlineStr">
        <is>
          <t>Family's Own Choice</t>
        </is>
      </c>
      <c r="J260" t="b">
        <v>0</v>
      </c>
      <c r="K260" t="n">
        <v>1</v>
      </c>
      <c r="L260" t="inlineStr"/>
      <c r="M260" t="inlineStr"/>
    </row>
    <row r="261">
      <c r="A261" t="inlineStr">
        <is>
          <t>No</t>
        </is>
      </c>
      <c r="B261" t="inlineStr"/>
      <c r="C261" t="inlineStr"/>
      <c r="D261" t="inlineStr"/>
      <c r="E261" t="inlineStr">
        <is>
          <t>I wanted my daughter to have the experience of going and not knowing anyone</t>
        </is>
      </c>
      <c r="F261" t="inlineStr">
        <is>
          <t>Wants Child to Have Independent Experience</t>
        </is>
      </c>
      <c r="G261" t="inlineStr">
        <is>
          <t>Wants Child to Have Independent Experience</t>
        </is>
      </c>
      <c r="H261" t="inlineStr"/>
      <c r="I261" t="inlineStr">
        <is>
          <t>Family's Own Choice</t>
        </is>
      </c>
      <c r="J261" t="b">
        <v>0</v>
      </c>
      <c r="K261" t="n">
        <v>1</v>
      </c>
      <c r="L261" t="inlineStr"/>
      <c r="M261" t="inlineStr"/>
    </row>
    <row r="262">
      <c r="A262" t="inlineStr">
        <is>
          <t>No</t>
        </is>
      </c>
      <c r="B262" t="inlineStr"/>
      <c r="C262" t="inlineStr"/>
      <c r="D262" t="inlineStr"/>
      <c r="E262" t="inlineStr">
        <is>
          <t>Have younger kids at home</t>
        </is>
      </c>
      <c r="F262" t="inlineStr">
        <is>
          <t>Other Kids / Family at Home</t>
        </is>
      </c>
      <c r="G262" t="inlineStr">
        <is>
          <t>Other Kids / Family at Home</t>
        </is>
      </c>
      <c r="H262" t="inlineStr"/>
      <c r="I262" t="inlineStr">
        <is>
          <t>Family's Own Choice</t>
        </is>
      </c>
      <c r="J262" t="b">
        <v>0</v>
      </c>
      <c r="K262" t="n">
        <v>1</v>
      </c>
      <c r="L262" t="inlineStr"/>
      <c r="M262" t="inlineStr"/>
    </row>
    <row r="263">
      <c r="A263" t="inlineStr">
        <is>
          <t>No</t>
        </is>
      </c>
      <c r="B263" t="inlineStr"/>
      <c r="C263" t="inlineStr"/>
      <c r="D263" t="inlineStr"/>
      <c r="E263" t="inlineStr">
        <is>
          <t>Time off work</t>
        </is>
      </c>
      <c r="F263" t="inlineStr">
        <is>
          <t>Work Schedule / Time Off</t>
        </is>
      </c>
      <c r="G263" t="inlineStr">
        <is>
          <t>Work Schedule / Time Off</t>
        </is>
      </c>
      <c r="H263" t="inlineStr"/>
      <c r="I263" t="inlineStr">
        <is>
          <t>HXP Can Influence</t>
        </is>
      </c>
      <c r="J263" t="b">
        <v>0</v>
      </c>
      <c r="K263" t="n">
        <v>1</v>
      </c>
      <c r="L263" t="inlineStr"/>
      <c r="M263" t="inlineStr"/>
    </row>
    <row r="264">
      <c r="A264" t="inlineStr">
        <is>
          <t>No</t>
        </is>
      </c>
      <c r="B264" t="inlineStr"/>
      <c r="C264" t="inlineStr"/>
      <c r="D264" t="inlineStr"/>
      <c r="E264" t="inlineStr">
        <is>
          <t>My wife is going. I don't have enough time off from work to be able to go.</t>
        </is>
      </c>
      <c r="F264" t="inlineStr">
        <is>
          <t>Work Schedule / Time Off</t>
        </is>
      </c>
      <c r="G264" t="inlineStr">
        <is>
          <t>Work Schedule / Time Off; Another Family Member Going Instead</t>
        </is>
      </c>
      <c r="H264" t="inlineStr"/>
      <c r="I264" t="inlineStr">
        <is>
          <t>HXP Can Influence</t>
        </is>
      </c>
      <c r="J264" t="b">
        <v>0</v>
      </c>
      <c r="K264" t="n">
        <v>2</v>
      </c>
      <c r="L264" t="inlineStr"/>
      <c r="M264" t="inlineStr"/>
    </row>
    <row r="265">
      <c r="A265" t="inlineStr">
        <is>
          <t>No</t>
        </is>
      </c>
      <c r="B265" t="inlineStr"/>
      <c r="C265" t="inlineStr"/>
      <c r="D265" t="inlineStr"/>
      <c r="E265" t="inlineStr">
        <is>
          <t>Time commitment with small children at home</t>
        </is>
      </c>
      <c r="F265" t="inlineStr">
        <is>
          <t>Work Schedule / Time Off</t>
        </is>
      </c>
      <c r="G265" t="inlineStr">
        <is>
          <t>Work Schedule / Time Off; Other Kids / Family at Home</t>
        </is>
      </c>
      <c r="H265" t="inlineStr"/>
      <c r="I265" t="inlineStr">
        <is>
          <t>HXP Can Influence</t>
        </is>
      </c>
      <c r="J265" t="b">
        <v>0</v>
      </c>
      <c r="K265" t="n">
        <v>2</v>
      </c>
      <c r="L265" t="inlineStr"/>
      <c r="M265" t="inlineStr"/>
    </row>
    <row r="266">
      <c r="A266" t="inlineStr">
        <is>
          <t>Yes</t>
        </is>
      </c>
      <c r="B266" t="inlineStr">
        <is>
          <t>Location and HXP asked me.</t>
        </is>
      </c>
      <c r="C266" t="inlineStr">
        <is>
          <t>Child/Spouse Asked Them to Go</t>
        </is>
      </c>
      <c r="D266" t="inlineStr">
        <is>
          <t>Child/Spouse Asked Them to Go</t>
        </is>
      </c>
      <c r="E266" t="inlineStr"/>
      <c r="F266" t="inlineStr"/>
      <c r="G266" t="inlineStr"/>
      <c r="H266" t="inlineStr"/>
      <c r="I266" t="inlineStr"/>
      <c r="J266" t="b">
        <v>0</v>
      </c>
      <c r="K266" t="n">
        <v>0</v>
      </c>
      <c r="L266" t="inlineStr"/>
      <c r="M266" t="inlineStr"/>
    </row>
    <row r="267">
      <c r="A267" t="inlineStr">
        <is>
          <t>No</t>
        </is>
      </c>
      <c r="B267" t="inlineStr"/>
      <c r="C267" t="inlineStr"/>
      <c r="D267" t="inlineStr"/>
      <c r="E267" t="inlineStr">
        <is>
          <t>I want my child to have their own experience.</t>
        </is>
      </c>
      <c r="F267" t="inlineStr">
        <is>
          <t>Wants Child to Have Independent Experience</t>
        </is>
      </c>
      <c r="G267" t="inlineStr">
        <is>
          <t>Wants Child to Have Independent Experience</t>
        </is>
      </c>
      <c r="H267" t="inlineStr"/>
      <c r="I267" t="inlineStr">
        <is>
          <t>Family's Own Choice</t>
        </is>
      </c>
      <c r="J267" t="b">
        <v>0</v>
      </c>
      <c r="K267" t="n">
        <v>1</v>
      </c>
      <c r="L267" t="inlineStr"/>
      <c r="M267" t="inlineStr"/>
    </row>
    <row r="268">
      <c r="A268" t="inlineStr">
        <is>
          <t>Yes</t>
        </is>
      </c>
      <c r="B268" t="inlineStr">
        <is>
          <t>My son asked me to go</t>
        </is>
      </c>
      <c r="C268" t="inlineStr">
        <is>
          <t>Child/Spouse Asked Them to Go</t>
        </is>
      </c>
      <c r="D268" t="inlineStr">
        <is>
          <t>Child/Spouse Asked Them to Go</t>
        </is>
      </c>
      <c r="E268" t="inlineStr"/>
      <c r="F268" t="inlineStr"/>
      <c r="G268" t="inlineStr"/>
      <c r="H268" t="inlineStr"/>
      <c r="I268" t="inlineStr"/>
      <c r="J268" t="b">
        <v>0</v>
      </c>
      <c r="K268" t="n">
        <v>0</v>
      </c>
      <c r="L268" t="inlineStr"/>
      <c r="M268" t="inlineStr"/>
    </row>
    <row r="269">
      <c r="A269" t="inlineStr">
        <is>
          <t>Yes</t>
        </is>
      </c>
      <c r="B269" t="inlineStr">
        <is>
          <t>I've heard great things from our neighbors who've taken their kids on trips. I really wanted our children to have amazing experiences too.</t>
        </is>
      </c>
      <c r="C269" t="inlineStr">
        <is>
          <t>Wanted Shared Experience with Child</t>
        </is>
      </c>
      <c r="D269" t="inlineStr">
        <is>
          <t>Wanted Shared Experience with Child</t>
        </is>
      </c>
      <c r="E269" t="inlineStr"/>
      <c r="F269" t="inlineStr"/>
      <c r="G269" t="inlineStr"/>
      <c r="H269" t="inlineStr"/>
      <c r="I269" t="inlineStr"/>
      <c r="J269" t="b">
        <v>0</v>
      </c>
      <c r="K269" t="n">
        <v>0</v>
      </c>
      <c r="L269" t="inlineStr"/>
      <c r="M269" t="inlineStr"/>
    </row>
    <row r="270">
      <c r="A270" t="inlineStr">
        <is>
          <t>No</t>
        </is>
      </c>
      <c r="B270" t="inlineStr"/>
      <c r="C270" t="inlineStr"/>
      <c r="D270" t="inlineStr"/>
      <c r="E270" t="inlineStr">
        <is>
          <t>My daughter needs the experience without me. But I would love to go!</t>
        </is>
      </c>
      <c r="F270" t="inlineStr">
        <is>
          <t>Wants Child to Have Independent Experience</t>
        </is>
      </c>
      <c r="G270" t="inlineStr">
        <is>
          <t>Wants Child to Have Independent Experience</t>
        </is>
      </c>
      <c r="H270" t="inlineStr"/>
      <c r="I270" t="inlineStr">
        <is>
          <t>Family's Own Choice</t>
        </is>
      </c>
      <c r="J270" t="b">
        <v>1</v>
      </c>
      <c r="K270" t="n">
        <v>1</v>
      </c>
      <c r="L270" t="inlineStr"/>
      <c r="M270" t="inlineStr"/>
    </row>
    <row r="271">
      <c r="A271" t="inlineStr">
        <is>
          <t>No</t>
        </is>
      </c>
      <c r="B271" t="inlineStr"/>
      <c r="C271" t="inlineStr"/>
      <c r="D271" t="inlineStr"/>
      <c r="E271" t="inlineStr">
        <is>
          <t>Cost, no significant discount to attend as a Parent Builder</t>
        </is>
      </c>
      <c r="F271" t="inlineStr">
        <is>
          <t>Cost / Finances</t>
        </is>
      </c>
      <c r="G271" t="inlineStr">
        <is>
          <t>Cost / Finances</t>
        </is>
      </c>
      <c r="H271" t="inlineStr"/>
      <c r="I271" t="inlineStr">
        <is>
          <t>HXP Can Directly Fix</t>
        </is>
      </c>
      <c r="J271" t="b">
        <v>0</v>
      </c>
      <c r="K271" t="n">
        <v>1</v>
      </c>
      <c r="L271" t="inlineStr"/>
      <c r="M271" t="inlineStr"/>
    </row>
    <row r="272">
      <c r="A272" t="inlineStr">
        <is>
          <t>Yes</t>
        </is>
      </c>
      <c r="B272" t="inlineStr">
        <is>
          <t>Child was worried about traveling alone</t>
        </is>
      </c>
      <c r="C272" t="inlineStr">
        <is>
          <t>Love of Travel / Culture</t>
        </is>
      </c>
      <c r="D272" t="inlineStr">
        <is>
          <t>Love of Travel / Culture</t>
        </is>
      </c>
      <c r="E272" t="inlineStr"/>
      <c r="F272" t="inlineStr"/>
      <c r="G272" t="inlineStr"/>
      <c r="H272" t="inlineStr"/>
      <c r="I272" t="inlineStr"/>
      <c r="J272" t="b">
        <v>0</v>
      </c>
      <c r="K272" t="n">
        <v>0</v>
      </c>
      <c r="L272" t="inlineStr"/>
      <c r="M272" t="inlineStr"/>
    </row>
    <row r="273">
      <c r="A273" t="inlineStr">
        <is>
          <t>No</t>
        </is>
      </c>
      <c r="B273" t="inlineStr"/>
      <c r="C273" t="inlineStr"/>
      <c r="D273" t="inlineStr"/>
      <c r="E273" t="inlineStr">
        <is>
          <t>I have other children and obligations.</t>
        </is>
      </c>
      <c r="F273" t="inlineStr">
        <is>
          <t>Work Schedule / Time Off</t>
        </is>
      </c>
      <c r="G273" t="inlineStr">
        <is>
          <t>Work Schedule / Time Off; Other Kids / Family at Home</t>
        </is>
      </c>
      <c r="H273" t="inlineStr"/>
      <c r="I273" t="inlineStr">
        <is>
          <t>HXP Can Influence</t>
        </is>
      </c>
      <c r="J273" t="b">
        <v>0</v>
      </c>
      <c r="K273" t="n">
        <v>2</v>
      </c>
      <c r="L273" t="inlineStr"/>
      <c r="M273" t="inlineStr"/>
    </row>
    <row r="274">
      <c r="A274" t="inlineStr">
        <is>
          <t>No</t>
        </is>
      </c>
      <c r="B274" t="inlineStr"/>
      <c r="C274" t="inlineStr"/>
      <c r="D274" t="inlineStr"/>
      <c r="E274" t="inlineStr">
        <is>
          <t>Son is graduating</t>
        </is>
      </c>
      <c r="F274" t="inlineStr">
        <is>
          <t>Other Life Commitment</t>
        </is>
      </c>
      <c r="G274" t="inlineStr">
        <is>
          <t>Other Life Commitment</t>
        </is>
      </c>
      <c r="H274" t="inlineStr"/>
      <c r="I274" t="inlineStr">
        <is>
          <t>Family's Own Choice</t>
        </is>
      </c>
      <c r="J274" t="b">
        <v>0</v>
      </c>
      <c r="K274" t="n">
        <v>1</v>
      </c>
      <c r="L274" t="inlineStr"/>
      <c r="M274" t="inlineStr"/>
    </row>
    <row r="275">
      <c r="A275" t="inlineStr">
        <is>
          <t>No</t>
        </is>
      </c>
      <c r="B275" t="inlineStr"/>
      <c r="C275" t="inlineStr"/>
      <c r="D275" t="inlineStr"/>
      <c r="E275" t="inlineStr"/>
      <c r="F275" t="inlineStr"/>
      <c r="G275" t="inlineStr"/>
      <c r="H275" t="inlineStr"/>
      <c r="I275" t="inlineStr"/>
      <c r="J275" t="b">
        <v>0</v>
      </c>
      <c r="K275" t="n">
        <v>0</v>
      </c>
      <c r="L275" t="inlineStr"/>
      <c r="M275" t="inlineStr"/>
    </row>
    <row r="276">
      <c r="A276" t="inlineStr">
        <is>
          <t>Yes</t>
        </is>
      </c>
      <c r="B276" t="inlineStr">
        <is>
          <t>My daughter and her excitement for the trip</t>
        </is>
      </c>
      <c r="C276" t="inlineStr">
        <is>
          <t>Wanted Shared Experience with Child</t>
        </is>
      </c>
      <c r="D276" t="inlineStr">
        <is>
          <t>Wanted Shared Experience with Child</t>
        </is>
      </c>
      <c r="E276" t="inlineStr"/>
      <c r="F276" t="inlineStr"/>
      <c r="G276" t="inlineStr"/>
      <c r="H276" t="inlineStr"/>
      <c r="I276" t="inlineStr"/>
      <c r="J276" t="b">
        <v>0</v>
      </c>
      <c r="K276" t="n">
        <v>0</v>
      </c>
      <c r="L276" t="inlineStr"/>
      <c r="M276" t="inlineStr"/>
    </row>
    <row r="277">
      <c r="A277" t="inlineStr">
        <is>
          <t>No</t>
        </is>
      </c>
      <c r="B277" t="inlineStr"/>
      <c r="C277" t="inlineStr"/>
      <c r="D277" t="inlineStr"/>
      <c r="E277" t="inlineStr">
        <is>
          <t>I went before and it's just too long to be away from work and disconnected at this phase of life and my career.</t>
        </is>
      </c>
      <c r="F277" t="inlineStr">
        <is>
          <t>Work Schedule / Time Off</t>
        </is>
      </c>
      <c r="G277" t="inlineStr">
        <is>
          <t>Work Schedule / Time Off</t>
        </is>
      </c>
      <c r="H277" t="inlineStr"/>
      <c r="I277" t="inlineStr">
        <is>
          <t>HXP Can Influence</t>
        </is>
      </c>
      <c r="J277" t="b">
        <v>0</v>
      </c>
      <c r="K277" t="n">
        <v>1</v>
      </c>
      <c r="L277" t="inlineStr"/>
      <c r="M277" t="inlineStr"/>
    </row>
    <row r="278">
      <c r="A278" t="inlineStr">
        <is>
          <t>No</t>
        </is>
      </c>
      <c r="B278" t="inlineStr"/>
      <c r="C278" t="inlineStr"/>
      <c r="D278" t="inlineStr"/>
      <c r="E278" t="inlineStr">
        <is>
          <t>Child wanted individual trip, cost</t>
        </is>
      </c>
      <c r="F278" t="inlineStr">
        <is>
          <t>Cost / Finances</t>
        </is>
      </c>
      <c r="G278" t="inlineStr">
        <is>
          <t>Cost / Finances</t>
        </is>
      </c>
      <c r="H278" t="inlineStr"/>
      <c r="I278" t="inlineStr">
        <is>
          <t>HXP Can Directly Fix</t>
        </is>
      </c>
      <c r="J278" t="b">
        <v>0</v>
      </c>
      <c r="K278" t="n">
        <v>1</v>
      </c>
      <c r="L278" t="inlineStr"/>
      <c r="M278" t="inlineStr"/>
    </row>
    <row r="279">
      <c r="A279" t="inlineStr">
        <is>
          <t>No</t>
        </is>
      </c>
      <c r="B279" t="inlineStr"/>
      <c r="C279" t="inlineStr"/>
      <c r="D279" t="inlineStr"/>
      <c r="E279" t="inlineStr">
        <is>
          <t>Builder needs experience away from family and friends.</t>
        </is>
      </c>
      <c r="F279" t="inlineStr">
        <is>
          <t>Other Kids / Family at Home</t>
        </is>
      </c>
      <c r="G279" t="inlineStr">
        <is>
          <t>Other Kids / Family at Home; Wants Child to Have Independent Experience</t>
        </is>
      </c>
      <c r="H279" t="inlineStr"/>
      <c r="I279" t="inlineStr">
        <is>
          <t>Family's Own Choice</t>
        </is>
      </c>
      <c r="J279" t="b">
        <v>0</v>
      </c>
      <c r="K279" t="n">
        <v>2</v>
      </c>
      <c r="L279" t="inlineStr"/>
      <c r="M279" t="inlineStr"/>
    </row>
    <row r="280">
      <c r="A280" t="inlineStr">
        <is>
          <t>Yes</t>
        </is>
      </c>
      <c r="B280" t="inlineStr">
        <is>
          <t>I really wanted to go with my son and have a great experience serving with him in another part of the world. I wished we had made it a priority to go last year so I could go with another younger son this year. We have neighbors that have taken their kids on multiple trips and they've spoken highly of it.</t>
        </is>
      </c>
      <c r="C280" t="inlineStr">
        <is>
          <t>Wanted Shared Experience with Child</t>
        </is>
      </c>
      <c r="D280" t="inlineStr">
        <is>
          <t>Wanted Shared Experience with Child; Previous Positive Experience</t>
        </is>
      </c>
      <c r="E280" t="inlineStr"/>
      <c r="F280" t="inlineStr"/>
      <c r="G280" t="inlineStr"/>
      <c r="H280" t="inlineStr"/>
      <c r="I280" t="inlineStr"/>
      <c r="J280" t="b">
        <v>0</v>
      </c>
      <c r="K280" t="n">
        <v>0</v>
      </c>
      <c r="L280" t="inlineStr"/>
      <c r="M280" t="inlineStr"/>
    </row>
    <row r="281">
      <c r="A281" t="inlineStr">
        <is>
          <t>No</t>
        </is>
      </c>
      <c r="B281" t="inlineStr"/>
      <c r="C281" t="inlineStr"/>
      <c r="D281" t="inlineStr"/>
      <c r="E281" t="inlineStr">
        <is>
          <t>My child didn't want me to 😂</t>
        </is>
      </c>
      <c r="F281" t="inlineStr">
        <is>
          <t>Child Didn't Want Parent to Come</t>
        </is>
      </c>
      <c r="G281" t="inlineStr">
        <is>
          <t>Child Didn't Want Parent to Come</t>
        </is>
      </c>
      <c r="H281" t="inlineStr"/>
      <c r="I281" t="inlineStr">
        <is>
          <t>Family's Own Choice</t>
        </is>
      </c>
      <c r="J281" t="b">
        <v>0</v>
      </c>
      <c r="K281" t="n">
        <v>1</v>
      </c>
      <c r="L281" t="inlineStr"/>
      <c r="M281" t="inlineStr"/>
    </row>
    <row r="282">
      <c r="A282" t="inlineStr">
        <is>
          <t>No</t>
        </is>
      </c>
      <c r="B282" t="inlineStr"/>
      <c r="C282" t="inlineStr"/>
      <c r="D282" t="inlineStr"/>
      <c r="E282" t="inlineStr"/>
      <c r="F282" t="inlineStr"/>
      <c r="G282" t="inlineStr"/>
      <c r="H282" t="inlineStr"/>
      <c r="I282" t="inlineStr"/>
      <c r="J282" t="b">
        <v>0</v>
      </c>
      <c r="K282" t="n">
        <v>0</v>
      </c>
      <c r="L282" t="inlineStr"/>
      <c r="M282" t="inlineStr"/>
    </row>
    <row r="283">
      <c r="A283" t="inlineStr">
        <is>
          <t>No</t>
        </is>
      </c>
      <c r="B283" t="inlineStr"/>
      <c r="C283" t="inlineStr"/>
      <c r="D283" t="inlineStr"/>
      <c r="E283" t="inlineStr">
        <is>
          <t>Cousins that have gone.</t>
        </is>
      </c>
      <c r="F283" t="inlineStr">
        <is>
          <t>Another Family Member Going Instead</t>
        </is>
      </c>
      <c r="G283" t="inlineStr">
        <is>
          <t>Another Family Member Going Instead</t>
        </is>
      </c>
      <c r="H283" t="inlineStr"/>
      <c r="I283" t="inlineStr">
        <is>
          <t>Family's Own Choice</t>
        </is>
      </c>
      <c r="J283" t="b">
        <v>0</v>
      </c>
      <c r="K283" t="n">
        <v>1</v>
      </c>
      <c r="L283" t="inlineStr"/>
      <c r="M283" t="inlineStr"/>
    </row>
    <row r="284">
      <c r="A284" t="inlineStr">
        <is>
          <t>No</t>
        </is>
      </c>
      <c r="B284" t="inlineStr"/>
      <c r="C284" t="inlineStr"/>
      <c r="D284" t="inlineStr"/>
      <c r="E284" t="inlineStr">
        <is>
          <t>My son wanted to sign up on his own and have the experience without his parents-even though he loves us and we are the coolest :)</t>
        </is>
      </c>
      <c r="F284" t="inlineStr">
        <is>
          <t>Wants Child to Have Independent Experience</t>
        </is>
      </c>
      <c r="G284" t="inlineStr">
        <is>
          <t>Wants Child to Have Independent Experience</t>
        </is>
      </c>
      <c r="H284" t="inlineStr"/>
      <c r="I284" t="inlineStr">
        <is>
          <t>Family's Own Choice</t>
        </is>
      </c>
      <c r="J284" t="b">
        <v>0</v>
      </c>
      <c r="K284" t="n">
        <v>1</v>
      </c>
      <c r="L284" t="inlineStr"/>
      <c r="M284" t="inlineStr"/>
    </row>
    <row r="285">
      <c r="A285" t="inlineStr">
        <is>
          <t>No</t>
        </is>
      </c>
      <c r="B285" t="inlineStr"/>
      <c r="C285" t="inlineStr"/>
      <c r="D285" t="inlineStr"/>
      <c r="E285" t="inlineStr">
        <is>
          <t>My son wanted to sign up with his friend and they didn't want their parents going-even though we are the best! Also, I had already committed to be in charge of the food at our Stake YW camp which is the same time..</t>
        </is>
      </c>
      <c r="F285" t="inlineStr">
        <is>
          <t>Work Schedule / Time Off</t>
        </is>
      </c>
      <c r="G285" t="inlineStr">
        <is>
          <t>Work Schedule / Time Off</t>
        </is>
      </c>
      <c r="H285" t="inlineStr"/>
      <c r="I285" t="inlineStr">
        <is>
          <t>HXP Can Influence</t>
        </is>
      </c>
      <c r="J285" t="b">
        <v>0</v>
      </c>
      <c r="K285" t="n">
        <v>1</v>
      </c>
      <c r="L285" t="inlineStr"/>
      <c r="M285" t="inlineStr"/>
    </row>
    <row r="286">
      <c r="A286" t="inlineStr">
        <is>
          <t>No</t>
        </is>
      </c>
      <c r="B286" t="inlineStr"/>
      <c r="C286" t="inlineStr"/>
      <c r="D286" t="inlineStr"/>
      <c r="E286" t="inlineStr">
        <is>
          <t>My daughter really wanted to do this trip independent of anyone familiar</t>
        </is>
      </c>
      <c r="F286" t="inlineStr">
        <is>
          <t>Wants Child to Have Independent Experience</t>
        </is>
      </c>
      <c r="G286" t="inlineStr">
        <is>
          <t>Wants Child to Have Independent Experience</t>
        </is>
      </c>
      <c r="H286" t="inlineStr"/>
      <c r="I286" t="inlineStr">
        <is>
          <t>Family's Own Choice</t>
        </is>
      </c>
      <c r="J286" t="b">
        <v>0</v>
      </c>
      <c r="K286" t="n">
        <v>1</v>
      </c>
      <c r="L286" t="inlineStr"/>
      <c r="M286" t="inlineStr"/>
    </row>
    <row r="287">
      <c r="A287" t="inlineStr">
        <is>
          <t>No</t>
        </is>
      </c>
      <c r="B287" t="inlineStr"/>
      <c r="C287" t="inlineStr"/>
      <c r="D287" t="inlineStr"/>
      <c r="E287" t="inlineStr"/>
      <c r="F287" t="inlineStr"/>
      <c r="G287" t="inlineStr"/>
      <c r="H287" t="inlineStr"/>
      <c r="I287" t="inlineStr"/>
      <c r="J287" t="b">
        <v>0</v>
      </c>
      <c r="K287" t="n">
        <v>0</v>
      </c>
      <c r="L287" t="inlineStr"/>
      <c r="M287" t="inlineStr"/>
    </row>
    <row r="288">
      <c r="A288" t="inlineStr">
        <is>
          <t>No</t>
        </is>
      </c>
      <c r="B288" t="inlineStr"/>
      <c r="C288" t="inlineStr"/>
      <c r="D288" t="inlineStr"/>
      <c r="E288" t="inlineStr"/>
      <c r="F288" t="inlineStr"/>
      <c r="G288" t="inlineStr"/>
      <c r="H288" t="inlineStr"/>
      <c r="I288" t="inlineStr"/>
      <c r="J288" t="b">
        <v>0</v>
      </c>
      <c r="K288" t="n">
        <v>0</v>
      </c>
      <c r="L288" t="inlineStr"/>
      <c r="M288" t="inlineStr"/>
    </row>
    <row r="289">
      <c r="A289" t="inlineStr">
        <is>
          <t>No</t>
        </is>
      </c>
      <c r="B289" t="inlineStr"/>
      <c r="C289" t="inlineStr"/>
      <c r="D289" t="inlineStr"/>
      <c r="E289" t="inlineStr"/>
      <c r="F289" t="inlineStr"/>
      <c r="G289" t="inlineStr"/>
      <c r="H289" t="inlineStr"/>
      <c r="I289" t="inlineStr"/>
      <c r="J289" t="b">
        <v>0</v>
      </c>
      <c r="K289" t="n">
        <v>0</v>
      </c>
      <c r="L289" t="inlineStr"/>
      <c r="M289" t="inlineStr"/>
    </row>
    <row r="290">
      <c r="A290" t="inlineStr">
        <is>
          <t>No</t>
        </is>
      </c>
      <c r="B290" t="inlineStr"/>
      <c r="C290" t="inlineStr"/>
      <c r="D290" t="inlineStr"/>
      <c r="E290" t="inlineStr">
        <is>
          <t>Wanted him to have an experience away from home without us</t>
        </is>
      </c>
      <c r="F290" t="inlineStr">
        <is>
          <t>Other Kids / Family at Home</t>
        </is>
      </c>
      <c r="G290" t="inlineStr">
        <is>
          <t>Other Kids / Family at Home; Wants Child to Have Independent Experience</t>
        </is>
      </c>
      <c r="H290" t="inlineStr"/>
      <c r="I290" t="inlineStr">
        <is>
          <t>Family's Own Choice</t>
        </is>
      </c>
      <c r="J290" t="b">
        <v>0</v>
      </c>
      <c r="K290" t="n">
        <v>2</v>
      </c>
      <c r="L290" t="inlineStr"/>
      <c r="M290" t="inlineStr"/>
    </row>
    <row r="291">
      <c r="A291" t="inlineStr">
        <is>
          <t>No</t>
        </is>
      </c>
      <c r="B291" t="inlineStr"/>
      <c r="C291" t="inlineStr"/>
      <c r="D291" t="inlineStr"/>
      <c r="E291" t="inlineStr">
        <is>
          <t>This is a trip Kate wants to go on by herself- I think it will be more meaningful to go alone.</t>
        </is>
      </c>
      <c r="F291" t="inlineStr">
        <is>
          <t>Child Didn't Want Parent to Come</t>
        </is>
      </c>
      <c r="G291" t="inlineStr">
        <is>
          <t>Child Didn't Want Parent to Come; Wants Child to Have Independent Experience</t>
        </is>
      </c>
      <c r="H291" t="inlineStr"/>
      <c r="I291" t="inlineStr">
        <is>
          <t>Family's Own Choice</t>
        </is>
      </c>
      <c r="J291" t="b">
        <v>0</v>
      </c>
      <c r="K291" t="n">
        <v>2</v>
      </c>
      <c r="L291" t="inlineStr"/>
      <c r="M291" t="inlineStr"/>
    </row>
    <row r="292">
      <c r="A292" t="inlineStr">
        <is>
          <t>No</t>
        </is>
      </c>
      <c r="B292" t="inlineStr"/>
      <c r="C292" t="inlineStr"/>
      <c r="D292" t="inlineStr"/>
      <c r="E292" t="inlineStr">
        <is>
          <t>My daughter wanted to do it on her own.</t>
        </is>
      </c>
      <c r="F292" t="inlineStr">
        <is>
          <t>Wants Child to Have Independent Experience</t>
        </is>
      </c>
      <c r="G292" t="inlineStr">
        <is>
          <t>Wants Child to Have Independent Experience</t>
        </is>
      </c>
      <c r="H292" t="inlineStr"/>
      <c r="I292" t="inlineStr">
        <is>
          <t>Family's Own Choice</t>
        </is>
      </c>
      <c r="J292" t="b">
        <v>0</v>
      </c>
      <c r="K292" t="n">
        <v>1</v>
      </c>
      <c r="L292" t="inlineStr"/>
      <c r="M292" t="inlineStr"/>
    </row>
    <row r="293">
      <c r="A293" t="inlineStr">
        <is>
          <t>No</t>
        </is>
      </c>
      <c r="B293" t="inlineStr"/>
      <c r="C293" t="inlineStr"/>
      <c r="D293" t="inlineStr"/>
      <c r="E293" t="inlineStr">
        <is>
          <t>To allow my daughter to have her own experience</t>
        </is>
      </c>
      <c r="F293" t="inlineStr">
        <is>
          <t>Wants Child to Have Independent Experience</t>
        </is>
      </c>
      <c r="G293" t="inlineStr">
        <is>
          <t>Wants Child to Have Independent Experience</t>
        </is>
      </c>
      <c r="H293" t="inlineStr"/>
      <c r="I293" t="inlineStr">
        <is>
          <t>Family's Own Choice</t>
        </is>
      </c>
      <c r="J293" t="b">
        <v>0</v>
      </c>
      <c r="K293" t="n">
        <v>1</v>
      </c>
      <c r="L293" t="inlineStr"/>
      <c r="M293" t="inlineStr"/>
    </row>
    <row r="294">
      <c r="A294" t="inlineStr">
        <is>
          <t>No</t>
        </is>
      </c>
      <c r="B294" t="inlineStr"/>
      <c r="C294" t="inlineStr"/>
      <c r="D294" t="inlineStr"/>
      <c r="E294" t="inlineStr">
        <is>
          <t>Price and time away</t>
        </is>
      </c>
      <c r="F294" t="inlineStr">
        <is>
          <t>Cost / Finances</t>
        </is>
      </c>
      <c r="G294" t="inlineStr">
        <is>
          <t>Cost / Finances; Work Schedule / Time Off</t>
        </is>
      </c>
      <c r="H294" t="inlineStr"/>
      <c r="I294" t="inlineStr">
        <is>
          <t>HXP Can Directly Fix</t>
        </is>
      </c>
      <c r="J294" t="b">
        <v>0</v>
      </c>
      <c r="K294" t="n">
        <v>2</v>
      </c>
      <c r="L294" t="inlineStr"/>
      <c r="M294" t="inlineStr"/>
    </row>
    <row r="295">
      <c r="A295" t="inlineStr">
        <is>
          <t>No</t>
        </is>
      </c>
      <c r="B295" t="inlineStr"/>
      <c r="C295" t="inlineStr"/>
      <c r="D295" t="inlineStr"/>
      <c r="E295" t="inlineStr">
        <is>
          <t>I went last year and don't have the time this year.</t>
        </is>
      </c>
      <c r="F295" t="inlineStr">
        <is>
          <t>Work Schedule / Time Off</t>
        </is>
      </c>
      <c r="G295" t="inlineStr">
        <is>
          <t>Work Schedule / Time Off</t>
        </is>
      </c>
      <c r="H295" t="inlineStr"/>
      <c r="I295" t="inlineStr">
        <is>
          <t>HXP Can Influence</t>
        </is>
      </c>
      <c r="J295" t="b">
        <v>0</v>
      </c>
      <c r="K295" t="n">
        <v>1</v>
      </c>
      <c r="L295" t="inlineStr"/>
      <c r="M295" t="inlineStr"/>
    </row>
    <row r="296">
      <c r="A296" t="inlineStr">
        <is>
          <t>No</t>
        </is>
      </c>
      <c r="B296" t="inlineStr"/>
      <c r="C296" t="inlineStr"/>
      <c r="D296" t="inlineStr"/>
      <c r="E296" t="inlineStr">
        <is>
          <t>Past kids experience</t>
        </is>
      </c>
      <c r="F296" t="inlineStr">
        <is>
          <t>Wants Child to Have Independent Experience</t>
        </is>
      </c>
      <c r="G296" t="inlineStr">
        <is>
          <t>Wants Child to Have Independent Experience</t>
        </is>
      </c>
      <c r="H296" t="inlineStr"/>
      <c r="I296" t="inlineStr">
        <is>
          <t>Family's Own Choice</t>
        </is>
      </c>
      <c r="J296" t="b">
        <v>0</v>
      </c>
      <c r="K296" t="n">
        <v>1</v>
      </c>
      <c r="L296" t="inlineStr"/>
      <c r="M296" t="inlineStr"/>
    </row>
    <row r="297">
      <c r="A297" t="inlineStr">
        <is>
          <t>No</t>
        </is>
      </c>
      <c r="B297" t="inlineStr"/>
      <c r="C297" t="inlineStr"/>
      <c r="D297" t="inlineStr"/>
      <c r="E297" t="inlineStr">
        <is>
          <t>I would really like to go in the future. I am sending 3 teens this year. Finance is a part of why I am not going. And then it would be tough for me to get off work that long this year. But hopefully next year.</t>
        </is>
      </c>
      <c r="F297" t="inlineStr">
        <is>
          <t>Cost / Finances</t>
        </is>
      </c>
      <c r="G297" t="inlineStr">
        <is>
          <t>Cost / Finances; Work Schedule / Time Off</t>
        </is>
      </c>
      <c r="H297" t="inlineStr"/>
      <c r="I297" t="inlineStr">
        <is>
          <t>HXP Can Directly Fix</t>
        </is>
      </c>
      <c r="J297" t="b">
        <v>1</v>
      </c>
      <c r="K297" t="n">
        <v>2</v>
      </c>
      <c r="L297" t="inlineStr"/>
      <c r="M297" t="inlineStr"/>
    </row>
    <row r="298">
      <c r="A298" t="inlineStr">
        <is>
          <t>Yes</t>
        </is>
      </c>
      <c r="B298" t="inlineStr"/>
      <c r="C298" t="inlineStr"/>
      <c r="D298" t="inlineStr"/>
      <c r="E298" t="inlineStr"/>
      <c r="F298" t="inlineStr"/>
      <c r="G298" t="inlineStr"/>
      <c r="H298" t="inlineStr"/>
      <c r="I298" t="inlineStr"/>
      <c r="J298" t="b">
        <v>0</v>
      </c>
      <c r="K298" t="n">
        <v>0</v>
      </c>
      <c r="L298" t="inlineStr"/>
      <c r="M298" t="inlineStr"/>
    </row>
    <row r="299">
      <c r="A299" t="inlineStr">
        <is>
          <t>No</t>
        </is>
      </c>
      <c r="B299" t="inlineStr"/>
      <c r="C299" t="inlineStr"/>
      <c r="D299" t="inlineStr"/>
      <c r="E299" t="inlineStr">
        <is>
          <t>I have other children</t>
        </is>
      </c>
      <c r="F299" t="inlineStr">
        <is>
          <t>Other Kids / Family at Home</t>
        </is>
      </c>
      <c r="G299" t="inlineStr">
        <is>
          <t>Other Kids / Family at Home</t>
        </is>
      </c>
      <c r="H299" t="inlineStr"/>
      <c r="I299" t="inlineStr">
        <is>
          <t>Family's Own Choice</t>
        </is>
      </c>
      <c r="J299" t="b">
        <v>0</v>
      </c>
      <c r="K299" t="n">
        <v>1</v>
      </c>
      <c r="L299" t="inlineStr"/>
      <c r="M299" t="inlineStr"/>
    </row>
    <row r="300">
      <c r="A300" t="inlineStr">
        <is>
          <t>No</t>
        </is>
      </c>
      <c r="B300" t="inlineStr"/>
      <c r="C300" t="inlineStr"/>
      <c r="D300" t="inlineStr"/>
      <c r="E300" t="inlineStr">
        <is>
          <t>My husband is the parent builder so I need to stay home</t>
        </is>
      </c>
      <c r="F300" t="inlineStr">
        <is>
          <t>Another Family Member Going Instead</t>
        </is>
      </c>
      <c r="G300" t="inlineStr">
        <is>
          <t>Another Family Member Going Instead</t>
        </is>
      </c>
      <c r="H300" t="inlineStr"/>
      <c r="I300" t="inlineStr">
        <is>
          <t>Family's Own Choice</t>
        </is>
      </c>
      <c r="J300" t="b">
        <v>0</v>
      </c>
      <c r="K300" t="n">
        <v>1</v>
      </c>
      <c r="L300" t="inlineStr"/>
      <c r="M300" t="inlineStr"/>
    </row>
    <row r="301">
      <c r="A301" t="inlineStr">
        <is>
          <t>No</t>
        </is>
      </c>
      <c r="B301" t="inlineStr"/>
      <c r="C301" t="inlineStr"/>
      <c r="D301" t="inlineStr"/>
      <c r="E301" t="inlineStr">
        <is>
          <t>Cost</t>
        </is>
      </c>
      <c r="F301" t="inlineStr">
        <is>
          <t>Cost / Finances</t>
        </is>
      </c>
      <c r="G301" t="inlineStr">
        <is>
          <t>Cost / Finances</t>
        </is>
      </c>
      <c r="H301" t="inlineStr"/>
      <c r="I301" t="inlineStr">
        <is>
          <t>HXP Can Directly Fix</t>
        </is>
      </c>
      <c r="J301" t="b">
        <v>0</v>
      </c>
      <c r="K301" t="n">
        <v>1</v>
      </c>
      <c r="L301" t="inlineStr"/>
      <c r="M301" t="inlineStr"/>
    </row>
    <row r="302">
      <c r="A302" t="inlineStr">
        <is>
          <t>No</t>
        </is>
      </c>
      <c r="B302" t="inlineStr"/>
      <c r="C302" t="inlineStr"/>
      <c r="D302" t="inlineStr"/>
      <c r="E302" t="inlineStr">
        <is>
          <t>wanted my child to do it on her own</t>
        </is>
      </c>
      <c r="F302" t="inlineStr">
        <is>
          <t>Wants Child to Have Independent Experience</t>
        </is>
      </c>
      <c r="G302" t="inlineStr">
        <is>
          <t>Wants Child to Have Independent Experience</t>
        </is>
      </c>
      <c r="H302" t="inlineStr"/>
      <c r="I302" t="inlineStr">
        <is>
          <t>Family's Own Choice</t>
        </is>
      </c>
      <c r="J302" t="b">
        <v>0</v>
      </c>
      <c r="K302" t="n">
        <v>1</v>
      </c>
      <c r="L302" t="inlineStr"/>
      <c r="M302" t="inlineStr"/>
    </row>
    <row r="303">
      <c r="A303" t="inlineStr">
        <is>
          <t>No</t>
        </is>
      </c>
      <c r="B303" t="inlineStr"/>
      <c r="C303" t="inlineStr"/>
      <c r="D303" t="inlineStr"/>
      <c r="E303" t="inlineStr">
        <is>
          <t>Timing. Giving my son space to meet new people.</t>
        </is>
      </c>
      <c r="F303" t="inlineStr">
        <is>
          <t>Work Schedule / Time Off</t>
        </is>
      </c>
      <c r="G303" t="inlineStr">
        <is>
          <t>Work Schedule / Time Off</t>
        </is>
      </c>
      <c r="H303" t="inlineStr"/>
      <c r="I303" t="inlineStr">
        <is>
          <t>HXP Can Influence</t>
        </is>
      </c>
      <c r="J303" t="b">
        <v>0</v>
      </c>
      <c r="K303" t="n">
        <v>1</v>
      </c>
      <c r="L303" t="inlineStr"/>
      <c r="M303" t="inlineStr"/>
    </row>
    <row r="304">
      <c r="A304" t="inlineStr">
        <is>
          <t>No</t>
        </is>
      </c>
      <c r="B304" t="inlineStr"/>
      <c r="C304" t="inlineStr"/>
      <c r="D304" t="inlineStr"/>
      <c r="E304" t="inlineStr">
        <is>
          <t>Time and money</t>
        </is>
      </c>
      <c r="F304" t="inlineStr">
        <is>
          <t>Cost / Finances</t>
        </is>
      </c>
      <c r="G304" t="inlineStr">
        <is>
          <t>Cost / Finances; Work Schedule / Time Off</t>
        </is>
      </c>
      <c r="H304" t="inlineStr"/>
      <c r="I304" t="inlineStr">
        <is>
          <t>HXP Can Directly Fix</t>
        </is>
      </c>
      <c r="J304" t="b">
        <v>0</v>
      </c>
      <c r="K304" t="n">
        <v>2</v>
      </c>
      <c r="L304" t="inlineStr"/>
      <c r="M304" t="inlineStr"/>
    </row>
    <row r="305">
      <c r="A305" t="inlineStr">
        <is>
          <t>No</t>
        </is>
      </c>
      <c r="B305" t="inlineStr"/>
      <c r="C305" t="inlineStr"/>
      <c r="D305" t="inlineStr"/>
      <c r="E305" t="inlineStr">
        <is>
          <t>4 other needy children at home including a child with Autism. Work, cost etc.</t>
        </is>
      </c>
      <c r="F305" t="inlineStr">
        <is>
          <t>Cost / Finances</t>
        </is>
      </c>
      <c r="G305" t="inlineStr">
        <is>
          <t>Cost / Finances; Work Schedule / Time Off; Other Kids / Family at Home</t>
        </is>
      </c>
      <c r="H305" t="inlineStr"/>
      <c r="I305" t="inlineStr">
        <is>
          <t>HXP Can Directly Fix</t>
        </is>
      </c>
      <c r="J305" t="b">
        <v>0</v>
      </c>
      <c r="K305" t="n">
        <v>3</v>
      </c>
      <c r="L305" t="inlineStr"/>
      <c r="M305" t="inlineStr"/>
    </row>
    <row r="306">
      <c r="A306" t="inlineStr">
        <is>
          <t>No</t>
        </is>
      </c>
      <c r="B306" t="inlineStr"/>
      <c r="C306" t="inlineStr"/>
      <c r="D306" t="inlineStr"/>
      <c r="E306" t="inlineStr">
        <is>
          <t>Money and time off work</t>
        </is>
      </c>
      <c r="F306" t="inlineStr">
        <is>
          <t>Cost / Finances</t>
        </is>
      </c>
      <c r="G306" t="inlineStr">
        <is>
          <t>Cost / Finances; Work Schedule / Time Off</t>
        </is>
      </c>
      <c r="H306" t="inlineStr"/>
      <c r="I306" t="inlineStr">
        <is>
          <t>HXP Can Directly Fix</t>
        </is>
      </c>
      <c r="J306" t="b">
        <v>0</v>
      </c>
      <c r="K306" t="n">
        <v>2</v>
      </c>
      <c r="L306" t="inlineStr"/>
      <c r="M306" t="inlineStr"/>
    </row>
    <row r="307">
      <c r="A307" t="inlineStr">
        <is>
          <t>Yes</t>
        </is>
      </c>
      <c r="B307" t="inlineStr">
        <is>
          <t>Want to build a testimony building experience with Arin.</t>
        </is>
      </c>
      <c r="C307" t="inlineStr">
        <is>
          <t>Wanted Shared Experience with Child</t>
        </is>
      </c>
      <c r="D307" t="inlineStr">
        <is>
          <t>Wanted Shared Experience with Child; Faith / Service Motivation</t>
        </is>
      </c>
      <c r="E307" t="inlineStr"/>
      <c r="F307" t="inlineStr"/>
      <c r="G307" t="inlineStr"/>
      <c r="H307" t="inlineStr"/>
      <c r="I307" t="inlineStr"/>
      <c r="J307" t="b">
        <v>0</v>
      </c>
      <c r="K307" t="n">
        <v>0</v>
      </c>
      <c r="L307" t="inlineStr"/>
      <c r="M307" t="inlineStr"/>
    </row>
    <row r="308">
      <c r="A308" t="inlineStr">
        <is>
          <t>No</t>
        </is>
      </c>
      <c r="B308" t="inlineStr"/>
      <c r="C308" t="inlineStr"/>
      <c r="D308" t="inlineStr"/>
      <c r="E308" t="inlineStr">
        <is>
          <t>Time away from my younger children</t>
        </is>
      </c>
      <c r="F308" t="inlineStr">
        <is>
          <t>Work Schedule / Time Off</t>
        </is>
      </c>
      <c r="G308" t="inlineStr">
        <is>
          <t>Work Schedule / Time Off; Other Kids / Family at Home</t>
        </is>
      </c>
      <c r="H308" t="inlineStr"/>
      <c r="I308" t="inlineStr">
        <is>
          <t>HXP Can Influence</t>
        </is>
      </c>
      <c r="J308" t="b">
        <v>0</v>
      </c>
      <c r="K308" t="n">
        <v>2</v>
      </c>
      <c r="L308" t="inlineStr"/>
      <c r="M308" t="inlineStr"/>
    </row>
    <row r="309">
      <c r="A309" t="inlineStr">
        <is>
          <t>No</t>
        </is>
      </c>
      <c r="B309" t="inlineStr"/>
      <c r="C309" t="inlineStr"/>
      <c r="D309" t="inlineStr"/>
      <c r="E309" t="inlineStr"/>
      <c r="F309" t="inlineStr"/>
      <c r="G309" t="inlineStr"/>
      <c r="H309" t="inlineStr"/>
      <c r="I309" t="inlineStr"/>
      <c r="J309" t="b">
        <v>0</v>
      </c>
      <c r="K309" t="n">
        <v>0</v>
      </c>
      <c r="L309" t="inlineStr"/>
      <c r="M309" t="inlineStr"/>
    </row>
    <row r="310">
      <c r="A310" t="inlineStr">
        <is>
          <t>Yes</t>
        </is>
      </c>
      <c r="B310" t="inlineStr">
        <is>
          <t>Experience with my daughter before she graduates and service opportunity</t>
        </is>
      </c>
      <c r="C310" t="inlineStr">
        <is>
          <t>Wanted Shared Experience with Child</t>
        </is>
      </c>
      <c r="D310" t="inlineStr">
        <is>
          <t>Wanted Shared Experience with Child; Faith / Service Motivation</t>
        </is>
      </c>
      <c r="E310" t="inlineStr"/>
      <c r="F310" t="inlineStr"/>
      <c r="G310" t="inlineStr"/>
      <c r="H310" t="inlineStr"/>
      <c r="I310" t="inlineStr"/>
      <c r="J310" t="b">
        <v>0</v>
      </c>
      <c r="K310" t="n">
        <v>0</v>
      </c>
      <c r="L310" t="inlineStr"/>
      <c r="M310" t="inlineStr"/>
    </row>
    <row r="311">
      <c r="A311" t="inlineStr">
        <is>
          <t>No</t>
        </is>
      </c>
      <c r="B311" t="inlineStr"/>
      <c r="C311" t="inlineStr"/>
      <c r="D311" t="inlineStr"/>
      <c r="E311" t="inlineStr">
        <is>
          <t>Other kids at home</t>
        </is>
      </c>
      <c r="F311" t="inlineStr">
        <is>
          <t>Other Kids / Family at Home</t>
        </is>
      </c>
      <c r="G311" t="inlineStr">
        <is>
          <t>Other Kids / Family at Home</t>
        </is>
      </c>
      <c r="H311" t="inlineStr"/>
      <c r="I311" t="inlineStr">
        <is>
          <t>Family's Own Choice</t>
        </is>
      </c>
      <c r="J311" t="b">
        <v>0</v>
      </c>
      <c r="K311" t="n">
        <v>1</v>
      </c>
      <c r="L311" t="inlineStr"/>
      <c r="M311" t="inlineStr"/>
    </row>
    <row r="312">
      <c r="A312" t="inlineStr">
        <is>
          <t>No</t>
        </is>
      </c>
      <c r="B312" t="inlineStr"/>
      <c r="C312" t="inlineStr"/>
      <c r="D312" t="inlineStr"/>
      <c r="E312" t="inlineStr">
        <is>
          <t>Logistics</t>
        </is>
      </c>
      <c r="F312" t="inlineStr">
        <is>
          <t>Other / Uncategorized</t>
        </is>
      </c>
      <c r="G312" t="inlineStr"/>
      <c r="H312" t="inlineStr"/>
      <c r="I312" t="inlineStr">
        <is>
          <t>Unknown</t>
        </is>
      </c>
      <c r="J312" t="b">
        <v>0</v>
      </c>
      <c r="K312" t="n">
        <v>0</v>
      </c>
      <c r="L312" t="inlineStr"/>
      <c r="M312" t="inlineStr"/>
    </row>
    <row r="313">
      <c r="A313" t="inlineStr">
        <is>
          <t>No</t>
        </is>
      </c>
      <c r="B313" t="inlineStr"/>
      <c r="C313" t="inlineStr"/>
      <c r="D313" t="inlineStr"/>
      <c r="E313" t="inlineStr">
        <is>
          <t>This was for my kids I wanted them to have "me, mom" free time.</t>
        </is>
      </c>
      <c r="F313" t="inlineStr">
        <is>
          <t>Work Schedule / Time Off</t>
        </is>
      </c>
      <c r="G313" t="inlineStr">
        <is>
          <t>Work Schedule / Time Off</t>
        </is>
      </c>
      <c r="H313" t="inlineStr"/>
      <c r="I313" t="inlineStr">
        <is>
          <t>HXP Can Influence</t>
        </is>
      </c>
      <c r="J313" t="b">
        <v>0</v>
      </c>
      <c r="K313" t="n">
        <v>1</v>
      </c>
      <c r="L313" t="inlineStr"/>
      <c r="M313" t="inlineStr"/>
    </row>
    <row r="314">
      <c r="A314" t="inlineStr">
        <is>
          <t>No</t>
        </is>
      </c>
      <c r="B314" t="inlineStr"/>
      <c r="C314" t="inlineStr"/>
      <c r="D314" t="inlineStr"/>
      <c r="E314" t="inlineStr">
        <is>
          <t>I wanted him to experience it alone</t>
        </is>
      </c>
      <c r="F314" t="inlineStr">
        <is>
          <t>Wants Child to Have Independent Experience</t>
        </is>
      </c>
      <c r="G314" t="inlineStr">
        <is>
          <t>Wants Child to Have Independent Experience</t>
        </is>
      </c>
      <c r="H314" t="inlineStr"/>
      <c r="I314" t="inlineStr">
        <is>
          <t>Family's Own Choice</t>
        </is>
      </c>
      <c r="J314" t="b">
        <v>0</v>
      </c>
      <c r="K314" t="n">
        <v>1</v>
      </c>
      <c r="L314" t="inlineStr"/>
      <c r="M314" t="inlineStr"/>
    </row>
    <row r="315">
      <c r="A315" t="inlineStr">
        <is>
          <t>No</t>
        </is>
      </c>
      <c r="B315" t="inlineStr"/>
      <c r="C315" t="inlineStr"/>
      <c r="D315" t="inlineStr"/>
      <c r="E315" t="inlineStr">
        <is>
          <t>My husband is already going with my son and we felt like two parents on his trip would be overkill and costly. Bummed because it sounds amazing!</t>
        </is>
      </c>
      <c r="F315" t="inlineStr">
        <is>
          <t>Another Family Member Going Instead</t>
        </is>
      </c>
      <c r="G315" t="inlineStr">
        <is>
          <t>Another Family Member Going Instead</t>
        </is>
      </c>
      <c r="H315" t="inlineStr"/>
      <c r="I315" t="inlineStr">
        <is>
          <t>Family's Own Choice</t>
        </is>
      </c>
      <c r="J315" t="b">
        <v>0</v>
      </c>
      <c r="K315" t="n">
        <v>1</v>
      </c>
      <c r="L315" t="inlineStr"/>
      <c r="M315" t="inlineStr"/>
    </row>
    <row r="316">
      <c r="A316" t="inlineStr">
        <is>
          <t>No</t>
        </is>
      </c>
      <c r="B316" t="inlineStr"/>
      <c r="C316" t="inlineStr"/>
      <c r="D316" t="inlineStr"/>
      <c r="E316" t="inlineStr">
        <is>
          <t>Price, length of being away from other children</t>
        </is>
      </c>
      <c r="F316" t="inlineStr">
        <is>
          <t>Cost / Finances</t>
        </is>
      </c>
      <c r="G316" t="inlineStr">
        <is>
          <t>Cost / Finances; Other Kids / Family at Home</t>
        </is>
      </c>
      <c r="H316" t="inlineStr"/>
      <c r="I316" t="inlineStr">
        <is>
          <t>HXP Can Directly Fix</t>
        </is>
      </c>
      <c r="J316" t="b">
        <v>0</v>
      </c>
      <c r="K316" t="n">
        <v>2</v>
      </c>
      <c r="L316" t="inlineStr"/>
      <c r="M316" t="inlineStr"/>
    </row>
    <row r="317">
      <c r="A317" t="inlineStr">
        <is>
          <t>No</t>
        </is>
      </c>
      <c r="B317" t="inlineStr"/>
      <c r="C317" t="inlineStr"/>
      <c r="D317" t="inlineStr"/>
      <c r="E317" t="inlineStr">
        <is>
          <t>Other family at home</t>
        </is>
      </c>
      <c r="F317" t="inlineStr">
        <is>
          <t>Other Kids / Family at Home</t>
        </is>
      </c>
      <c r="G317" t="inlineStr">
        <is>
          <t>Other Kids / Family at Home</t>
        </is>
      </c>
      <c r="H317" t="inlineStr"/>
      <c r="I317" t="inlineStr">
        <is>
          <t>Family's Own Choice</t>
        </is>
      </c>
      <c r="J317" t="b">
        <v>0</v>
      </c>
      <c r="K317" t="n">
        <v>1</v>
      </c>
      <c r="L317" t="inlineStr"/>
      <c r="M317" t="inlineStr"/>
    </row>
    <row r="318">
      <c r="A318" t="inlineStr">
        <is>
          <t>No</t>
        </is>
      </c>
      <c r="B318" t="inlineStr"/>
      <c r="C318" t="inlineStr"/>
      <c r="D318" t="inlineStr"/>
      <c r="E318" t="inlineStr">
        <is>
          <t>Child wanted to go alone</t>
        </is>
      </c>
      <c r="F318" t="inlineStr">
        <is>
          <t>Wants Child to Have Independent Experience</t>
        </is>
      </c>
      <c r="G318" t="inlineStr">
        <is>
          <t>Wants Child to Have Independent Experience</t>
        </is>
      </c>
      <c r="H318" t="inlineStr"/>
      <c r="I318" t="inlineStr">
        <is>
          <t>Family's Own Choice</t>
        </is>
      </c>
      <c r="J318" t="b">
        <v>0</v>
      </c>
      <c r="K318" t="n">
        <v>1</v>
      </c>
      <c r="L318" t="inlineStr"/>
      <c r="M318" t="inlineStr"/>
    </row>
    <row r="319">
      <c r="A319" t="inlineStr">
        <is>
          <t>No</t>
        </is>
      </c>
      <c r="B319" t="inlineStr"/>
      <c r="C319" t="inlineStr"/>
      <c r="D319" t="inlineStr"/>
      <c r="E319" t="inlineStr">
        <is>
          <t>I wanted my child to have an experience without me so that it was special for them. I do want to go some day! I love this program so much!</t>
        </is>
      </c>
      <c r="F319" t="inlineStr">
        <is>
          <t>Wants Child to Have Independent Experience</t>
        </is>
      </c>
      <c r="G319" t="inlineStr">
        <is>
          <t>Wants Child to Have Independent Experience</t>
        </is>
      </c>
      <c r="H319" t="inlineStr"/>
      <c r="I319" t="inlineStr">
        <is>
          <t>Family's Own Choice</t>
        </is>
      </c>
      <c r="J319" t="b">
        <v>0</v>
      </c>
      <c r="K319" t="n">
        <v>1</v>
      </c>
      <c r="L319" t="inlineStr"/>
      <c r="M319" t="inlineStr"/>
    </row>
    <row r="320">
      <c r="A320" t="inlineStr">
        <is>
          <t>No</t>
        </is>
      </c>
      <c r="B320" t="inlineStr"/>
      <c r="C320" t="inlineStr"/>
      <c r="D320" t="inlineStr"/>
      <c r="E320" t="inlineStr">
        <is>
          <t>I want my kids to have an experience on their own--to know that they can do hard things without me</t>
        </is>
      </c>
      <c r="F320" t="inlineStr">
        <is>
          <t>Wants Child to Have Independent Experience</t>
        </is>
      </c>
      <c r="G320" t="inlineStr">
        <is>
          <t>Wants Child to Have Independent Experience</t>
        </is>
      </c>
      <c r="H320" t="inlineStr"/>
      <c r="I320" t="inlineStr">
        <is>
          <t>Family's Own Choice</t>
        </is>
      </c>
      <c r="J320" t="b">
        <v>0</v>
      </c>
      <c r="K320" t="n">
        <v>1</v>
      </c>
      <c r="L320" t="inlineStr"/>
      <c r="M320" t="inlineStr"/>
    </row>
    <row r="321">
      <c r="A321" t="inlineStr">
        <is>
          <t>No</t>
        </is>
      </c>
      <c r="B321" t="inlineStr"/>
      <c r="C321" t="inlineStr"/>
      <c r="D321" t="inlineStr"/>
      <c r="E321" t="inlineStr">
        <is>
          <t>my kid would hold back if I was there</t>
        </is>
      </c>
      <c r="F321" t="inlineStr">
        <is>
          <t>Wants Child to Have Independent Experience</t>
        </is>
      </c>
      <c r="G321" t="inlineStr">
        <is>
          <t>Wants Child to Have Independent Experience</t>
        </is>
      </c>
      <c r="H321" t="inlineStr"/>
      <c r="I321" t="inlineStr">
        <is>
          <t>Family's Own Choice</t>
        </is>
      </c>
      <c r="J321" t="b">
        <v>0</v>
      </c>
      <c r="K321" t="n">
        <v>1</v>
      </c>
      <c r="L321" t="inlineStr"/>
      <c r="M321" t="inlineStr"/>
    </row>
    <row r="322">
      <c r="A322" t="inlineStr">
        <is>
          <t>No</t>
        </is>
      </c>
      <c r="B322" t="inlineStr"/>
      <c r="C322" t="inlineStr"/>
      <c r="D322" t="inlineStr"/>
      <c r="E322" t="inlineStr">
        <is>
          <t>My kids think they would get more out of their trip without a parent.</t>
        </is>
      </c>
      <c r="F322" t="inlineStr">
        <is>
          <t>Wants Child to Have Independent Experience</t>
        </is>
      </c>
      <c r="G322" t="inlineStr">
        <is>
          <t>Wants Child to Have Independent Experience</t>
        </is>
      </c>
      <c r="H322" t="inlineStr"/>
      <c r="I322" t="inlineStr">
        <is>
          <t>Family's Own Choice</t>
        </is>
      </c>
      <c r="J322" t="b">
        <v>0</v>
      </c>
      <c r="K322" t="n">
        <v>1</v>
      </c>
      <c r="L322" t="inlineStr"/>
      <c r="M322" t="inlineStr"/>
    </row>
    <row r="323">
      <c r="A323" t="inlineStr">
        <is>
          <t>No</t>
        </is>
      </c>
      <c r="B323" t="inlineStr"/>
      <c r="C323" t="inlineStr"/>
      <c r="D323" t="inlineStr"/>
      <c r="E323" t="inlineStr">
        <is>
          <t>Too many other commitments right now.</t>
        </is>
      </c>
      <c r="F323" t="inlineStr">
        <is>
          <t>Work Schedule / Time Off</t>
        </is>
      </c>
      <c r="G323" t="inlineStr">
        <is>
          <t>Work Schedule / Time Off</t>
        </is>
      </c>
      <c r="H323" t="inlineStr"/>
      <c r="I323" t="inlineStr">
        <is>
          <t>HXP Can Influence</t>
        </is>
      </c>
      <c r="J323" t="b">
        <v>0</v>
      </c>
      <c r="K323" t="n">
        <v>1</v>
      </c>
      <c r="L323" t="inlineStr"/>
      <c r="M323" t="inlineStr"/>
    </row>
    <row r="324">
      <c r="A324" t="inlineStr">
        <is>
          <t>No</t>
        </is>
      </c>
      <c r="B324" t="inlineStr"/>
      <c r="C324" t="inlineStr"/>
      <c r="D324" t="inlineStr"/>
      <c r="E324" t="inlineStr">
        <is>
          <t>Cost</t>
        </is>
      </c>
      <c r="F324" t="inlineStr">
        <is>
          <t>Cost / Finances</t>
        </is>
      </c>
      <c r="G324" t="inlineStr">
        <is>
          <t>Cost / Finances</t>
        </is>
      </c>
      <c r="H324" t="inlineStr"/>
      <c r="I324" t="inlineStr">
        <is>
          <t>HXP Can Directly Fix</t>
        </is>
      </c>
      <c r="J324" t="b">
        <v>0</v>
      </c>
      <c r="K324" t="n">
        <v>1</v>
      </c>
      <c r="L324" t="inlineStr"/>
      <c r="M324" t="inlineStr"/>
    </row>
    <row r="325">
      <c r="A325" t="inlineStr">
        <is>
          <t>No</t>
        </is>
      </c>
      <c r="B325" t="inlineStr"/>
      <c r="C325" t="inlineStr"/>
      <c r="D325" t="inlineStr"/>
      <c r="E325" t="inlineStr">
        <is>
          <t>I have 6 other kids at home right now</t>
        </is>
      </c>
      <c r="F325" t="inlineStr">
        <is>
          <t>Other Kids / Family at Home</t>
        </is>
      </c>
      <c r="G325" t="inlineStr">
        <is>
          <t>Other Kids / Family at Home</t>
        </is>
      </c>
      <c r="H325" t="inlineStr"/>
      <c r="I325" t="inlineStr">
        <is>
          <t>Family's Own Choice</t>
        </is>
      </c>
      <c r="J325" t="b">
        <v>0</v>
      </c>
      <c r="K325" t="n">
        <v>1</v>
      </c>
      <c r="L325" t="inlineStr"/>
      <c r="M325" t="inlineStr"/>
    </row>
    <row r="326">
      <c r="A326" t="inlineStr">
        <is>
          <t>No</t>
        </is>
      </c>
      <c r="B326" t="inlineStr"/>
      <c r="C326" t="inlineStr"/>
      <c r="D326" t="inlineStr"/>
      <c r="E326" t="inlineStr">
        <is>
          <t>My kids wanted to go on their own</t>
        </is>
      </c>
      <c r="F326" t="inlineStr">
        <is>
          <t>Wants Child to Have Independent Experience</t>
        </is>
      </c>
      <c r="G326" t="inlineStr">
        <is>
          <t>Wants Child to Have Independent Experience</t>
        </is>
      </c>
      <c r="H326" t="inlineStr"/>
      <c r="I326" t="inlineStr">
        <is>
          <t>Family's Own Choice</t>
        </is>
      </c>
      <c r="J326" t="b">
        <v>0</v>
      </c>
      <c r="K326" t="n">
        <v>1</v>
      </c>
      <c r="L326" t="inlineStr"/>
      <c r="M326" t="inlineStr"/>
    </row>
    <row r="327">
      <c r="A327" t="inlineStr">
        <is>
          <t>No</t>
        </is>
      </c>
      <c r="B327" t="inlineStr"/>
      <c r="C327" t="inlineStr"/>
      <c r="D327" t="inlineStr"/>
      <c r="E327" t="inlineStr">
        <is>
          <t>Other small children at home</t>
        </is>
      </c>
      <c r="F327" t="inlineStr">
        <is>
          <t>Other Kids / Family at Home</t>
        </is>
      </c>
      <c r="G327" t="inlineStr">
        <is>
          <t>Other Kids / Family at Home</t>
        </is>
      </c>
      <c r="H327" t="inlineStr"/>
      <c r="I327" t="inlineStr">
        <is>
          <t>Family's Own Choice</t>
        </is>
      </c>
      <c r="J327" t="b">
        <v>0</v>
      </c>
      <c r="K327" t="n">
        <v>1</v>
      </c>
      <c r="L327" t="inlineStr"/>
      <c r="M327" t="inlineStr"/>
    </row>
    <row r="328">
      <c r="A328" t="inlineStr">
        <is>
          <t>No</t>
        </is>
      </c>
      <c r="B328" t="inlineStr"/>
      <c r="C328" t="inlineStr"/>
      <c r="D328" t="inlineStr"/>
      <c r="E328" t="inlineStr">
        <is>
          <t>new job</t>
        </is>
      </c>
      <c r="F328" t="inlineStr">
        <is>
          <t>Work Schedule / Time Off</t>
        </is>
      </c>
      <c r="G328" t="inlineStr">
        <is>
          <t>Work Schedule / Time Off</t>
        </is>
      </c>
      <c r="H328" t="inlineStr"/>
      <c r="I328" t="inlineStr">
        <is>
          <t>HXP Can Influence</t>
        </is>
      </c>
      <c r="J328" t="b">
        <v>0</v>
      </c>
      <c r="K328" t="n">
        <v>1</v>
      </c>
      <c r="L328" t="inlineStr"/>
      <c r="M328" t="inlineStr"/>
    </row>
    <row r="329">
      <c r="A329" t="inlineStr">
        <is>
          <t>No</t>
        </is>
      </c>
      <c r="B329" t="inlineStr"/>
      <c r="C329" t="inlineStr"/>
      <c r="D329" t="inlineStr"/>
      <c r="E329" t="inlineStr">
        <is>
          <t>Want my daughter to have experience on her own</t>
        </is>
      </c>
      <c r="F329" t="inlineStr">
        <is>
          <t>Wants Child to Have Independent Experience</t>
        </is>
      </c>
      <c r="G329" t="inlineStr">
        <is>
          <t>Wants Child to Have Independent Experience</t>
        </is>
      </c>
      <c r="H329" t="inlineStr"/>
      <c r="I329" t="inlineStr">
        <is>
          <t>Family's Own Choice</t>
        </is>
      </c>
      <c r="J329" t="b">
        <v>0</v>
      </c>
      <c r="K329" t="n">
        <v>1</v>
      </c>
      <c r="L329" t="inlineStr"/>
      <c r="M329" t="inlineStr"/>
    </row>
    <row r="330">
      <c r="A330" t="inlineStr">
        <is>
          <t>No</t>
        </is>
      </c>
      <c r="B330" t="inlineStr"/>
      <c r="C330" t="inlineStr"/>
      <c r="D330" t="inlineStr"/>
      <c r="E330" t="inlineStr">
        <is>
          <t>My child did not want a parent with her this time</t>
        </is>
      </c>
      <c r="F330" t="inlineStr">
        <is>
          <t>Work Schedule / Time Off</t>
        </is>
      </c>
      <c r="G330" t="inlineStr">
        <is>
          <t>Work Schedule / Time Off; Child Didn't Want Parent to Come</t>
        </is>
      </c>
      <c r="H330" t="inlineStr"/>
      <c r="I330" t="inlineStr">
        <is>
          <t>HXP Can Influence</t>
        </is>
      </c>
      <c r="J330" t="b">
        <v>0</v>
      </c>
      <c r="K330" t="n">
        <v>2</v>
      </c>
      <c r="L330" t="inlineStr"/>
      <c r="M330" t="inlineStr"/>
    </row>
    <row r="331">
      <c r="A331" t="inlineStr">
        <is>
          <t>No</t>
        </is>
      </c>
      <c r="B331" t="inlineStr"/>
      <c r="C331" t="inlineStr"/>
      <c r="D331" t="inlineStr"/>
      <c r="E331" t="inlineStr">
        <is>
          <t>Cost</t>
        </is>
      </c>
      <c r="F331" t="inlineStr">
        <is>
          <t>Cost / Finances</t>
        </is>
      </c>
      <c r="G331" t="inlineStr">
        <is>
          <t>Cost / Finances</t>
        </is>
      </c>
      <c r="H331" t="inlineStr"/>
      <c r="I331" t="inlineStr">
        <is>
          <t>HXP Can Directly Fix</t>
        </is>
      </c>
      <c r="J331" t="b">
        <v>0</v>
      </c>
      <c r="K331" t="n">
        <v>1</v>
      </c>
      <c r="L331" t="inlineStr"/>
      <c r="M331" t="inlineStr"/>
    </row>
    <row r="332">
      <c r="A332" t="inlineStr">
        <is>
          <t>No</t>
        </is>
      </c>
      <c r="B332" t="inlineStr"/>
      <c r="C332" t="inlineStr"/>
      <c r="D332" t="inlineStr"/>
      <c r="E332" t="inlineStr">
        <is>
          <t>I totally would have but my builder said she needed to go and prepare to do things on her own.</t>
        </is>
      </c>
      <c r="F332" t="inlineStr">
        <is>
          <t>Wants Child to Have Independent Experience</t>
        </is>
      </c>
      <c r="G332" t="inlineStr">
        <is>
          <t>Wants Child to Have Independent Experience</t>
        </is>
      </c>
      <c r="H332" t="inlineStr"/>
      <c r="I332" t="inlineStr">
        <is>
          <t>Family's Own Choice</t>
        </is>
      </c>
      <c r="J332" t="b">
        <v>0</v>
      </c>
      <c r="K332" t="n">
        <v>1</v>
      </c>
      <c r="L332" t="inlineStr"/>
      <c r="M332" t="inlineStr"/>
    </row>
    <row r="333">
      <c r="A333" t="inlineStr">
        <is>
          <t>No</t>
        </is>
      </c>
      <c r="B333" t="inlineStr"/>
      <c r="C333" t="inlineStr"/>
      <c r="D333" t="inlineStr"/>
      <c r="E333" t="inlineStr"/>
      <c r="F333" t="inlineStr"/>
      <c r="G333" t="inlineStr"/>
      <c r="H333" t="inlineStr"/>
      <c r="I333" t="inlineStr"/>
      <c r="J333" t="b">
        <v>0</v>
      </c>
      <c r="K333" t="n">
        <v>0</v>
      </c>
      <c r="L333" t="inlineStr"/>
      <c r="M333" t="inlineStr"/>
    </row>
    <row r="334">
      <c r="A334" t="inlineStr">
        <is>
          <t>No</t>
        </is>
      </c>
      <c r="B334" t="inlineStr"/>
      <c r="C334" t="inlineStr"/>
      <c r="D334" t="inlineStr"/>
      <c r="E334" t="inlineStr">
        <is>
          <t>Time</t>
        </is>
      </c>
      <c r="F334" t="inlineStr">
        <is>
          <t>Work Schedule / Time Off</t>
        </is>
      </c>
      <c r="G334" t="inlineStr">
        <is>
          <t>Work Schedule / Time Off</t>
        </is>
      </c>
      <c r="H334" t="inlineStr"/>
      <c r="I334" t="inlineStr">
        <is>
          <t>HXP Can Influence</t>
        </is>
      </c>
      <c r="J334" t="b">
        <v>0</v>
      </c>
      <c r="K334" t="n">
        <v>1</v>
      </c>
      <c r="L334" t="inlineStr"/>
      <c r="M334" t="inlineStr"/>
    </row>
    <row r="335">
      <c r="A335" t="inlineStr">
        <is>
          <t>Yes</t>
        </is>
      </c>
      <c r="B335" t="inlineStr">
        <is>
          <t>I initially went with my older daughter as I feel it is so important that they are exposed to the world and how blessed we are to have the luxuries and life we do. I had such a wonderful experience with her I wanted to go with my younger daughter as well.</t>
        </is>
      </c>
      <c r="C335" t="inlineStr">
        <is>
          <t>Wanted Shared Experience with Child</t>
        </is>
      </c>
      <c r="D335" t="inlineStr">
        <is>
          <t>Wanted Shared Experience with Child</t>
        </is>
      </c>
      <c r="E335" t="inlineStr"/>
      <c r="F335" t="inlineStr"/>
      <c r="G335" t="inlineStr"/>
      <c r="H335" t="inlineStr"/>
      <c r="I335" t="inlineStr"/>
      <c r="J335" t="b">
        <v>0</v>
      </c>
      <c r="K335" t="n">
        <v>0</v>
      </c>
      <c r="L335" t="inlineStr"/>
      <c r="M335" t="inlineStr"/>
    </row>
    <row r="336">
      <c r="A336" t="inlineStr">
        <is>
          <t>Yes</t>
        </is>
      </c>
      <c r="B336" t="inlineStr">
        <is>
          <t>My daughter</t>
        </is>
      </c>
      <c r="C336" t="inlineStr">
        <is>
          <t>Family Member Was the Reason (No Elaboration)</t>
        </is>
      </c>
      <c r="D336" t="inlineStr">
        <is>
          <t>Family Member Was the Reason (No Elaboration)</t>
        </is>
      </c>
      <c r="E336" t="inlineStr"/>
      <c r="F336" t="inlineStr"/>
      <c r="G336" t="inlineStr"/>
      <c r="H336" t="inlineStr"/>
      <c r="I336" t="inlineStr"/>
      <c r="J336" t="b">
        <v>0</v>
      </c>
      <c r="K336" t="n">
        <v>0</v>
      </c>
      <c r="L336" t="inlineStr"/>
      <c r="M336" t="inlineStr"/>
    </row>
    <row r="337">
      <c r="A337" t="inlineStr">
        <is>
          <t>No</t>
        </is>
      </c>
      <c r="B337" t="inlineStr"/>
      <c r="C337" t="inlineStr"/>
      <c r="D337" t="inlineStr"/>
      <c r="E337" t="inlineStr">
        <is>
          <t>Want my kid to be on his own</t>
        </is>
      </c>
      <c r="F337" t="inlineStr">
        <is>
          <t>Wants Child to Have Independent Experience</t>
        </is>
      </c>
      <c r="G337" t="inlineStr">
        <is>
          <t>Wants Child to Have Independent Experience</t>
        </is>
      </c>
      <c r="H337" t="inlineStr"/>
      <c r="I337" t="inlineStr">
        <is>
          <t>Family's Own Choice</t>
        </is>
      </c>
      <c r="J337" t="b">
        <v>0</v>
      </c>
      <c r="K337" t="n">
        <v>1</v>
      </c>
      <c r="L337" t="inlineStr"/>
      <c r="M337" t="inlineStr"/>
    </row>
    <row r="338">
      <c r="A338" t="inlineStr">
        <is>
          <t>No</t>
        </is>
      </c>
      <c r="B338" t="inlineStr"/>
      <c r="C338" t="inlineStr"/>
      <c r="D338" t="inlineStr"/>
      <c r="E338" t="inlineStr">
        <is>
          <t>Our kids need an adventure without his parents.</t>
        </is>
      </c>
      <c r="F338" t="inlineStr">
        <is>
          <t>Wants Child to Have Independent Experience</t>
        </is>
      </c>
      <c r="G338" t="inlineStr">
        <is>
          <t>Wants Child to Have Independent Experience</t>
        </is>
      </c>
      <c r="H338" t="inlineStr"/>
      <c r="I338" t="inlineStr">
        <is>
          <t>Family's Own Choice</t>
        </is>
      </c>
      <c r="J338" t="b">
        <v>0</v>
      </c>
      <c r="K338" t="n">
        <v>1</v>
      </c>
      <c r="L338" t="inlineStr"/>
      <c r="M338" t="inlineStr"/>
    </row>
    <row r="339">
      <c r="A339" t="inlineStr">
        <is>
          <t>No</t>
        </is>
      </c>
      <c r="B339" t="inlineStr"/>
      <c r="C339" t="inlineStr"/>
      <c r="D339" t="inlineStr"/>
      <c r="E339" t="inlineStr"/>
      <c r="F339" t="inlineStr"/>
      <c r="G339" t="inlineStr"/>
      <c r="H339" t="inlineStr"/>
      <c r="I339" t="inlineStr"/>
      <c r="J339" t="b">
        <v>0</v>
      </c>
      <c r="K339" t="n">
        <v>0</v>
      </c>
      <c r="L339" t="inlineStr"/>
      <c r="M339" t="inlineStr"/>
    </row>
    <row r="340">
      <c r="A340" t="inlineStr">
        <is>
          <t>No</t>
        </is>
      </c>
      <c r="B340" t="inlineStr"/>
      <c r="C340" t="inlineStr"/>
      <c r="D340" t="inlineStr"/>
      <c r="E340" t="inlineStr">
        <is>
          <t>She went on an HXP trip last year and loved it, so we decided to send her on another one in a warmer location.</t>
        </is>
      </c>
      <c r="F340" t="inlineStr">
        <is>
          <t>Wants Child to Have Independent Experience</t>
        </is>
      </c>
      <c r="G340" t="inlineStr">
        <is>
          <t>Wants Child to Have Independent Experience</t>
        </is>
      </c>
      <c r="H340" t="inlineStr"/>
      <c r="I340" t="inlineStr">
        <is>
          <t>Family's Own Choice</t>
        </is>
      </c>
      <c r="J340" t="b">
        <v>0</v>
      </c>
      <c r="K340" t="n">
        <v>1</v>
      </c>
      <c r="L340" t="inlineStr"/>
      <c r="M340" t="inlineStr"/>
    </row>
    <row r="341">
      <c r="A341" t="inlineStr">
        <is>
          <t>No</t>
        </is>
      </c>
      <c r="B341" t="inlineStr"/>
      <c r="C341" t="inlineStr"/>
      <c r="D341" t="inlineStr"/>
      <c r="E341" t="inlineStr">
        <is>
          <t>His sister went on an HXP trip last year and he wanted to go this year and see what it is all about. Also what a great opportunity for him to go serve others.</t>
        </is>
      </c>
      <c r="F341" t="inlineStr">
        <is>
          <t>Another Family Member Going Instead</t>
        </is>
      </c>
      <c r="G341" t="inlineStr">
        <is>
          <t>Another Family Member Going Instead</t>
        </is>
      </c>
      <c r="H341" t="inlineStr"/>
      <c r="I341" t="inlineStr">
        <is>
          <t>Family's Own Choice</t>
        </is>
      </c>
      <c r="J341" t="b">
        <v>0</v>
      </c>
      <c r="K341" t="n">
        <v>1</v>
      </c>
      <c r="L341" t="inlineStr"/>
      <c r="M341" t="inlineStr"/>
    </row>
    <row r="342">
      <c r="A342" t="inlineStr">
        <is>
          <t>No</t>
        </is>
      </c>
      <c r="B342" t="inlineStr"/>
      <c r="C342" t="inlineStr"/>
      <c r="D342" t="inlineStr"/>
      <c r="E342" t="inlineStr">
        <is>
          <t>Work and money. More important that our child go on these trips</t>
        </is>
      </c>
      <c r="F342" t="inlineStr">
        <is>
          <t>Cost / Finances</t>
        </is>
      </c>
      <c r="G342" t="inlineStr">
        <is>
          <t>Cost / Finances; Work Schedule / Time Off</t>
        </is>
      </c>
      <c r="H342" t="inlineStr"/>
      <c r="I342" t="inlineStr">
        <is>
          <t>HXP Can Directly Fix</t>
        </is>
      </c>
      <c r="J342" t="b">
        <v>0</v>
      </c>
      <c r="K342" t="n">
        <v>2</v>
      </c>
      <c r="L342" t="inlineStr"/>
      <c r="M342" t="inlineStr"/>
    </row>
    <row r="343">
      <c r="A343" t="inlineStr">
        <is>
          <t>No</t>
        </is>
      </c>
      <c r="B343" t="inlineStr"/>
      <c r="C343" t="inlineStr"/>
      <c r="D343" t="inlineStr"/>
      <c r="E343" t="inlineStr">
        <is>
          <t>Money</t>
        </is>
      </c>
      <c r="F343" t="inlineStr">
        <is>
          <t>Cost / Finances</t>
        </is>
      </c>
      <c r="G343" t="inlineStr">
        <is>
          <t>Cost / Finances</t>
        </is>
      </c>
      <c r="H343" t="inlineStr"/>
      <c r="I343" t="inlineStr">
        <is>
          <t>HXP Can Directly Fix</t>
        </is>
      </c>
      <c r="J343" t="b">
        <v>0</v>
      </c>
      <c r="K343" t="n">
        <v>1</v>
      </c>
      <c r="L343" t="inlineStr"/>
      <c r="M343" t="inlineStr"/>
    </row>
    <row r="344">
      <c r="A344" t="inlineStr">
        <is>
          <t>Yes</t>
        </is>
      </c>
      <c r="B344" t="inlineStr">
        <is>
          <t>Wanted to share the experience with my son</t>
        </is>
      </c>
      <c r="C344" t="inlineStr">
        <is>
          <t>Wanted Shared Experience with Child</t>
        </is>
      </c>
      <c r="D344" t="inlineStr">
        <is>
          <t>Wanted Shared Experience with Child</t>
        </is>
      </c>
      <c r="E344" t="inlineStr"/>
      <c r="F344" t="inlineStr"/>
      <c r="G344" t="inlineStr"/>
      <c r="H344" t="inlineStr"/>
      <c r="I344" t="inlineStr"/>
      <c r="J344" t="b">
        <v>0</v>
      </c>
      <c r="K344" t="n">
        <v>0</v>
      </c>
      <c r="L344" t="inlineStr"/>
      <c r="M344" t="inlineStr"/>
    </row>
    <row r="345">
      <c r="A345" t="inlineStr">
        <is>
          <t>Yes</t>
        </is>
      </c>
      <c r="B345" t="inlineStr"/>
      <c r="C345" t="inlineStr"/>
      <c r="D345" t="inlineStr"/>
      <c r="E345" t="inlineStr"/>
      <c r="F345" t="inlineStr"/>
      <c r="G345" t="inlineStr"/>
      <c r="H345" t="inlineStr"/>
      <c r="I345" t="inlineStr"/>
      <c r="J345" t="b">
        <v>0</v>
      </c>
      <c r="K345" t="n">
        <v>0</v>
      </c>
      <c r="L345" t="inlineStr"/>
      <c r="M345" t="inlineStr"/>
    </row>
    <row r="346">
      <c r="A346" t="inlineStr">
        <is>
          <t>Yes</t>
        </is>
      </c>
      <c r="B346" t="inlineStr">
        <is>
          <t>Past parent builder testimonials</t>
        </is>
      </c>
      <c r="C346" t="inlineStr">
        <is>
          <t>Trust in the HXP Program</t>
        </is>
      </c>
      <c r="D346" t="inlineStr">
        <is>
          <t>Trust in the HXP Program</t>
        </is>
      </c>
      <c r="E346" t="inlineStr"/>
      <c r="F346" t="inlineStr"/>
      <c r="G346" t="inlineStr"/>
      <c r="H346" t="inlineStr"/>
      <c r="I346" t="inlineStr"/>
      <c r="J346" t="b">
        <v>0</v>
      </c>
      <c r="K346" t="n">
        <v>0</v>
      </c>
      <c r="L346" t="inlineStr"/>
      <c r="M346" t="inlineStr"/>
    </row>
    <row r="347">
      <c r="A347" t="inlineStr">
        <is>
          <t>No</t>
        </is>
      </c>
      <c r="B347" t="inlineStr"/>
      <c r="C347" t="inlineStr"/>
      <c r="D347" t="inlineStr"/>
      <c r="E347" t="inlineStr">
        <is>
          <t>Money, time</t>
        </is>
      </c>
      <c r="F347" t="inlineStr">
        <is>
          <t>Cost / Finances</t>
        </is>
      </c>
      <c r="G347" t="inlineStr">
        <is>
          <t>Cost / Finances; Work Schedule / Time Off</t>
        </is>
      </c>
      <c r="H347" t="inlineStr"/>
      <c r="I347" t="inlineStr">
        <is>
          <t>HXP Can Directly Fix</t>
        </is>
      </c>
      <c r="J347" t="b">
        <v>0</v>
      </c>
      <c r="K347" t="n">
        <v>2</v>
      </c>
      <c r="L347" t="inlineStr"/>
      <c r="M347" t="inlineStr"/>
    </row>
    <row r="348">
      <c r="A348" t="inlineStr">
        <is>
          <t>Yes</t>
        </is>
      </c>
      <c r="B348" t="inlineStr">
        <is>
          <t>Don't want to send 14 year old alone to meet up</t>
        </is>
      </c>
      <c r="C348" t="inlineStr">
        <is>
          <t>Concerned About Child Going Alone / Safety</t>
        </is>
      </c>
      <c r="D348" t="inlineStr">
        <is>
          <t>Concerned About Child Going Alone / Safety</t>
        </is>
      </c>
      <c r="E348" t="inlineStr"/>
      <c r="F348" t="inlineStr"/>
      <c r="G348" t="inlineStr"/>
      <c r="H348" t="inlineStr"/>
      <c r="I348" t="inlineStr"/>
      <c r="J348" t="b">
        <v>0</v>
      </c>
      <c r="K348" t="n">
        <v>0</v>
      </c>
      <c r="L348" t="inlineStr"/>
      <c r="M348" t="inlineStr"/>
    </row>
    <row r="349">
      <c r="A349" t="inlineStr">
        <is>
          <t>No</t>
        </is>
      </c>
      <c r="B349" t="inlineStr"/>
      <c r="C349" t="inlineStr"/>
      <c r="D349" t="inlineStr"/>
      <c r="E349" t="inlineStr">
        <is>
          <t>They already had both parent builders needed.</t>
        </is>
      </c>
      <c r="F349" t="inlineStr">
        <is>
          <t>Trip / Spot Was Already Full</t>
        </is>
      </c>
      <c r="G349" t="inlineStr">
        <is>
          <t>Trip / Spot Was Already Full</t>
        </is>
      </c>
      <c r="H349" t="inlineStr"/>
      <c r="I349" t="inlineStr">
        <is>
          <t>HXP Can Directly Fix</t>
        </is>
      </c>
      <c r="J349" t="b">
        <v>0</v>
      </c>
      <c r="K349" t="n">
        <v>1</v>
      </c>
      <c r="L349" t="inlineStr"/>
      <c r="M349" t="inlineStr"/>
    </row>
    <row r="350">
      <c r="A350" t="inlineStr">
        <is>
          <t>No</t>
        </is>
      </c>
      <c r="B350" t="inlineStr"/>
      <c r="C350" t="inlineStr"/>
      <c r="D350" t="inlineStr"/>
      <c r="E350" t="inlineStr">
        <is>
          <t>Cost and amount of time</t>
        </is>
      </c>
      <c r="F350" t="inlineStr">
        <is>
          <t>Cost / Finances</t>
        </is>
      </c>
      <c r="G350" t="inlineStr">
        <is>
          <t>Cost / Finances; Work Schedule / Time Off</t>
        </is>
      </c>
      <c r="H350" t="inlineStr"/>
      <c r="I350" t="inlineStr">
        <is>
          <t>HXP Can Directly Fix</t>
        </is>
      </c>
      <c r="J350" t="b">
        <v>0</v>
      </c>
      <c r="K350" t="n">
        <v>2</v>
      </c>
      <c r="L350" t="inlineStr"/>
      <c r="M350" t="inlineStr"/>
    </row>
    <row r="351">
      <c r="A351" t="inlineStr">
        <is>
          <t>No</t>
        </is>
      </c>
      <c r="B351" t="inlineStr"/>
      <c r="C351" t="inlineStr"/>
      <c r="D351" t="inlineStr"/>
      <c r="E351" t="inlineStr">
        <is>
          <t>Cost and wanting my child to have an independent experience</t>
        </is>
      </c>
      <c r="F351" t="inlineStr">
        <is>
          <t>Cost / Finances</t>
        </is>
      </c>
      <c r="G351" t="inlineStr">
        <is>
          <t>Cost / Finances; Wants Child to Have Independent Experience</t>
        </is>
      </c>
      <c r="H351" t="inlineStr"/>
      <c r="I351" t="inlineStr">
        <is>
          <t>HXP Can Directly Fix</t>
        </is>
      </c>
      <c r="J351" t="b">
        <v>0</v>
      </c>
      <c r="K351" t="n">
        <v>2</v>
      </c>
      <c r="L351" t="inlineStr"/>
      <c r="M351" t="inlineStr"/>
    </row>
    <row r="352">
      <c r="A352" t="inlineStr">
        <is>
          <t>No</t>
        </is>
      </c>
      <c r="B352" t="inlineStr"/>
      <c r="C352" t="inlineStr"/>
      <c r="D352" t="inlineStr"/>
      <c r="E352" t="inlineStr">
        <is>
          <t>Time/ cost/ availability</t>
        </is>
      </c>
      <c r="F352" t="inlineStr">
        <is>
          <t>Cost / Finances</t>
        </is>
      </c>
      <c r="G352" t="inlineStr">
        <is>
          <t>Cost / Finances; Work Schedule / Time Off</t>
        </is>
      </c>
      <c r="H352" t="inlineStr"/>
      <c r="I352" t="inlineStr">
        <is>
          <t>HXP Can Directly Fix</t>
        </is>
      </c>
      <c r="J352" t="b">
        <v>0</v>
      </c>
      <c r="K352" t="n">
        <v>2</v>
      </c>
      <c r="L352" t="inlineStr"/>
      <c r="M352" t="inlineStr"/>
    </row>
    <row r="353">
      <c r="A353" t="inlineStr">
        <is>
          <t>Yes</t>
        </is>
      </c>
      <c r="B353" t="inlineStr">
        <is>
          <t>Wanted to have this kind of experience with my kids</t>
        </is>
      </c>
      <c r="C353" t="inlineStr">
        <is>
          <t>Wanted Shared Experience with Child</t>
        </is>
      </c>
      <c r="D353" t="inlineStr">
        <is>
          <t>Wanted Shared Experience with Child</t>
        </is>
      </c>
      <c r="E353" t="inlineStr"/>
      <c r="F353" t="inlineStr"/>
      <c r="G353" t="inlineStr"/>
      <c r="H353" t="inlineStr"/>
      <c r="I353" t="inlineStr"/>
      <c r="J353" t="b">
        <v>0</v>
      </c>
      <c r="K353" t="n">
        <v>0</v>
      </c>
      <c r="L353" t="inlineStr"/>
      <c r="M353" t="inlineStr"/>
    </row>
    <row r="354">
      <c r="A354" t="inlineStr">
        <is>
          <t>No</t>
        </is>
      </c>
      <c r="B354" t="inlineStr"/>
      <c r="C354" t="inlineStr"/>
      <c r="D354" t="inlineStr"/>
      <c r="E354" t="inlineStr">
        <is>
          <t>Opportunity for child to grow on own</t>
        </is>
      </c>
      <c r="F354" t="inlineStr">
        <is>
          <t>Wants Child to Have Independent Experience</t>
        </is>
      </c>
      <c r="G354" t="inlineStr">
        <is>
          <t>Wants Child to Have Independent Experience</t>
        </is>
      </c>
      <c r="H354" t="inlineStr"/>
      <c r="I354" t="inlineStr">
        <is>
          <t>Family's Own Choice</t>
        </is>
      </c>
      <c r="J354" t="b">
        <v>0</v>
      </c>
      <c r="K354" t="n">
        <v>1</v>
      </c>
      <c r="L354" t="inlineStr"/>
      <c r="M354" t="inlineStr"/>
    </row>
    <row r="355">
      <c r="A355" t="inlineStr">
        <is>
          <t>No</t>
        </is>
      </c>
      <c r="B355" t="inlineStr"/>
      <c r="C355" t="inlineStr"/>
      <c r="D355" t="inlineStr"/>
      <c r="E355" t="inlineStr"/>
      <c r="F355" t="inlineStr"/>
      <c r="G355" t="inlineStr"/>
      <c r="H355" t="inlineStr"/>
      <c r="I355" t="inlineStr"/>
      <c r="J355" t="b">
        <v>0</v>
      </c>
      <c r="K355" t="n">
        <v>0</v>
      </c>
      <c r="L355" t="inlineStr"/>
      <c r="M355" t="inlineStr"/>
    </row>
    <row r="356">
      <c r="A356" t="inlineStr">
        <is>
          <t>No</t>
        </is>
      </c>
      <c r="B356" t="inlineStr"/>
      <c r="C356" t="inlineStr"/>
      <c r="D356" t="inlineStr"/>
      <c r="E356" t="inlineStr">
        <is>
          <t>She doesn't want me to. Wants to be a big girl :)</t>
        </is>
      </c>
      <c r="F356" t="inlineStr">
        <is>
          <t>Child Didn't Want Parent to Come</t>
        </is>
      </c>
      <c r="G356" t="inlineStr">
        <is>
          <t>Child Didn't Want Parent to Come</t>
        </is>
      </c>
      <c r="H356" t="inlineStr"/>
      <c r="I356" t="inlineStr">
        <is>
          <t>Family's Own Choice</t>
        </is>
      </c>
      <c r="J356" t="b">
        <v>0</v>
      </c>
      <c r="K356" t="n">
        <v>1</v>
      </c>
      <c r="L356" t="inlineStr"/>
      <c r="M356" t="inlineStr"/>
    </row>
    <row r="357">
      <c r="A357" t="inlineStr">
        <is>
          <t>Maybe</t>
        </is>
      </c>
      <c r="B357" t="inlineStr"/>
      <c r="C357" t="inlineStr"/>
      <c r="D357" t="inlineStr"/>
      <c r="E357" t="inlineStr"/>
      <c r="F357" t="inlineStr"/>
      <c r="G357" t="inlineStr"/>
      <c r="H357" t="inlineStr">
        <is>
          <t>Help with the expense</t>
        </is>
      </c>
      <c r="I357" t="inlineStr"/>
      <c r="J357" t="b">
        <v>0</v>
      </c>
      <c r="K357" t="n">
        <v>0</v>
      </c>
      <c r="L357" t="inlineStr">
        <is>
          <t>Cost / Financial Assistance</t>
        </is>
      </c>
      <c r="M357" t="inlineStr">
        <is>
          <t>Cost / Financial Assistance</t>
        </is>
      </c>
    </row>
    <row r="358">
      <c r="A358" t="inlineStr">
        <is>
          <t>No</t>
        </is>
      </c>
      <c r="B358" t="inlineStr"/>
      <c r="C358" t="inlineStr"/>
      <c r="D358" t="inlineStr"/>
      <c r="E358" t="inlineStr">
        <is>
          <t>Cost</t>
        </is>
      </c>
      <c r="F358" t="inlineStr">
        <is>
          <t>Cost / Finances</t>
        </is>
      </c>
      <c r="G358" t="inlineStr">
        <is>
          <t>Cost / Finances</t>
        </is>
      </c>
      <c r="H358" t="inlineStr"/>
      <c r="I358" t="inlineStr">
        <is>
          <t>HXP Can Directly Fix</t>
        </is>
      </c>
      <c r="J358" t="b">
        <v>0</v>
      </c>
      <c r="K358" t="n">
        <v>1</v>
      </c>
      <c r="L358" t="inlineStr"/>
      <c r="M358" t="inlineStr"/>
    </row>
    <row r="359">
      <c r="A359" t="inlineStr">
        <is>
          <t>Yes</t>
        </is>
      </c>
      <c r="B359" t="inlineStr">
        <is>
          <t>My youth</t>
        </is>
      </c>
      <c r="C359" t="inlineStr">
        <is>
          <t>Family Member Was the Reason (No Elaboration)</t>
        </is>
      </c>
      <c r="D359" t="inlineStr">
        <is>
          <t>Family Member Was the Reason (No Elaboration)</t>
        </is>
      </c>
      <c r="E359" t="inlineStr"/>
      <c r="F359" t="inlineStr"/>
      <c r="G359" t="inlineStr"/>
      <c r="H359" t="inlineStr"/>
      <c r="I359" t="inlineStr"/>
      <c r="J359" t="b">
        <v>0</v>
      </c>
      <c r="K359" t="n">
        <v>0</v>
      </c>
      <c r="L359" t="inlineStr"/>
      <c r="M359" t="inlineStr"/>
    </row>
    <row r="360">
      <c r="A360" t="inlineStr">
        <is>
          <t>No</t>
        </is>
      </c>
      <c r="B360" t="inlineStr"/>
      <c r="C360" t="inlineStr"/>
      <c r="D360" t="inlineStr"/>
      <c r="E360" t="inlineStr">
        <is>
          <t>My child wanted to go on her own</t>
        </is>
      </c>
      <c r="F360" t="inlineStr">
        <is>
          <t>Wants Child to Have Independent Experience</t>
        </is>
      </c>
      <c r="G360" t="inlineStr">
        <is>
          <t>Wants Child to Have Independent Experience</t>
        </is>
      </c>
      <c r="H360" t="inlineStr"/>
      <c r="I360" t="inlineStr">
        <is>
          <t>Family's Own Choice</t>
        </is>
      </c>
      <c r="J360" t="b">
        <v>0</v>
      </c>
      <c r="K360" t="n">
        <v>1</v>
      </c>
      <c r="L360" t="inlineStr"/>
      <c r="M360" t="inlineStr"/>
    </row>
    <row r="361">
      <c r="A361" t="inlineStr">
        <is>
          <t>No</t>
        </is>
      </c>
      <c r="B361" t="inlineStr"/>
      <c r="C361" t="inlineStr"/>
      <c r="D361" t="inlineStr"/>
      <c r="E361" t="inlineStr">
        <is>
          <t>Cost</t>
        </is>
      </c>
      <c r="F361" t="inlineStr">
        <is>
          <t>Cost / Finances</t>
        </is>
      </c>
      <c r="G361" t="inlineStr">
        <is>
          <t>Cost / Finances</t>
        </is>
      </c>
      <c r="H361" t="inlineStr"/>
      <c r="I361" t="inlineStr">
        <is>
          <t>HXP Can Directly Fix</t>
        </is>
      </c>
      <c r="J361" t="b">
        <v>0</v>
      </c>
      <c r="K361" t="n">
        <v>1</v>
      </c>
      <c r="L361" t="inlineStr"/>
      <c r="M361" t="inlineStr"/>
    </row>
    <row r="362">
      <c r="A362" t="inlineStr">
        <is>
          <t>No</t>
        </is>
      </c>
      <c r="B362" t="inlineStr"/>
      <c r="C362" t="inlineStr"/>
      <c r="D362" t="inlineStr"/>
      <c r="E362" t="inlineStr">
        <is>
          <t>Cost</t>
        </is>
      </c>
      <c r="F362" t="inlineStr">
        <is>
          <t>Cost / Finances</t>
        </is>
      </c>
      <c r="G362" t="inlineStr">
        <is>
          <t>Cost / Finances</t>
        </is>
      </c>
      <c r="H362" t="inlineStr"/>
      <c r="I362" t="inlineStr">
        <is>
          <t>HXP Can Directly Fix</t>
        </is>
      </c>
      <c r="J362" t="b">
        <v>0</v>
      </c>
      <c r="K362" t="n">
        <v>1</v>
      </c>
      <c r="L362" t="inlineStr"/>
      <c r="M362" t="inlineStr"/>
    </row>
    <row r="363">
      <c r="A363" t="inlineStr">
        <is>
          <t>No</t>
        </is>
      </c>
      <c r="B363" t="inlineStr"/>
      <c r="C363" t="inlineStr"/>
      <c r="D363" t="inlineStr"/>
      <c r="E363" t="inlineStr">
        <is>
          <t>Just have smaller kids at home but would have liked to</t>
        </is>
      </c>
      <c r="F363" t="inlineStr">
        <is>
          <t>Other Kids / Family at Home</t>
        </is>
      </c>
      <c r="G363" t="inlineStr">
        <is>
          <t>Other Kids / Family at Home</t>
        </is>
      </c>
      <c r="H363" t="inlineStr"/>
      <c r="I363" t="inlineStr">
        <is>
          <t>Family's Own Choice</t>
        </is>
      </c>
      <c r="J363" t="b">
        <v>0</v>
      </c>
      <c r="K363" t="n">
        <v>1</v>
      </c>
      <c r="L363" t="inlineStr"/>
      <c r="M363" t="inlineStr"/>
    </row>
    <row r="364">
      <c r="A364" t="inlineStr">
        <is>
          <t>No</t>
        </is>
      </c>
      <c r="B364" t="inlineStr"/>
      <c r="C364" t="inlineStr"/>
      <c r="D364" t="inlineStr"/>
      <c r="E364" t="inlineStr">
        <is>
          <t>I would've been happy to go on any other trip other than my own child. Even though it can be an incredibly bonding experience to do something like this with your child, this is uniquely, pivotal and giving my child necessary time away from home and family to really Grow and examine their selves independently.</t>
        </is>
      </c>
      <c r="F364" t="inlineStr">
        <is>
          <t>Work Schedule / Time Off</t>
        </is>
      </c>
      <c r="G364" t="inlineStr">
        <is>
          <t>Work Schedule / Time Off; Other Kids / Family at Home; Wants Child to Have Independent Experience</t>
        </is>
      </c>
      <c r="H364" t="inlineStr"/>
      <c r="I364" t="inlineStr">
        <is>
          <t>HXP Can Influence</t>
        </is>
      </c>
      <c r="J364" t="b">
        <v>0</v>
      </c>
      <c r="K364" t="n">
        <v>3</v>
      </c>
      <c r="L364" t="inlineStr"/>
      <c r="M364" t="inlineStr"/>
    </row>
    <row r="365">
      <c r="A365" t="inlineStr">
        <is>
          <t>No</t>
        </is>
      </c>
      <c r="B365" t="inlineStr"/>
      <c r="C365" t="inlineStr"/>
      <c r="D365" t="inlineStr"/>
      <c r="E365" t="inlineStr">
        <is>
          <t>Builders choice</t>
        </is>
      </c>
      <c r="F365" t="inlineStr">
        <is>
          <t>Wants Child to Have Independent Experience</t>
        </is>
      </c>
      <c r="G365" t="inlineStr">
        <is>
          <t>Wants Child to Have Independent Experience</t>
        </is>
      </c>
      <c r="H365" t="inlineStr"/>
      <c r="I365" t="inlineStr">
        <is>
          <t>Family's Own Choice</t>
        </is>
      </c>
      <c r="J365" t="b">
        <v>0</v>
      </c>
      <c r="K365" t="n">
        <v>1</v>
      </c>
      <c r="L365" t="inlineStr"/>
      <c r="M365" t="inlineStr"/>
    </row>
    <row r="366">
      <c r="A366" t="inlineStr">
        <is>
          <t>No</t>
        </is>
      </c>
      <c r="B366" t="inlineStr"/>
      <c r="C366" t="inlineStr"/>
      <c r="D366" t="inlineStr"/>
      <c r="E366" t="inlineStr">
        <is>
          <t>Money and choosing which of my two girls to go with.</t>
        </is>
      </c>
      <c r="F366" t="inlineStr">
        <is>
          <t>Cost / Finances</t>
        </is>
      </c>
      <c r="G366" t="inlineStr">
        <is>
          <t>Cost / Finances</t>
        </is>
      </c>
      <c r="H366" t="inlineStr"/>
      <c r="I366" t="inlineStr">
        <is>
          <t>HXP Can Directly Fix</t>
        </is>
      </c>
      <c r="J366" t="b">
        <v>0</v>
      </c>
      <c r="K366" t="n">
        <v>1</v>
      </c>
      <c r="L366" t="inlineStr"/>
      <c r="M366" t="inlineStr"/>
    </row>
    <row r="367">
      <c r="A367" t="inlineStr">
        <is>
          <t>No</t>
        </is>
      </c>
      <c r="B367" t="inlineStr"/>
      <c r="C367" t="inlineStr"/>
      <c r="D367" t="inlineStr"/>
      <c r="E367" t="inlineStr">
        <is>
          <t>Money and choosing between my girls</t>
        </is>
      </c>
      <c r="F367" t="inlineStr">
        <is>
          <t>Cost / Finances</t>
        </is>
      </c>
      <c r="G367" t="inlineStr">
        <is>
          <t>Cost / Finances</t>
        </is>
      </c>
      <c r="H367" t="inlineStr"/>
      <c r="I367" t="inlineStr">
        <is>
          <t>HXP Can Directly Fix</t>
        </is>
      </c>
      <c r="J367" t="b">
        <v>0</v>
      </c>
      <c r="K367" t="n">
        <v>1</v>
      </c>
      <c r="L367" t="inlineStr"/>
      <c r="M367" t="inlineStr"/>
    </row>
    <row r="368">
      <c r="A368" t="inlineStr">
        <is>
          <t>No</t>
        </is>
      </c>
      <c r="B368" t="inlineStr"/>
      <c r="C368" t="inlineStr"/>
      <c r="D368" t="inlineStr"/>
      <c r="E368" t="inlineStr">
        <is>
          <t>I went last year and loved it. I will go again next year.</t>
        </is>
      </c>
      <c r="F368" t="inlineStr">
        <is>
          <t>Other / Uncategorized</t>
        </is>
      </c>
      <c r="G368" t="inlineStr"/>
      <c r="H368" t="inlineStr"/>
      <c r="I368" t="inlineStr">
        <is>
          <t>Unknown</t>
        </is>
      </c>
      <c r="J368" t="b">
        <v>1</v>
      </c>
      <c r="K368" t="n">
        <v>0</v>
      </c>
      <c r="L368" t="inlineStr"/>
      <c r="M368" t="inlineStr"/>
    </row>
    <row r="369">
      <c r="A369" t="inlineStr">
        <is>
          <t>Yes</t>
        </is>
      </c>
      <c r="B369" t="inlineStr">
        <is>
          <t>Husband went with older 2 kids. Now it's my turn!</t>
        </is>
      </c>
      <c r="C369" t="inlineStr">
        <is>
          <t>Previous Positive Experience</t>
        </is>
      </c>
      <c r="D369" t="inlineStr">
        <is>
          <t>Previous Positive Experience</t>
        </is>
      </c>
      <c r="E369" t="inlineStr"/>
      <c r="F369" t="inlineStr"/>
      <c r="G369" t="inlineStr"/>
      <c r="H369" t="inlineStr"/>
      <c r="I369" t="inlineStr"/>
      <c r="J369" t="b">
        <v>0</v>
      </c>
      <c r="K369" t="n">
        <v>0</v>
      </c>
      <c r="L369" t="inlineStr"/>
      <c r="M369" t="inlineStr"/>
    </row>
    <row r="370">
      <c r="A370" t="inlineStr">
        <is>
          <t>No</t>
        </is>
      </c>
      <c r="B370" t="inlineStr"/>
      <c r="C370" t="inlineStr"/>
      <c r="D370" t="inlineStr"/>
      <c r="E370" t="inlineStr"/>
      <c r="F370" t="inlineStr"/>
      <c r="G370" t="inlineStr"/>
      <c r="H370" t="inlineStr"/>
      <c r="I370" t="inlineStr"/>
      <c r="J370" t="b">
        <v>0</v>
      </c>
      <c r="K370" t="n">
        <v>0</v>
      </c>
      <c r="L370" t="inlineStr"/>
      <c r="M370" t="inlineStr"/>
    </row>
    <row r="371">
      <c r="A371" t="inlineStr">
        <is>
          <t>No</t>
        </is>
      </c>
      <c r="B371" t="inlineStr"/>
      <c r="C371" t="inlineStr"/>
      <c r="D371" t="inlineStr"/>
      <c r="E371" t="inlineStr">
        <is>
          <t>Time away from family, work, and calling</t>
        </is>
      </c>
      <c r="F371" t="inlineStr">
        <is>
          <t>Work Schedule / Time Off</t>
        </is>
      </c>
      <c r="G371" t="inlineStr">
        <is>
          <t>Work Schedule / Time Off; Other Kids / Family at Home</t>
        </is>
      </c>
      <c r="H371" t="inlineStr"/>
      <c r="I371" t="inlineStr">
        <is>
          <t>HXP Can Influence</t>
        </is>
      </c>
      <c r="J371" t="b">
        <v>0</v>
      </c>
      <c r="K371" t="n">
        <v>2</v>
      </c>
      <c r="L371" t="inlineStr"/>
      <c r="M371" t="inlineStr"/>
    </row>
    <row r="372">
      <c r="A372" t="inlineStr">
        <is>
          <t>No</t>
        </is>
      </c>
      <c r="B372" t="inlineStr"/>
      <c r="C372" t="inlineStr"/>
      <c r="D372" t="inlineStr"/>
      <c r="E372" t="inlineStr">
        <is>
          <t>older sibling went and had a great experience.</t>
        </is>
      </c>
      <c r="F372" t="inlineStr">
        <is>
          <t>Other Kids / Family at Home</t>
        </is>
      </c>
      <c r="G372" t="inlineStr">
        <is>
          <t>Other Kids / Family at Home; Wants Child to Have Independent Experience</t>
        </is>
      </c>
      <c r="H372" t="inlineStr"/>
      <c r="I372" t="inlineStr">
        <is>
          <t>Family's Own Choice</t>
        </is>
      </c>
      <c r="J372" t="b">
        <v>0</v>
      </c>
      <c r="K372" t="n">
        <v>2</v>
      </c>
      <c r="L372" t="inlineStr"/>
      <c r="M372" t="inlineStr"/>
    </row>
    <row r="373">
      <c r="A373" t="inlineStr">
        <is>
          <t>No</t>
        </is>
      </c>
      <c r="B373" t="inlineStr"/>
      <c r="C373" t="inlineStr"/>
      <c r="D373" t="inlineStr"/>
      <c r="E373" t="inlineStr">
        <is>
          <t>My son wanted an experience without me</t>
        </is>
      </c>
      <c r="F373" t="inlineStr">
        <is>
          <t>Wants Child to Have Independent Experience</t>
        </is>
      </c>
      <c r="G373" t="inlineStr">
        <is>
          <t>Wants Child to Have Independent Experience</t>
        </is>
      </c>
      <c r="H373" t="inlineStr"/>
      <c r="I373" t="inlineStr">
        <is>
          <t>Family's Own Choice</t>
        </is>
      </c>
      <c r="J373" t="b">
        <v>0</v>
      </c>
      <c r="K373" t="n">
        <v>1</v>
      </c>
      <c r="L373" t="inlineStr"/>
      <c r="M373" t="inlineStr"/>
    </row>
    <row r="374">
      <c r="A374" t="inlineStr">
        <is>
          <t>No</t>
        </is>
      </c>
      <c r="B374" t="inlineStr"/>
      <c r="C374" t="inlineStr"/>
      <c r="D374" t="inlineStr"/>
      <c r="E374" t="inlineStr">
        <is>
          <t>Want my child to have an experience without her parents</t>
        </is>
      </c>
      <c r="F374" t="inlineStr">
        <is>
          <t>Wants Child to Have Independent Experience</t>
        </is>
      </c>
      <c r="G374" t="inlineStr">
        <is>
          <t>Wants Child to Have Independent Experience</t>
        </is>
      </c>
      <c r="H374" t="inlineStr"/>
      <c r="I374" t="inlineStr">
        <is>
          <t>Family's Own Choice</t>
        </is>
      </c>
      <c r="J374" t="b">
        <v>0</v>
      </c>
      <c r="K374" t="n">
        <v>1</v>
      </c>
      <c r="L374" t="inlineStr"/>
      <c r="M374" t="inlineStr"/>
    </row>
    <row r="375">
      <c r="A375" t="inlineStr">
        <is>
          <t>No</t>
        </is>
      </c>
      <c r="B375" t="inlineStr"/>
      <c r="C375" t="inlineStr"/>
      <c r="D375" t="inlineStr"/>
      <c r="E375" t="inlineStr">
        <is>
          <t>I tried, but there wasn't a spot available for me to go.</t>
        </is>
      </c>
      <c r="F375" t="inlineStr">
        <is>
          <t>Work Schedule / Time Off</t>
        </is>
      </c>
      <c r="G375" t="inlineStr">
        <is>
          <t>Work Schedule / Time Off</t>
        </is>
      </c>
      <c r="H375" t="inlineStr"/>
      <c r="I375" t="inlineStr">
        <is>
          <t>HXP Can Influence</t>
        </is>
      </c>
      <c r="J375" t="b">
        <v>0</v>
      </c>
      <c r="K375" t="n">
        <v>1</v>
      </c>
      <c r="L375" t="inlineStr"/>
      <c r="M375" t="inlineStr"/>
    </row>
    <row r="376">
      <c r="A376" t="inlineStr">
        <is>
          <t>No</t>
        </is>
      </c>
      <c r="B376" t="inlineStr"/>
      <c r="C376" t="inlineStr"/>
      <c r="D376" t="inlineStr"/>
      <c r="E376" t="inlineStr">
        <is>
          <t>Price. Just can't afford to send two of us</t>
        </is>
      </c>
      <c r="F376" t="inlineStr">
        <is>
          <t>Cost / Finances</t>
        </is>
      </c>
      <c r="G376" t="inlineStr">
        <is>
          <t>Cost / Finances</t>
        </is>
      </c>
      <c r="H376" t="inlineStr"/>
      <c r="I376" t="inlineStr">
        <is>
          <t>HXP Can Directly Fix</t>
        </is>
      </c>
      <c r="J376" t="b">
        <v>0</v>
      </c>
      <c r="K376" t="n">
        <v>1</v>
      </c>
      <c r="L376" t="inlineStr"/>
      <c r="M376" t="inlineStr"/>
    </row>
    <row r="377">
      <c r="A377" t="inlineStr">
        <is>
          <t>Yes</t>
        </is>
      </c>
      <c r="B377" t="inlineStr">
        <is>
          <t>Spending time with my son and being able to give to others.</t>
        </is>
      </c>
      <c r="C377" t="inlineStr">
        <is>
          <t>Wanted Shared Experience with Child</t>
        </is>
      </c>
      <c r="D377" t="inlineStr">
        <is>
          <t>Wanted Shared Experience with Child</t>
        </is>
      </c>
      <c r="E377" t="inlineStr"/>
      <c r="F377" t="inlineStr"/>
      <c r="G377" t="inlineStr"/>
      <c r="H377" t="inlineStr"/>
      <c r="I377" t="inlineStr"/>
      <c r="J377" t="b">
        <v>0</v>
      </c>
      <c r="K377" t="n">
        <v>0</v>
      </c>
      <c r="L377" t="inlineStr"/>
      <c r="M377" t="inlineStr"/>
    </row>
    <row r="378">
      <c r="A378" t="inlineStr">
        <is>
          <t>Yes</t>
        </is>
      </c>
      <c r="B378" t="inlineStr">
        <is>
          <t>Wanted to open a spot for my son</t>
        </is>
      </c>
      <c r="C378" t="inlineStr">
        <is>
          <t>Securing/Ensuring Child's Spot (Registration Timing)</t>
        </is>
      </c>
      <c r="D378" t="inlineStr">
        <is>
          <t>Securing/Ensuring Child's Spot (Registration Timing)</t>
        </is>
      </c>
      <c r="E378" t="inlineStr"/>
      <c r="F378" t="inlineStr"/>
      <c r="G378" t="inlineStr"/>
      <c r="H378" t="inlineStr"/>
      <c r="I378" t="inlineStr"/>
      <c r="J378" t="b">
        <v>0</v>
      </c>
      <c r="K378" t="n">
        <v>0</v>
      </c>
      <c r="L378" t="inlineStr"/>
      <c r="M378" t="inlineStr"/>
    </row>
    <row r="379">
      <c r="A379" t="inlineStr">
        <is>
          <t>No</t>
        </is>
      </c>
      <c r="B379" t="inlineStr"/>
      <c r="C379" t="inlineStr"/>
      <c r="D379" t="inlineStr"/>
      <c r="E379" t="inlineStr">
        <is>
          <t>Wanted our daughter to have her own experience.</t>
        </is>
      </c>
      <c r="F379" t="inlineStr">
        <is>
          <t>Wants Child to Have Independent Experience</t>
        </is>
      </c>
      <c r="G379" t="inlineStr">
        <is>
          <t>Wants Child to Have Independent Experience</t>
        </is>
      </c>
      <c r="H379" t="inlineStr"/>
      <c r="I379" t="inlineStr">
        <is>
          <t>Family's Own Choice</t>
        </is>
      </c>
      <c r="J379" t="b">
        <v>0</v>
      </c>
      <c r="K379" t="n">
        <v>1</v>
      </c>
      <c r="L379" t="inlineStr"/>
      <c r="M379" t="inlineStr"/>
    </row>
    <row r="380">
      <c r="A380" t="inlineStr">
        <is>
          <t>No</t>
        </is>
      </c>
      <c r="B380" t="inlineStr"/>
      <c r="C380" t="inlineStr"/>
      <c r="D380" t="inlineStr"/>
      <c r="E380" t="inlineStr">
        <is>
          <t>money and time</t>
        </is>
      </c>
      <c r="F380" t="inlineStr">
        <is>
          <t>Cost / Finances</t>
        </is>
      </c>
      <c r="G380" t="inlineStr">
        <is>
          <t>Cost / Finances; Work Schedule / Time Off</t>
        </is>
      </c>
      <c r="H380" t="inlineStr"/>
      <c r="I380" t="inlineStr">
        <is>
          <t>HXP Can Directly Fix</t>
        </is>
      </c>
      <c r="J380" t="b">
        <v>0</v>
      </c>
      <c r="K380" t="n">
        <v>2</v>
      </c>
      <c r="L380" t="inlineStr"/>
      <c r="M380" t="inlineStr"/>
    </row>
    <row r="381">
      <c r="A381" t="inlineStr">
        <is>
          <t>No</t>
        </is>
      </c>
      <c r="B381" t="inlineStr"/>
      <c r="C381" t="inlineStr"/>
      <c r="D381" t="inlineStr"/>
      <c r="E381" t="inlineStr">
        <is>
          <t>My child prefers I didn't go</t>
        </is>
      </c>
      <c r="F381" t="inlineStr">
        <is>
          <t>Child Didn't Want Parent to Come</t>
        </is>
      </c>
      <c r="G381" t="inlineStr">
        <is>
          <t>Child Didn't Want Parent to Come</t>
        </is>
      </c>
      <c r="H381" t="inlineStr"/>
      <c r="I381" t="inlineStr">
        <is>
          <t>Family's Own Choice</t>
        </is>
      </c>
      <c r="J381" t="b">
        <v>0</v>
      </c>
      <c r="K381" t="n">
        <v>1</v>
      </c>
      <c r="L381" t="inlineStr"/>
      <c r="M381" t="inlineStr"/>
    </row>
    <row r="382">
      <c r="A382" t="inlineStr">
        <is>
          <t>No</t>
        </is>
      </c>
      <c r="B382" t="inlineStr"/>
      <c r="C382" t="inlineStr"/>
      <c r="D382" t="inlineStr"/>
      <c r="E382" t="inlineStr">
        <is>
          <t>time</t>
        </is>
      </c>
      <c r="F382" t="inlineStr">
        <is>
          <t>Work Schedule / Time Off</t>
        </is>
      </c>
      <c r="G382" t="inlineStr">
        <is>
          <t>Work Schedule / Time Off</t>
        </is>
      </c>
      <c r="H382" t="inlineStr"/>
      <c r="I382" t="inlineStr">
        <is>
          <t>HXP Can Influence</t>
        </is>
      </c>
      <c r="J382" t="b">
        <v>0</v>
      </c>
      <c r="K382" t="n">
        <v>1</v>
      </c>
      <c r="L382" t="inlineStr"/>
      <c r="M382" t="inlineStr"/>
    </row>
    <row r="383">
      <c r="A383" t="inlineStr">
        <is>
          <t>No</t>
        </is>
      </c>
      <c r="B383" t="inlineStr"/>
      <c r="C383" t="inlineStr"/>
      <c r="D383" t="inlineStr"/>
      <c r="E383" t="inlineStr">
        <is>
          <t>It's too expensive to send a kid and a parent builder! Especially since the trips are more this year.</t>
        </is>
      </c>
      <c r="F383" t="inlineStr">
        <is>
          <t>Cost / Finances</t>
        </is>
      </c>
      <c r="G383" t="inlineStr">
        <is>
          <t>Cost / Finances</t>
        </is>
      </c>
      <c r="H383" t="inlineStr"/>
      <c r="I383" t="inlineStr">
        <is>
          <t>HXP Can Directly Fix</t>
        </is>
      </c>
      <c r="J383" t="b">
        <v>0</v>
      </c>
      <c r="K383" t="n">
        <v>1</v>
      </c>
      <c r="L383" t="inlineStr"/>
      <c r="M383" t="inlineStr"/>
    </row>
    <row r="384">
      <c r="A384" t="inlineStr">
        <is>
          <t>No</t>
        </is>
      </c>
      <c r="B384" t="inlineStr"/>
      <c r="C384" t="inlineStr"/>
      <c r="D384" t="inlineStr"/>
      <c r="E384" t="inlineStr">
        <is>
          <t>I think he needs this experience on his own without Mom and Dad there.</t>
        </is>
      </c>
      <c r="F384" t="inlineStr">
        <is>
          <t>Wants Child to Have Independent Experience</t>
        </is>
      </c>
      <c r="G384" t="inlineStr">
        <is>
          <t>Wants Child to Have Independent Experience</t>
        </is>
      </c>
      <c r="H384" t="inlineStr"/>
      <c r="I384" t="inlineStr">
        <is>
          <t>Family's Own Choice</t>
        </is>
      </c>
      <c r="J384" t="b">
        <v>0</v>
      </c>
      <c r="K384" t="n">
        <v>1</v>
      </c>
      <c r="L384" t="inlineStr"/>
      <c r="M384" t="inlineStr"/>
    </row>
    <row r="385">
      <c r="A385" t="inlineStr">
        <is>
          <t>Yes</t>
        </is>
      </c>
      <c r="B385" t="inlineStr">
        <is>
          <t>We sent an older daughter a few years ago. Ever since then I have felt very strongly that I am supposed to go with the daughter I'm going with this year. I guess my answer is The Spirit. Everything in my life right now except for The Spirit says this is a bad idea. I have no doubt it's the right idea.</t>
        </is>
      </c>
      <c r="C385" t="inlineStr">
        <is>
          <t>Faith / Service Motivation</t>
        </is>
      </c>
      <c r="D385" t="inlineStr">
        <is>
          <t>Faith / Service Motivation</t>
        </is>
      </c>
      <c r="E385" t="inlineStr"/>
      <c r="F385" t="inlineStr"/>
      <c r="G385" t="inlineStr"/>
      <c r="H385" t="inlineStr"/>
      <c r="I385" t="inlineStr"/>
      <c r="J385" t="b">
        <v>0</v>
      </c>
      <c r="K385" t="n">
        <v>0</v>
      </c>
      <c r="L385" t="inlineStr"/>
      <c r="M385" t="inlineStr"/>
    </row>
    <row r="386">
      <c r="A386" t="inlineStr">
        <is>
          <t>No</t>
        </is>
      </c>
      <c r="B386" t="inlineStr"/>
      <c r="C386" t="inlineStr"/>
      <c r="D386" t="inlineStr"/>
      <c r="E386" t="inlineStr">
        <is>
          <t>busy work schedule and no one asked.</t>
        </is>
      </c>
      <c r="F386" t="inlineStr">
        <is>
          <t>Work Schedule / Time Off</t>
        </is>
      </c>
      <c r="G386" t="inlineStr">
        <is>
          <t>Work Schedule / Time Off</t>
        </is>
      </c>
      <c r="H386" t="inlineStr"/>
      <c r="I386" t="inlineStr">
        <is>
          <t>HXP Can Influence</t>
        </is>
      </c>
      <c r="J386" t="b">
        <v>0</v>
      </c>
      <c r="K386" t="n">
        <v>1</v>
      </c>
      <c r="L386" t="inlineStr"/>
      <c r="M386" t="inlineStr"/>
    </row>
    <row r="387">
      <c r="A387" t="inlineStr">
        <is>
          <t>No</t>
        </is>
      </c>
      <c r="B387" t="inlineStr"/>
      <c r="C387" t="inlineStr"/>
      <c r="D387" t="inlineStr"/>
      <c r="E387" t="inlineStr">
        <is>
          <t>My son needed independence</t>
        </is>
      </c>
      <c r="F387" t="inlineStr">
        <is>
          <t>Wants Child to Have Independent Experience</t>
        </is>
      </c>
      <c r="G387" t="inlineStr">
        <is>
          <t>Wants Child to Have Independent Experience</t>
        </is>
      </c>
      <c r="H387" t="inlineStr"/>
      <c r="I387" t="inlineStr">
        <is>
          <t>Family's Own Choice</t>
        </is>
      </c>
      <c r="J387" t="b">
        <v>0</v>
      </c>
      <c r="K387" t="n">
        <v>1</v>
      </c>
      <c r="L387" t="inlineStr"/>
      <c r="M387" t="inlineStr"/>
    </row>
    <row r="388">
      <c r="A388" t="inlineStr">
        <is>
          <t>No</t>
        </is>
      </c>
      <c r="B388" t="inlineStr"/>
      <c r="C388" t="inlineStr"/>
      <c r="D388" t="inlineStr"/>
      <c r="E388" t="inlineStr">
        <is>
          <t>Time off</t>
        </is>
      </c>
      <c r="F388" t="inlineStr">
        <is>
          <t>Work Schedule / Time Off</t>
        </is>
      </c>
      <c r="G388" t="inlineStr">
        <is>
          <t>Work Schedule / Time Off</t>
        </is>
      </c>
      <c r="H388" t="inlineStr"/>
      <c r="I388" t="inlineStr">
        <is>
          <t>HXP Can Influence</t>
        </is>
      </c>
      <c r="J388" t="b">
        <v>0</v>
      </c>
      <c r="K388" t="n">
        <v>1</v>
      </c>
      <c r="L388" t="inlineStr"/>
      <c r="M388" t="inlineStr"/>
    </row>
    <row r="389">
      <c r="A389" t="inlineStr">
        <is>
          <t>No</t>
        </is>
      </c>
      <c r="B389" t="inlineStr"/>
      <c r="C389" t="inlineStr"/>
      <c r="D389" t="inlineStr"/>
      <c r="E389" t="inlineStr">
        <is>
          <t>Work demands</t>
        </is>
      </c>
      <c r="F389" t="inlineStr">
        <is>
          <t>Work Schedule / Time Off</t>
        </is>
      </c>
      <c r="G389" t="inlineStr">
        <is>
          <t>Work Schedule / Time Off</t>
        </is>
      </c>
      <c r="H389" t="inlineStr"/>
      <c r="I389" t="inlineStr">
        <is>
          <t>HXP Can Influence</t>
        </is>
      </c>
      <c r="J389" t="b">
        <v>0</v>
      </c>
      <c r="K389" t="n">
        <v>1</v>
      </c>
      <c r="L389" t="inlineStr"/>
      <c r="M389" t="inlineStr"/>
    </row>
    <row r="390">
      <c r="A390" t="inlineStr">
        <is>
          <t>No</t>
        </is>
      </c>
      <c r="B390" t="inlineStr"/>
      <c r="C390" t="inlineStr"/>
      <c r="D390" t="inlineStr"/>
      <c r="E390" t="inlineStr">
        <is>
          <t>Cost</t>
        </is>
      </c>
      <c r="F390" t="inlineStr">
        <is>
          <t>Cost / Finances</t>
        </is>
      </c>
      <c r="G390" t="inlineStr">
        <is>
          <t>Cost / Finances</t>
        </is>
      </c>
      <c r="H390" t="inlineStr"/>
      <c r="I390" t="inlineStr">
        <is>
          <t>HXP Can Directly Fix</t>
        </is>
      </c>
      <c r="J390" t="b">
        <v>0</v>
      </c>
      <c r="K390" t="n">
        <v>1</v>
      </c>
      <c r="L390" t="inlineStr"/>
      <c r="M390" t="inlineStr"/>
    </row>
    <row r="391">
      <c r="A391" t="inlineStr">
        <is>
          <t>Yes</t>
        </is>
      </c>
      <c r="B391" t="inlineStr">
        <is>
          <t>Time with my son, experience the adventure and opportunity myself, and the ability to learn and grow from such awesome youth</t>
        </is>
      </c>
      <c r="C391" t="inlineStr">
        <is>
          <t>Wanted Shared Experience with Child</t>
        </is>
      </c>
      <c r="D391" t="inlineStr">
        <is>
          <t>Wanted Shared Experience with Child; Love of Travel / Culture</t>
        </is>
      </c>
      <c r="E391" t="inlineStr"/>
      <c r="F391" t="inlineStr"/>
      <c r="G391" t="inlineStr"/>
      <c r="H391" t="inlineStr"/>
      <c r="I391" t="inlineStr"/>
      <c r="J391" t="b">
        <v>0</v>
      </c>
      <c r="K391" t="n">
        <v>0</v>
      </c>
      <c r="L391" t="inlineStr"/>
      <c r="M391" t="inlineStr"/>
    </row>
    <row r="392">
      <c r="A392" t="inlineStr">
        <is>
          <t>No</t>
        </is>
      </c>
      <c r="B392" t="inlineStr"/>
      <c r="C392" t="inlineStr"/>
      <c r="D392" t="inlineStr"/>
      <c r="E392" t="inlineStr"/>
      <c r="F392" t="inlineStr"/>
      <c r="G392" t="inlineStr"/>
      <c r="H392" t="inlineStr"/>
      <c r="I392" t="inlineStr"/>
      <c r="J392" t="b">
        <v>0</v>
      </c>
      <c r="K392" t="n">
        <v>0</v>
      </c>
      <c r="L392" t="inlineStr"/>
      <c r="M392" t="inlineStr"/>
    </row>
    <row r="393">
      <c r="A393" t="inlineStr">
        <is>
          <t>No</t>
        </is>
      </c>
      <c r="B393" t="inlineStr"/>
      <c r="C393" t="inlineStr"/>
      <c r="D393" t="inlineStr"/>
      <c r="E393" t="inlineStr">
        <is>
          <t>My child needed to go do something without his parent</t>
        </is>
      </c>
      <c r="F393" t="inlineStr">
        <is>
          <t>Wants Child to Have Independent Experience</t>
        </is>
      </c>
      <c r="G393" t="inlineStr">
        <is>
          <t>Wants Child to Have Independent Experience</t>
        </is>
      </c>
      <c r="H393" t="inlineStr"/>
      <c r="I393" t="inlineStr">
        <is>
          <t>Family's Own Choice</t>
        </is>
      </c>
      <c r="J393" t="b">
        <v>0</v>
      </c>
      <c r="K393" t="n">
        <v>1</v>
      </c>
      <c r="L393" t="inlineStr"/>
      <c r="M393" t="inlineStr"/>
    </row>
    <row r="394">
      <c r="A394" t="inlineStr">
        <is>
          <t>No</t>
        </is>
      </c>
      <c r="B394" t="inlineStr"/>
      <c r="C394" t="inlineStr"/>
      <c r="D394" t="inlineStr"/>
      <c r="E394" t="inlineStr">
        <is>
          <t>Too many young kids at home</t>
        </is>
      </c>
      <c r="F394" t="inlineStr">
        <is>
          <t>Other Kids / Family at Home</t>
        </is>
      </c>
      <c r="G394" t="inlineStr">
        <is>
          <t>Other Kids / Family at Home</t>
        </is>
      </c>
      <c r="H394" t="inlineStr"/>
      <c r="I394" t="inlineStr">
        <is>
          <t>Family's Own Choice</t>
        </is>
      </c>
      <c r="J394" t="b">
        <v>0</v>
      </c>
      <c r="K394" t="n">
        <v>1</v>
      </c>
      <c r="L394" t="inlineStr"/>
      <c r="M394" t="inlineStr"/>
    </row>
    <row r="395">
      <c r="A395" t="inlineStr">
        <is>
          <t>No</t>
        </is>
      </c>
      <c r="B395" t="inlineStr"/>
      <c r="C395" t="inlineStr"/>
      <c r="D395" t="inlineStr"/>
      <c r="E395" t="inlineStr">
        <is>
          <t>Previous builder t</t>
        </is>
      </c>
      <c r="F395" t="inlineStr">
        <is>
          <t>Other / Uncategorized</t>
        </is>
      </c>
      <c r="G395" t="inlineStr"/>
      <c r="H395" t="inlineStr"/>
      <c r="I395" t="inlineStr">
        <is>
          <t>Unknown</t>
        </is>
      </c>
      <c r="J395" t="b">
        <v>0</v>
      </c>
      <c r="K395" t="n">
        <v>0</v>
      </c>
      <c r="L395" t="inlineStr"/>
      <c r="M395" t="inlineStr"/>
    </row>
    <row r="396">
      <c r="A396" t="inlineStr">
        <is>
          <t>No</t>
        </is>
      </c>
      <c r="B396" t="inlineStr"/>
      <c r="C396" t="inlineStr"/>
      <c r="D396" t="inlineStr"/>
      <c r="E396" t="inlineStr">
        <is>
          <t>Not enough money to send me and my daughter</t>
        </is>
      </c>
      <c r="F396" t="inlineStr">
        <is>
          <t>Cost / Finances</t>
        </is>
      </c>
      <c r="G396" t="inlineStr">
        <is>
          <t>Cost / Finances</t>
        </is>
      </c>
      <c r="H396" t="inlineStr"/>
      <c r="I396" t="inlineStr">
        <is>
          <t>HXP Can Directly Fix</t>
        </is>
      </c>
      <c r="J396" t="b">
        <v>0</v>
      </c>
      <c r="K396" t="n">
        <v>1</v>
      </c>
      <c r="L396" t="inlineStr"/>
      <c r="M396" t="inlineStr"/>
    </row>
    <row r="397">
      <c r="A397" t="inlineStr">
        <is>
          <t>No</t>
        </is>
      </c>
      <c r="B397" t="inlineStr"/>
      <c r="C397" t="inlineStr"/>
      <c r="D397" t="inlineStr"/>
      <c r="E397" t="inlineStr">
        <is>
          <t>friends and family have been before</t>
        </is>
      </c>
      <c r="F397" t="inlineStr">
        <is>
          <t>Another Family Member Going Instead</t>
        </is>
      </c>
      <c r="G397" t="inlineStr">
        <is>
          <t>Another Family Member Going Instead</t>
        </is>
      </c>
      <c r="H397" t="inlineStr"/>
      <c r="I397" t="inlineStr">
        <is>
          <t>Family's Own Choice</t>
        </is>
      </c>
      <c r="J397" t="b">
        <v>0</v>
      </c>
      <c r="K397" t="n">
        <v>1</v>
      </c>
      <c r="L397" t="inlineStr"/>
      <c r="M397" t="inlineStr"/>
    </row>
    <row r="398">
      <c r="A398" t="inlineStr">
        <is>
          <t>No</t>
        </is>
      </c>
      <c r="B398" t="inlineStr"/>
      <c r="C398" t="inlineStr"/>
      <c r="D398" t="inlineStr"/>
      <c r="E398" t="inlineStr">
        <is>
          <t>My son didn't want us to go with him.</t>
        </is>
      </c>
      <c r="F398" t="inlineStr">
        <is>
          <t>Child Didn't Want Parent to Come</t>
        </is>
      </c>
      <c r="G398" t="inlineStr">
        <is>
          <t>Child Didn't Want Parent to Come</t>
        </is>
      </c>
      <c r="H398" t="inlineStr"/>
      <c r="I398" t="inlineStr">
        <is>
          <t>Family's Own Choice</t>
        </is>
      </c>
      <c r="J398" t="b">
        <v>0</v>
      </c>
      <c r="K398" t="n">
        <v>1</v>
      </c>
      <c r="L398" t="inlineStr"/>
      <c r="M398" t="inlineStr"/>
    </row>
    <row r="399">
      <c r="A399" t="inlineStr">
        <is>
          <t>No</t>
        </is>
      </c>
      <c r="B399" t="inlineStr"/>
      <c r="C399" t="inlineStr"/>
      <c r="D399" t="inlineStr"/>
      <c r="E399" t="inlineStr"/>
      <c r="F399" t="inlineStr"/>
      <c r="G399" t="inlineStr"/>
      <c r="H399" t="inlineStr"/>
      <c r="I399" t="inlineStr"/>
      <c r="J399" t="b">
        <v>0</v>
      </c>
      <c r="K399" t="n">
        <v>0</v>
      </c>
      <c r="L399" t="inlineStr"/>
      <c r="M399" t="inlineStr"/>
    </row>
    <row r="400">
      <c r="A400" t="inlineStr">
        <is>
          <t>No</t>
        </is>
      </c>
      <c r="B400" t="inlineStr"/>
      <c r="C400" t="inlineStr"/>
      <c r="D400" t="inlineStr"/>
      <c r="E400" t="inlineStr">
        <is>
          <t>Couldn't get time off, expense</t>
        </is>
      </c>
      <c r="F400" t="inlineStr">
        <is>
          <t>Cost / Finances</t>
        </is>
      </c>
      <c r="G400" t="inlineStr">
        <is>
          <t>Cost / Finances; Work Schedule / Time Off</t>
        </is>
      </c>
      <c r="H400" t="inlineStr"/>
      <c r="I400" t="inlineStr">
        <is>
          <t>HXP Can Directly Fix</t>
        </is>
      </c>
      <c r="J400" t="b">
        <v>0</v>
      </c>
      <c r="K400" t="n">
        <v>2</v>
      </c>
      <c r="L400" t="inlineStr"/>
      <c r="M400" t="inlineStr"/>
    </row>
    <row r="401">
      <c r="A401" t="inlineStr">
        <is>
          <t>No</t>
        </is>
      </c>
      <c r="B401" t="inlineStr"/>
      <c r="C401" t="inlineStr"/>
      <c r="D401" t="inlineStr"/>
      <c r="E401" t="inlineStr"/>
      <c r="F401" t="inlineStr"/>
      <c r="G401" t="inlineStr"/>
      <c r="H401" t="inlineStr"/>
      <c r="I401" t="inlineStr"/>
      <c r="J401" t="b">
        <v>0</v>
      </c>
      <c r="K401" t="n">
        <v>0</v>
      </c>
      <c r="L401" t="inlineStr"/>
      <c r="M401" t="inlineStr"/>
    </row>
    <row r="402">
      <c r="A402" t="inlineStr">
        <is>
          <t>No</t>
        </is>
      </c>
      <c r="B402" t="inlineStr"/>
      <c r="C402" t="inlineStr"/>
      <c r="D402" t="inlineStr"/>
      <c r="E402" t="inlineStr">
        <is>
          <t>My son wants to go alone</t>
        </is>
      </c>
      <c r="F402" t="inlineStr">
        <is>
          <t>Wants Child to Have Independent Experience</t>
        </is>
      </c>
      <c r="G402" t="inlineStr">
        <is>
          <t>Wants Child to Have Independent Experience</t>
        </is>
      </c>
      <c r="H402" t="inlineStr"/>
      <c r="I402" t="inlineStr">
        <is>
          <t>Family's Own Choice</t>
        </is>
      </c>
      <c r="J402" t="b">
        <v>0</v>
      </c>
      <c r="K402" t="n">
        <v>1</v>
      </c>
      <c r="L402" t="inlineStr"/>
      <c r="M402" t="inlineStr"/>
    </row>
    <row r="403">
      <c r="A403" t="inlineStr">
        <is>
          <t>No</t>
        </is>
      </c>
      <c r="B403" t="inlineStr"/>
      <c r="C403" t="inlineStr"/>
      <c r="D403" t="inlineStr"/>
      <c r="E403" t="inlineStr">
        <is>
          <t>time</t>
        </is>
      </c>
      <c r="F403" t="inlineStr">
        <is>
          <t>Work Schedule / Time Off</t>
        </is>
      </c>
      <c r="G403" t="inlineStr">
        <is>
          <t>Work Schedule / Time Off</t>
        </is>
      </c>
      <c r="H403" t="inlineStr"/>
      <c r="I403" t="inlineStr">
        <is>
          <t>HXP Can Influence</t>
        </is>
      </c>
      <c r="J403" t="b">
        <v>0</v>
      </c>
      <c r="K403" t="n">
        <v>1</v>
      </c>
      <c r="L403" t="inlineStr"/>
      <c r="M403" t="inlineStr"/>
    </row>
    <row r="404">
      <c r="A404" t="inlineStr">
        <is>
          <t>No</t>
        </is>
      </c>
      <c r="B404" t="inlineStr"/>
      <c r="C404" t="inlineStr"/>
      <c r="D404" t="inlineStr"/>
      <c r="E404" t="inlineStr">
        <is>
          <t>Time and money</t>
        </is>
      </c>
      <c r="F404" t="inlineStr">
        <is>
          <t>Cost / Finances</t>
        </is>
      </c>
      <c r="G404" t="inlineStr">
        <is>
          <t>Cost / Finances; Work Schedule / Time Off</t>
        </is>
      </c>
      <c r="H404" t="inlineStr"/>
      <c r="I404" t="inlineStr">
        <is>
          <t>HXP Can Directly Fix</t>
        </is>
      </c>
      <c r="J404" t="b">
        <v>0</v>
      </c>
      <c r="K404" t="n">
        <v>2</v>
      </c>
      <c r="L404" t="inlineStr"/>
      <c r="M404" t="inlineStr"/>
    </row>
    <row r="405">
      <c r="A405" t="inlineStr">
        <is>
          <t>Maybe</t>
        </is>
      </c>
      <c r="B405" t="inlineStr"/>
      <c r="C405" t="inlineStr"/>
      <c r="D405" t="inlineStr"/>
      <c r="E405" t="inlineStr"/>
      <c r="F405" t="inlineStr"/>
      <c r="G405" t="inlineStr"/>
      <c r="H405" t="inlineStr">
        <is>
          <t>Finding childcare for my younger kids not on the trip</t>
        </is>
      </c>
      <c r="I405" t="inlineStr"/>
      <c r="J405" t="b">
        <v>0</v>
      </c>
      <c r="K405" t="n">
        <v>0</v>
      </c>
      <c r="L405" t="inlineStr">
        <is>
          <t>Childcare for Other Kids</t>
        </is>
      </c>
      <c r="M405" t="inlineStr">
        <is>
          <t>Childcare for Other Kids; Waiting for Right Timing (kids' ages)</t>
        </is>
      </c>
    </row>
    <row r="406">
      <c r="A406" t="inlineStr">
        <is>
          <t>No</t>
        </is>
      </c>
      <c r="B406" t="inlineStr"/>
      <c r="C406" t="inlineStr"/>
      <c r="D406" t="inlineStr"/>
      <c r="E406" t="inlineStr">
        <is>
          <t>I went last year and so did my husband, so my daughter wanted to experience it all on her own this year. I would love to next year!</t>
        </is>
      </c>
      <c r="F406" t="inlineStr">
        <is>
          <t>Wants Child to Have Independent Experience</t>
        </is>
      </c>
      <c r="G406" t="inlineStr">
        <is>
          <t>Wants Child to Have Independent Experience</t>
        </is>
      </c>
      <c r="H406" t="inlineStr"/>
      <c r="I406" t="inlineStr">
        <is>
          <t>Family's Own Choice</t>
        </is>
      </c>
      <c r="J406" t="b">
        <v>1</v>
      </c>
      <c r="K406" t="n">
        <v>1</v>
      </c>
      <c r="L406" t="inlineStr"/>
      <c r="M406" t="inlineStr"/>
    </row>
    <row r="407">
      <c r="A407" t="inlineStr">
        <is>
          <t>No</t>
        </is>
      </c>
      <c r="B407" t="inlineStr"/>
      <c r="C407" t="inlineStr"/>
      <c r="D407" t="inlineStr"/>
      <c r="E407" t="inlineStr">
        <is>
          <t>kids at home</t>
        </is>
      </c>
      <c r="F407" t="inlineStr">
        <is>
          <t>Other Kids / Family at Home</t>
        </is>
      </c>
      <c r="G407" t="inlineStr">
        <is>
          <t>Other Kids / Family at Home</t>
        </is>
      </c>
      <c r="H407" t="inlineStr"/>
      <c r="I407" t="inlineStr">
        <is>
          <t>Family's Own Choice</t>
        </is>
      </c>
      <c r="J407" t="b">
        <v>0</v>
      </c>
      <c r="K407" t="n">
        <v>1</v>
      </c>
      <c r="L407" t="inlineStr"/>
      <c r="M407" t="inlineStr"/>
    </row>
    <row r="408">
      <c r="A408" t="inlineStr">
        <is>
          <t>No</t>
        </is>
      </c>
      <c r="B408" t="inlineStr"/>
      <c r="C408" t="inlineStr"/>
      <c r="D408" t="inlineStr"/>
      <c r="E408" t="inlineStr"/>
      <c r="F408" t="inlineStr"/>
      <c r="G408" t="inlineStr"/>
      <c r="H408" t="inlineStr"/>
      <c r="I408" t="inlineStr"/>
      <c r="J408" t="b">
        <v>0</v>
      </c>
      <c r="K408" t="n">
        <v>0</v>
      </c>
      <c r="L408" t="inlineStr"/>
      <c r="M408" t="inlineStr"/>
    </row>
    <row r="409">
      <c r="A409" t="inlineStr">
        <is>
          <t>No</t>
        </is>
      </c>
      <c r="B409" t="inlineStr"/>
      <c r="C409" t="inlineStr"/>
      <c r="D409" t="inlineStr"/>
      <c r="E409" t="inlineStr">
        <is>
          <t>Other kids at home and planned activities</t>
        </is>
      </c>
      <c r="F409" t="inlineStr">
        <is>
          <t>Other Kids / Family at Home</t>
        </is>
      </c>
      <c r="G409" t="inlineStr">
        <is>
          <t>Other Kids / Family at Home</t>
        </is>
      </c>
      <c r="H409" t="inlineStr"/>
      <c r="I409" t="inlineStr">
        <is>
          <t>Family's Own Choice</t>
        </is>
      </c>
      <c r="J409" t="b">
        <v>0</v>
      </c>
      <c r="K409" t="n">
        <v>1</v>
      </c>
      <c r="L409" t="inlineStr"/>
      <c r="M409" t="inlineStr"/>
    </row>
    <row r="410">
      <c r="A410" t="inlineStr">
        <is>
          <t>Yes</t>
        </is>
      </c>
      <c r="B410" t="inlineStr">
        <is>
          <t>My daughter</t>
        </is>
      </c>
      <c r="C410" t="inlineStr">
        <is>
          <t>Family Member Was the Reason (No Elaboration)</t>
        </is>
      </c>
      <c r="D410" t="inlineStr">
        <is>
          <t>Family Member Was the Reason (No Elaboration)</t>
        </is>
      </c>
      <c r="E410" t="inlineStr"/>
      <c r="F410" t="inlineStr"/>
      <c r="G410" t="inlineStr"/>
      <c r="H410" t="inlineStr"/>
      <c r="I410" t="inlineStr"/>
      <c r="J410" t="b">
        <v>0</v>
      </c>
      <c r="K410" t="n">
        <v>0</v>
      </c>
      <c r="L410" t="inlineStr"/>
      <c r="M410" t="inlineStr"/>
    </row>
    <row r="411">
      <c r="A411" t="inlineStr">
        <is>
          <t>No</t>
        </is>
      </c>
      <c r="B411" t="inlineStr"/>
      <c r="C411" t="inlineStr"/>
      <c r="D411" t="inlineStr"/>
      <c r="E411" t="inlineStr"/>
      <c r="F411" t="inlineStr"/>
      <c r="G411" t="inlineStr"/>
      <c r="H411" t="inlineStr"/>
      <c r="I411" t="inlineStr"/>
      <c r="J411" t="b">
        <v>0</v>
      </c>
      <c r="K411" t="n">
        <v>0</v>
      </c>
      <c r="L411" t="inlineStr"/>
      <c r="M411" t="inlineStr"/>
    </row>
    <row r="412">
      <c r="A412" t="inlineStr">
        <is>
          <t>Yes</t>
        </is>
      </c>
      <c r="B412" t="inlineStr">
        <is>
          <t>Prayer</t>
        </is>
      </c>
      <c r="C412" t="inlineStr">
        <is>
          <t>Faith / Service Motivation</t>
        </is>
      </c>
      <c r="D412" t="inlineStr">
        <is>
          <t>Faith / Service Motivation</t>
        </is>
      </c>
      <c r="E412" t="inlineStr"/>
      <c r="F412" t="inlineStr"/>
      <c r="G412" t="inlineStr"/>
      <c r="H412" t="inlineStr"/>
      <c r="I412" t="inlineStr"/>
      <c r="J412" t="b">
        <v>0</v>
      </c>
      <c r="K412" t="n">
        <v>0</v>
      </c>
      <c r="L412" t="inlineStr"/>
      <c r="M412" t="inlineStr"/>
    </row>
    <row r="413">
      <c r="A413" t="inlineStr">
        <is>
          <t>No</t>
        </is>
      </c>
      <c r="B413" t="inlineStr"/>
      <c r="C413" t="inlineStr"/>
      <c r="D413" t="inlineStr"/>
      <c r="E413" t="inlineStr">
        <is>
          <t>My job</t>
        </is>
      </c>
      <c r="F413" t="inlineStr">
        <is>
          <t>Work Schedule / Time Off</t>
        </is>
      </c>
      <c r="G413" t="inlineStr">
        <is>
          <t>Work Schedule / Time Off</t>
        </is>
      </c>
      <c r="H413" t="inlineStr"/>
      <c r="I413" t="inlineStr">
        <is>
          <t>HXP Can Influence</t>
        </is>
      </c>
      <c r="J413" t="b">
        <v>0</v>
      </c>
      <c r="K413" t="n">
        <v>1</v>
      </c>
      <c r="L413" t="inlineStr"/>
      <c r="M413" t="inlineStr"/>
    </row>
    <row r="414">
      <c r="A414" t="inlineStr">
        <is>
          <t>No</t>
        </is>
      </c>
      <c r="B414" t="inlineStr"/>
      <c r="C414" t="inlineStr"/>
      <c r="D414" t="inlineStr"/>
      <c r="E414" t="inlineStr"/>
      <c r="F414" t="inlineStr"/>
      <c r="G414" t="inlineStr"/>
      <c r="H414" t="inlineStr"/>
      <c r="I414" t="inlineStr"/>
      <c r="J414" t="b">
        <v>0</v>
      </c>
      <c r="K414" t="n">
        <v>0</v>
      </c>
      <c r="L414" t="inlineStr"/>
      <c r="M414" t="inlineStr"/>
    </row>
    <row r="415">
      <c r="A415" t="inlineStr">
        <is>
          <t>Yes</t>
        </is>
      </c>
      <c r="B415" t="inlineStr"/>
      <c r="C415" t="inlineStr"/>
      <c r="D415" t="inlineStr"/>
      <c r="E415" t="inlineStr"/>
      <c r="F415" t="inlineStr"/>
      <c r="G415" t="inlineStr"/>
      <c r="H415" t="inlineStr"/>
      <c r="I415" t="inlineStr"/>
      <c r="J415" t="b">
        <v>0</v>
      </c>
      <c r="K415" t="n">
        <v>0</v>
      </c>
      <c r="L415" t="inlineStr"/>
      <c r="M415" t="inlineStr"/>
    </row>
    <row r="416">
      <c r="A416" t="inlineStr">
        <is>
          <t>No</t>
        </is>
      </c>
      <c r="B416" t="inlineStr"/>
      <c r="C416" t="inlineStr"/>
      <c r="D416" t="inlineStr"/>
      <c r="E416" t="inlineStr">
        <is>
          <t>Money. :( I would love to in the future if I can ever afford it!!!!! I want to so bad! :) I went to Tonga as a parent several years ago for my youngest sister and it was such an amazing experience! I have eagerly awaited for my kids to have this experience!!!</t>
        </is>
      </c>
      <c r="F416" t="inlineStr">
        <is>
          <t>Cost / Finances</t>
        </is>
      </c>
      <c r="G416" t="inlineStr">
        <is>
          <t>Cost / Finances; Wants Child to Have Independent Experience</t>
        </is>
      </c>
      <c r="H416" t="inlineStr"/>
      <c r="I416" t="inlineStr">
        <is>
          <t>HXP Can Directly Fix</t>
        </is>
      </c>
      <c r="J416" t="b">
        <v>1</v>
      </c>
      <c r="K416" t="n">
        <v>2</v>
      </c>
      <c r="L416" t="inlineStr"/>
      <c r="M416" t="inlineStr"/>
    </row>
    <row r="417">
      <c r="A417" t="inlineStr">
        <is>
          <t>No</t>
        </is>
      </c>
      <c r="B417" t="inlineStr"/>
      <c r="C417" t="inlineStr"/>
      <c r="D417" t="inlineStr"/>
      <c r="E417" t="inlineStr">
        <is>
          <t>Smaller kids at home</t>
        </is>
      </c>
      <c r="F417" t="inlineStr">
        <is>
          <t>Other Kids / Family at Home</t>
        </is>
      </c>
      <c r="G417" t="inlineStr">
        <is>
          <t>Other Kids / Family at Home</t>
        </is>
      </c>
      <c r="H417" t="inlineStr"/>
      <c r="I417" t="inlineStr">
        <is>
          <t>Family's Own Choice</t>
        </is>
      </c>
      <c r="J417" t="b">
        <v>0</v>
      </c>
      <c r="K417" t="n">
        <v>1</v>
      </c>
      <c r="L417" t="inlineStr"/>
      <c r="M417" t="inlineStr"/>
    </row>
    <row r="418">
      <c r="A418" t="inlineStr">
        <is>
          <t>No</t>
        </is>
      </c>
      <c r="B418" t="inlineStr"/>
      <c r="C418" t="inlineStr"/>
      <c r="D418" t="inlineStr"/>
      <c r="E418" t="inlineStr">
        <is>
          <t>Cost/time</t>
        </is>
      </c>
      <c r="F418" t="inlineStr">
        <is>
          <t>Cost / Finances</t>
        </is>
      </c>
      <c r="G418" t="inlineStr">
        <is>
          <t>Cost / Finances; Work Schedule / Time Off</t>
        </is>
      </c>
      <c r="H418" t="inlineStr"/>
      <c r="I418" t="inlineStr">
        <is>
          <t>HXP Can Directly Fix</t>
        </is>
      </c>
      <c r="J418" t="b">
        <v>0</v>
      </c>
      <c r="K418" t="n">
        <v>2</v>
      </c>
      <c r="L418" t="inlineStr"/>
      <c r="M418" t="inlineStr"/>
    </row>
    <row r="419">
      <c r="A419" t="inlineStr">
        <is>
          <t>No</t>
        </is>
      </c>
      <c r="B419" t="inlineStr"/>
      <c r="C419" t="inlineStr"/>
      <c r="D419" t="inlineStr"/>
      <c r="E419" t="inlineStr"/>
      <c r="F419" t="inlineStr"/>
      <c r="G419" t="inlineStr"/>
      <c r="H419" t="inlineStr"/>
      <c r="I419" t="inlineStr"/>
      <c r="J419" t="b">
        <v>0</v>
      </c>
      <c r="K419" t="n">
        <v>0</v>
      </c>
      <c r="L419" t="inlineStr"/>
      <c r="M419" t="inlineStr"/>
    </row>
    <row r="420">
      <c r="A420" t="inlineStr">
        <is>
          <t>No</t>
        </is>
      </c>
      <c r="B420" t="inlineStr"/>
      <c r="C420" t="inlineStr"/>
      <c r="D420" t="inlineStr"/>
      <c r="E420" t="inlineStr">
        <is>
          <t>Younger kids at home, and also wanting my son to have this experience independently</t>
        </is>
      </c>
      <c r="F420" t="inlineStr">
        <is>
          <t>Other Kids / Family at Home</t>
        </is>
      </c>
      <c r="G420" t="inlineStr">
        <is>
          <t>Other Kids / Family at Home; Wants Child to Have Independent Experience</t>
        </is>
      </c>
      <c r="H420" t="inlineStr"/>
      <c r="I420" t="inlineStr">
        <is>
          <t>Family's Own Choice</t>
        </is>
      </c>
      <c r="J420" t="b">
        <v>0</v>
      </c>
      <c r="K420" t="n">
        <v>2</v>
      </c>
      <c r="L420" t="inlineStr"/>
      <c r="M420" t="inlineStr"/>
    </row>
    <row r="421">
      <c r="A421" t="inlineStr">
        <is>
          <t>No</t>
        </is>
      </c>
      <c r="B421" t="inlineStr"/>
      <c r="C421" t="inlineStr"/>
      <c r="D421" t="inlineStr"/>
      <c r="E421" t="inlineStr">
        <is>
          <t>too hard to leave the other children at home for that length of time</t>
        </is>
      </c>
      <c r="F421" t="inlineStr">
        <is>
          <t>Work Schedule / Time Off</t>
        </is>
      </c>
      <c r="G421" t="inlineStr">
        <is>
          <t>Work Schedule / Time Off; Other Kids / Family at Home</t>
        </is>
      </c>
      <c r="H421" t="inlineStr"/>
      <c r="I421" t="inlineStr">
        <is>
          <t>HXP Can Influence</t>
        </is>
      </c>
      <c r="J421" t="b">
        <v>0</v>
      </c>
      <c r="K421" t="n">
        <v>2</v>
      </c>
      <c r="L421" t="inlineStr"/>
      <c r="M421" t="inlineStr"/>
    </row>
    <row r="422">
      <c r="A422" t="inlineStr">
        <is>
          <t>No</t>
        </is>
      </c>
      <c r="B422" t="inlineStr"/>
      <c r="C422" t="inlineStr"/>
      <c r="D422" t="inlineStr"/>
      <c r="E422" t="inlineStr"/>
      <c r="F422" t="inlineStr"/>
      <c r="G422" t="inlineStr"/>
      <c r="H422" t="inlineStr"/>
      <c r="I422" t="inlineStr"/>
      <c r="J422" t="b">
        <v>0</v>
      </c>
      <c r="K422" t="n">
        <v>0</v>
      </c>
      <c r="L422" t="inlineStr"/>
      <c r="M422" t="inlineStr"/>
    </row>
    <row r="423">
      <c r="A423" t="inlineStr">
        <is>
          <t>No</t>
        </is>
      </c>
      <c r="B423" t="inlineStr"/>
      <c r="C423" t="inlineStr"/>
      <c r="D423" t="inlineStr"/>
      <c r="E423" t="inlineStr">
        <is>
          <t>My child said they wanted this to be an independent experience :(</t>
        </is>
      </c>
      <c r="F423" t="inlineStr">
        <is>
          <t>Wants Child to Have Independent Experience</t>
        </is>
      </c>
      <c r="G423" t="inlineStr">
        <is>
          <t>Wants Child to Have Independent Experience</t>
        </is>
      </c>
      <c r="H423" t="inlineStr"/>
      <c r="I423" t="inlineStr">
        <is>
          <t>Family's Own Choice</t>
        </is>
      </c>
      <c r="J423" t="b">
        <v>0</v>
      </c>
      <c r="K423" t="n">
        <v>1</v>
      </c>
      <c r="L423" t="inlineStr"/>
      <c r="M423" t="inlineStr"/>
    </row>
    <row r="424">
      <c r="A424" t="inlineStr">
        <is>
          <t>No</t>
        </is>
      </c>
      <c r="B424" t="inlineStr"/>
      <c r="C424" t="inlineStr"/>
      <c r="D424" t="inlineStr"/>
      <c r="E424" t="inlineStr">
        <is>
          <t>Price</t>
        </is>
      </c>
      <c r="F424" t="inlineStr">
        <is>
          <t>Cost / Finances</t>
        </is>
      </c>
      <c r="G424" t="inlineStr">
        <is>
          <t>Cost / Finances</t>
        </is>
      </c>
      <c r="H424" t="inlineStr"/>
      <c r="I424" t="inlineStr">
        <is>
          <t>HXP Can Directly Fix</t>
        </is>
      </c>
      <c r="J424" t="b">
        <v>0</v>
      </c>
      <c r="K424" t="n">
        <v>1</v>
      </c>
      <c r="L424" t="inlineStr"/>
      <c r="M424" t="inlineStr"/>
    </row>
    <row r="425">
      <c r="A425" t="inlineStr">
        <is>
          <t>No</t>
        </is>
      </c>
      <c r="B425" t="inlineStr"/>
      <c r="C425" t="inlineStr"/>
      <c r="D425" t="inlineStr"/>
      <c r="E425" t="inlineStr">
        <is>
          <t>My criterion is to help my daughter increase autonomy.</t>
        </is>
      </c>
      <c r="F425" t="inlineStr">
        <is>
          <t>Wants Child to Have Independent Experience</t>
        </is>
      </c>
      <c r="G425" t="inlineStr">
        <is>
          <t>Wants Child to Have Independent Experience</t>
        </is>
      </c>
      <c r="H425" t="inlineStr"/>
      <c r="I425" t="inlineStr">
        <is>
          <t>Family's Own Choice</t>
        </is>
      </c>
      <c r="J425" t="b">
        <v>0</v>
      </c>
      <c r="K425" t="n">
        <v>1</v>
      </c>
      <c r="L425" t="inlineStr"/>
      <c r="M425" t="inlineStr"/>
    </row>
    <row r="426">
      <c r="A426" t="inlineStr">
        <is>
          <t>No</t>
        </is>
      </c>
      <c r="B426" t="inlineStr"/>
      <c r="C426" t="inlineStr"/>
      <c r="D426" t="inlineStr"/>
      <c r="E426" t="inlineStr">
        <is>
          <t>Cost and I think my daughter would do better without me there.</t>
        </is>
      </c>
      <c r="F426" t="inlineStr">
        <is>
          <t>Cost / Finances</t>
        </is>
      </c>
      <c r="G426" t="inlineStr">
        <is>
          <t>Cost / Finances; Wants Child to Have Independent Experience</t>
        </is>
      </c>
      <c r="H426" t="inlineStr"/>
      <c r="I426" t="inlineStr">
        <is>
          <t>HXP Can Directly Fix</t>
        </is>
      </c>
      <c r="J426" t="b">
        <v>0</v>
      </c>
      <c r="K426" t="n">
        <v>2</v>
      </c>
      <c r="L426" t="inlineStr"/>
      <c r="M426" t="inlineStr"/>
    </row>
    <row r="427">
      <c r="A427" t="inlineStr">
        <is>
          <t>No</t>
        </is>
      </c>
      <c r="B427" t="inlineStr"/>
      <c r="C427" t="inlineStr"/>
      <c r="D427" t="inlineStr"/>
      <c r="E427" t="inlineStr">
        <is>
          <t>just not a traveler</t>
        </is>
      </c>
      <c r="F427" t="inlineStr">
        <is>
          <t>Not a Traveler / Personal Preference</t>
        </is>
      </c>
      <c r="G427" t="inlineStr">
        <is>
          <t>Not a Traveler / Personal Preference</t>
        </is>
      </c>
      <c r="H427" t="inlineStr"/>
      <c r="I427" t="inlineStr">
        <is>
          <t>HXP Can Influence</t>
        </is>
      </c>
      <c r="J427" t="b">
        <v>0</v>
      </c>
      <c r="K427" t="n">
        <v>1</v>
      </c>
      <c r="L427" t="inlineStr"/>
      <c r="M427" t="inlineStr"/>
    </row>
    <row r="428">
      <c r="A428" t="inlineStr">
        <is>
          <t>No</t>
        </is>
      </c>
      <c r="B428" t="inlineStr"/>
      <c r="C428" t="inlineStr"/>
      <c r="D428" t="inlineStr"/>
      <c r="E428" t="inlineStr">
        <is>
          <t>Time commitment</t>
        </is>
      </c>
      <c r="F428" t="inlineStr">
        <is>
          <t>Work Schedule / Time Off</t>
        </is>
      </c>
      <c r="G428" t="inlineStr">
        <is>
          <t>Work Schedule / Time Off</t>
        </is>
      </c>
      <c r="H428" t="inlineStr"/>
      <c r="I428" t="inlineStr">
        <is>
          <t>HXP Can Influence</t>
        </is>
      </c>
      <c r="J428" t="b">
        <v>0</v>
      </c>
      <c r="K428" t="n">
        <v>1</v>
      </c>
      <c r="L428" t="inlineStr"/>
      <c r="M428" t="inlineStr"/>
    </row>
    <row r="429">
      <c r="A429" t="inlineStr">
        <is>
          <t>No</t>
        </is>
      </c>
      <c r="B429" t="inlineStr"/>
      <c r="C429" t="inlineStr"/>
      <c r="D429" t="inlineStr"/>
      <c r="E429" t="inlineStr">
        <is>
          <t>Money and work</t>
        </is>
      </c>
      <c r="F429" t="inlineStr">
        <is>
          <t>Cost / Finances</t>
        </is>
      </c>
      <c r="G429" t="inlineStr">
        <is>
          <t>Cost / Finances; Work Schedule / Time Off</t>
        </is>
      </c>
      <c r="H429" t="inlineStr"/>
      <c r="I429" t="inlineStr">
        <is>
          <t>HXP Can Directly Fix</t>
        </is>
      </c>
      <c r="J429" t="b">
        <v>0</v>
      </c>
      <c r="K429" t="n">
        <v>2</v>
      </c>
      <c r="L429" t="inlineStr"/>
      <c r="M429" t="inlineStr"/>
    </row>
    <row r="430">
      <c r="A430" t="inlineStr">
        <is>
          <t>No</t>
        </is>
      </c>
      <c r="B430" t="inlineStr"/>
      <c r="C430" t="inlineStr"/>
      <c r="D430" t="inlineStr"/>
      <c r="E430" t="inlineStr">
        <is>
          <t>We couldn't get time off work and other family responsibilities.</t>
        </is>
      </c>
      <c r="F430" t="inlineStr">
        <is>
          <t>Work Schedule / Time Off</t>
        </is>
      </c>
      <c r="G430" t="inlineStr">
        <is>
          <t>Work Schedule / Time Off</t>
        </is>
      </c>
      <c r="H430" t="inlineStr"/>
      <c r="I430" t="inlineStr">
        <is>
          <t>HXP Can Influence</t>
        </is>
      </c>
      <c r="J430" t="b">
        <v>0</v>
      </c>
      <c r="K430" t="n">
        <v>1</v>
      </c>
      <c r="L430" t="inlineStr"/>
      <c r="M430" t="inlineStr"/>
    </row>
    <row r="431">
      <c r="A431" t="inlineStr">
        <is>
          <t>No</t>
        </is>
      </c>
      <c r="B431" t="inlineStr"/>
      <c r="C431" t="inlineStr"/>
      <c r="D431" t="inlineStr"/>
      <c r="E431" t="inlineStr">
        <is>
          <t>Our son didn't want us too, otherwise we would have gone</t>
        </is>
      </c>
      <c r="F431" t="inlineStr">
        <is>
          <t>Child Didn't Want Parent to Come</t>
        </is>
      </c>
      <c r="G431" t="inlineStr">
        <is>
          <t>Child Didn't Want Parent to Come</t>
        </is>
      </c>
      <c r="H431" t="inlineStr"/>
      <c r="I431" t="inlineStr">
        <is>
          <t>Family's Own Choice</t>
        </is>
      </c>
      <c r="J431" t="b">
        <v>0</v>
      </c>
      <c r="K431" t="n">
        <v>1</v>
      </c>
      <c r="L431" t="inlineStr"/>
      <c r="M431" t="inlineStr"/>
    </row>
    <row r="432">
      <c r="A432" t="inlineStr">
        <is>
          <t>No</t>
        </is>
      </c>
      <c r="B432" t="inlineStr"/>
      <c r="C432" t="inlineStr"/>
      <c r="D432" t="inlineStr"/>
      <c r="E432" t="inlineStr"/>
      <c r="F432" t="inlineStr"/>
      <c r="G432" t="inlineStr"/>
      <c r="H432" t="inlineStr"/>
      <c r="I432" t="inlineStr"/>
      <c r="J432" t="b">
        <v>0</v>
      </c>
      <c r="K432" t="n">
        <v>0</v>
      </c>
      <c r="L432" t="inlineStr"/>
      <c r="M432" t="inlineStr"/>
    </row>
    <row r="433">
      <c r="A433" t="inlineStr">
        <is>
          <t>No</t>
        </is>
      </c>
      <c r="B433" t="inlineStr"/>
      <c r="C433" t="inlineStr"/>
      <c r="D433" t="inlineStr"/>
      <c r="E433" t="inlineStr"/>
      <c r="F433" t="inlineStr"/>
      <c r="G433" t="inlineStr"/>
      <c r="H433" t="inlineStr"/>
      <c r="I433" t="inlineStr"/>
      <c r="J433" t="b">
        <v>0</v>
      </c>
      <c r="K433" t="n">
        <v>0</v>
      </c>
      <c r="L433" t="inlineStr"/>
      <c r="M433" t="inlineStr"/>
    </row>
    <row r="434">
      <c r="A434" t="inlineStr">
        <is>
          <t>Yes</t>
        </is>
      </c>
      <c r="B434" t="inlineStr">
        <is>
          <t>Not willing to let my child leave the country without me :)</t>
        </is>
      </c>
      <c r="C434" t="inlineStr">
        <is>
          <t>Concerned About Child Going Alone / Safety</t>
        </is>
      </c>
      <c r="D434" t="inlineStr">
        <is>
          <t>Concerned About Child Going Alone / Safety</t>
        </is>
      </c>
      <c r="E434" t="inlineStr"/>
      <c r="F434" t="inlineStr"/>
      <c r="G434" t="inlineStr"/>
      <c r="H434" t="inlineStr"/>
      <c r="I434" t="inlineStr"/>
      <c r="J434" t="b">
        <v>0</v>
      </c>
      <c r="K434" t="n">
        <v>0</v>
      </c>
      <c r="L434" t="inlineStr"/>
      <c r="M434" t="inlineStr"/>
    </row>
    <row r="435">
      <c r="A435" t="inlineStr">
        <is>
          <t>No</t>
        </is>
      </c>
      <c r="B435" t="inlineStr"/>
      <c r="C435" t="inlineStr"/>
      <c r="D435" t="inlineStr"/>
      <c r="E435" t="inlineStr">
        <is>
          <t>my child wanted an experience independent of me</t>
        </is>
      </c>
      <c r="F435" t="inlineStr">
        <is>
          <t>Wants Child to Have Independent Experience</t>
        </is>
      </c>
      <c r="G435" t="inlineStr">
        <is>
          <t>Wants Child to Have Independent Experience</t>
        </is>
      </c>
      <c r="H435" t="inlineStr"/>
      <c r="I435" t="inlineStr">
        <is>
          <t>Family's Own Choice</t>
        </is>
      </c>
      <c r="J435" t="b">
        <v>0</v>
      </c>
      <c r="K435" t="n">
        <v>1</v>
      </c>
      <c r="L435" t="inlineStr"/>
      <c r="M435" t="inlineStr"/>
    </row>
    <row r="436">
      <c r="A436" t="inlineStr">
        <is>
          <t>No</t>
        </is>
      </c>
      <c r="B436" t="inlineStr"/>
      <c r="C436" t="inlineStr"/>
      <c r="D436" t="inlineStr"/>
      <c r="E436" t="inlineStr">
        <is>
          <t>other kids at home. I travel a lot myself, but don't think my kids would want me to be there. I'd like them to have their own experience</t>
        </is>
      </c>
      <c r="F436" t="inlineStr">
        <is>
          <t>Other Kids / Family at Home</t>
        </is>
      </c>
      <c r="G436" t="inlineStr">
        <is>
          <t>Other Kids / Family at Home; Wants Child to Have Independent Experience</t>
        </is>
      </c>
      <c r="H436" t="inlineStr"/>
      <c r="I436" t="inlineStr">
        <is>
          <t>Family's Own Choice</t>
        </is>
      </c>
      <c r="J436" t="b">
        <v>0</v>
      </c>
      <c r="K436" t="n">
        <v>2</v>
      </c>
      <c r="L436" t="inlineStr"/>
      <c r="M436" t="inlineStr"/>
    </row>
    <row r="437">
      <c r="A437" t="inlineStr">
        <is>
          <t>No</t>
        </is>
      </c>
      <c r="B437" t="inlineStr"/>
      <c r="C437" t="inlineStr"/>
      <c r="D437" t="inlineStr"/>
      <c r="E437" t="inlineStr">
        <is>
          <t>Cost; Work commitments</t>
        </is>
      </c>
      <c r="F437" t="inlineStr">
        <is>
          <t>Cost / Finances</t>
        </is>
      </c>
      <c r="G437" t="inlineStr">
        <is>
          <t>Cost / Finances; Work Schedule / Time Off</t>
        </is>
      </c>
      <c r="H437" t="inlineStr"/>
      <c r="I437" t="inlineStr">
        <is>
          <t>HXP Can Directly Fix</t>
        </is>
      </c>
      <c r="J437" t="b">
        <v>0</v>
      </c>
      <c r="K437" t="n">
        <v>2</v>
      </c>
      <c r="L437" t="inlineStr"/>
      <c r="M437" t="inlineStr"/>
    </row>
    <row r="438">
      <c r="A438" t="inlineStr">
        <is>
          <t>No</t>
        </is>
      </c>
      <c r="B438" t="inlineStr"/>
      <c r="C438" t="inlineStr"/>
      <c r="D438" t="inlineStr"/>
      <c r="E438" t="inlineStr">
        <is>
          <t>No time off work.</t>
        </is>
      </c>
      <c r="F438" t="inlineStr">
        <is>
          <t>Work Schedule / Time Off</t>
        </is>
      </c>
      <c r="G438" t="inlineStr">
        <is>
          <t>Work Schedule / Time Off</t>
        </is>
      </c>
      <c r="H438" t="inlineStr"/>
      <c r="I438" t="inlineStr">
        <is>
          <t>HXP Can Influence</t>
        </is>
      </c>
      <c r="J438" t="b">
        <v>0</v>
      </c>
      <c r="K438" t="n">
        <v>1</v>
      </c>
      <c r="L438" t="inlineStr"/>
      <c r="M438" t="inlineStr"/>
    </row>
    <row r="439">
      <c r="A439" t="inlineStr">
        <is>
          <t>Yes</t>
        </is>
      </c>
      <c r="B439" t="inlineStr">
        <is>
          <t>My husband went last year with our daughter and had a great experience.</t>
        </is>
      </c>
      <c r="C439" t="inlineStr">
        <is>
          <t>Wanted Shared Experience with Child</t>
        </is>
      </c>
      <c r="D439" t="inlineStr">
        <is>
          <t>Wanted Shared Experience with Child; Previous Positive Experience</t>
        </is>
      </c>
      <c r="E439" t="inlineStr"/>
      <c r="F439" t="inlineStr"/>
      <c r="G439" t="inlineStr"/>
      <c r="H439" t="inlineStr"/>
      <c r="I439" t="inlineStr"/>
      <c r="J439" t="b">
        <v>0</v>
      </c>
      <c r="K439" t="n">
        <v>0</v>
      </c>
      <c r="L439" t="inlineStr"/>
      <c r="M439" t="inlineStr"/>
    </row>
    <row r="440">
      <c r="A440" t="inlineStr">
        <is>
          <t>No</t>
        </is>
      </c>
      <c r="B440" t="inlineStr"/>
      <c r="C440" t="inlineStr"/>
      <c r="D440" t="inlineStr"/>
      <c r="E440" t="inlineStr">
        <is>
          <t>Work schedule, price, health.</t>
        </is>
      </c>
      <c r="F440" t="inlineStr">
        <is>
          <t>Cost / Finances</t>
        </is>
      </c>
      <c r="G440" t="inlineStr">
        <is>
          <t>Cost / Finances; Work Schedule / Time Off; Health / Physical / Age</t>
        </is>
      </c>
      <c r="H440" t="inlineStr"/>
      <c r="I440" t="inlineStr">
        <is>
          <t>HXP Can Directly Fix</t>
        </is>
      </c>
      <c r="J440" t="b">
        <v>0</v>
      </c>
      <c r="K440" t="n">
        <v>3</v>
      </c>
      <c r="L440" t="inlineStr"/>
      <c r="M440" t="inlineStr"/>
    </row>
    <row r="441">
      <c r="A441" t="inlineStr">
        <is>
          <t>No</t>
        </is>
      </c>
      <c r="B441" t="inlineStr"/>
      <c r="C441" t="inlineStr"/>
      <c r="D441" t="inlineStr"/>
      <c r="E441" t="inlineStr">
        <is>
          <t>Work, price, health</t>
        </is>
      </c>
      <c r="F441" t="inlineStr">
        <is>
          <t>Cost / Finances</t>
        </is>
      </c>
      <c r="G441" t="inlineStr">
        <is>
          <t>Cost / Finances; Work Schedule / Time Off; Health / Physical / Age</t>
        </is>
      </c>
      <c r="H441" t="inlineStr"/>
      <c r="I441" t="inlineStr">
        <is>
          <t>HXP Can Directly Fix</t>
        </is>
      </c>
      <c r="J441" t="b">
        <v>0</v>
      </c>
      <c r="K441" t="n">
        <v>3</v>
      </c>
      <c r="L441" t="inlineStr"/>
      <c r="M441" t="inlineStr"/>
    </row>
    <row r="442">
      <c r="A442" t="inlineStr">
        <is>
          <t>No</t>
        </is>
      </c>
      <c r="B442" t="inlineStr"/>
      <c r="C442" t="inlineStr"/>
      <c r="D442" t="inlineStr"/>
      <c r="E442" t="inlineStr">
        <is>
          <t>Kids at home</t>
        </is>
      </c>
      <c r="F442" t="inlineStr">
        <is>
          <t>Other Kids / Family at Home</t>
        </is>
      </c>
      <c r="G442" t="inlineStr">
        <is>
          <t>Other Kids / Family at Home</t>
        </is>
      </c>
      <c r="H442" t="inlineStr"/>
      <c r="I442" t="inlineStr">
        <is>
          <t>Family's Own Choice</t>
        </is>
      </c>
      <c r="J442" t="b">
        <v>0</v>
      </c>
      <c r="K442" t="n">
        <v>1</v>
      </c>
      <c r="L442" t="inlineStr"/>
      <c r="M442" t="inlineStr"/>
    </row>
    <row r="443">
      <c r="A443" t="inlineStr">
        <is>
          <t>No</t>
        </is>
      </c>
      <c r="B443" t="inlineStr"/>
      <c r="C443" t="inlineStr"/>
      <c r="D443" t="inlineStr"/>
      <c r="E443" t="inlineStr">
        <is>
          <t>Didn't know it was an option, but I want our child to go solo anyway.</t>
        </is>
      </c>
      <c r="F443" t="inlineStr">
        <is>
          <t>Wants Child to Have Independent Experience</t>
        </is>
      </c>
      <c r="G443" t="inlineStr">
        <is>
          <t>Wants Child to Have Independent Experience; Not Aware It Was an Option</t>
        </is>
      </c>
      <c r="H443" t="inlineStr"/>
      <c r="I443" t="inlineStr">
        <is>
          <t>Family's Own Choice</t>
        </is>
      </c>
      <c r="J443" t="b">
        <v>0</v>
      </c>
      <c r="K443" t="n">
        <v>2</v>
      </c>
      <c r="L443" t="inlineStr"/>
      <c r="M443" t="inlineStr"/>
    </row>
    <row r="444">
      <c r="A444" t="inlineStr">
        <is>
          <t>Maybe</t>
        </is>
      </c>
      <c r="B444" t="inlineStr"/>
      <c r="C444" t="inlineStr"/>
      <c r="D444" t="inlineStr"/>
      <c r="E444" t="inlineStr"/>
      <c r="F444" t="inlineStr"/>
      <c r="G444" t="inlineStr"/>
      <c r="H444" t="inlineStr">
        <is>
          <t>Maybe with one of my next kids as the younger ones get older.</t>
        </is>
      </c>
      <c r="I444" t="inlineStr"/>
      <c r="J444" t="b">
        <v>0</v>
      </c>
      <c r="K444" t="n">
        <v>0</v>
      </c>
      <c r="L444" t="inlineStr">
        <is>
          <t>Waiting for Right Timing (kids' ages)</t>
        </is>
      </c>
      <c r="M444" t="inlineStr">
        <is>
          <t>Waiting for Right Timing (kids' ages)</t>
        </is>
      </c>
    </row>
    <row r="445">
      <c r="A445" t="inlineStr">
        <is>
          <t>No</t>
        </is>
      </c>
      <c r="B445" t="inlineStr"/>
      <c r="C445" t="inlineStr"/>
      <c r="D445" t="inlineStr"/>
      <c r="E445" t="inlineStr">
        <is>
          <t>Money and my other 4 kids at home, also I did want my daughter to experience not having me around</t>
        </is>
      </c>
      <c r="F445" t="inlineStr">
        <is>
          <t>Cost / Finances</t>
        </is>
      </c>
      <c r="G445" t="inlineStr">
        <is>
          <t>Cost / Finances; Other Kids / Family at Home; Wants Child to Have Independent Experience</t>
        </is>
      </c>
      <c r="H445" t="inlineStr"/>
      <c r="I445" t="inlineStr">
        <is>
          <t>HXP Can Directly Fix</t>
        </is>
      </c>
      <c r="J445" t="b">
        <v>0</v>
      </c>
      <c r="K445" t="n">
        <v>3</v>
      </c>
      <c r="L445" t="inlineStr"/>
      <c r="M445" t="inlineStr"/>
    </row>
    <row r="446">
      <c r="A446" t="inlineStr">
        <is>
          <t>Yes</t>
        </is>
      </c>
      <c r="B446" t="inlineStr">
        <is>
          <t>My daughter</t>
        </is>
      </c>
      <c r="C446" t="inlineStr">
        <is>
          <t>Family Member Was the Reason (No Elaboration)</t>
        </is>
      </c>
      <c r="D446" t="inlineStr">
        <is>
          <t>Family Member Was the Reason (No Elaboration)</t>
        </is>
      </c>
      <c r="E446" t="inlineStr"/>
      <c r="F446" t="inlineStr"/>
      <c r="G446" t="inlineStr"/>
      <c r="H446" t="inlineStr"/>
      <c r="I446" t="inlineStr"/>
      <c r="J446" t="b">
        <v>0</v>
      </c>
      <c r="K446" t="n">
        <v>0</v>
      </c>
      <c r="L446" t="inlineStr"/>
      <c r="M446" t="inlineStr"/>
    </row>
    <row r="447">
      <c r="A447" t="inlineStr">
        <is>
          <t>No</t>
        </is>
      </c>
      <c r="B447" t="inlineStr"/>
      <c r="C447" t="inlineStr"/>
      <c r="D447" t="inlineStr"/>
      <c r="E447" t="inlineStr">
        <is>
          <t>Other obligations</t>
        </is>
      </c>
      <c r="F447" t="inlineStr">
        <is>
          <t>Work Schedule / Time Off</t>
        </is>
      </c>
      <c r="G447" t="inlineStr">
        <is>
          <t>Work Schedule / Time Off</t>
        </is>
      </c>
      <c r="H447" t="inlineStr"/>
      <c r="I447" t="inlineStr">
        <is>
          <t>HXP Can Influence</t>
        </is>
      </c>
      <c r="J447" t="b">
        <v>0</v>
      </c>
      <c r="K447" t="n">
        <v>1</v>
      </c>
      <c r="L447" t="inlineStr"/>
      <c r="M447" t="inlineStr"/>
    </row>
    <row r="448">
      <c r="A448" t="inlineStr">
        <is>
          <t>No</t>
        </is>
      </c>
      <c r="B448" t="inlineStr"/>
      <c r="C448" t="inlineStr"/>
      <c r="D448" t="inlineStr"/>
      <c r="E448" t="inlineStr">
        <is>
          <t>cost and work obligations</t>
        </is>
      </c>
      <c r="F448" t="inlineStr">
        <is>
          <t>Cost / Finances</t>
        </is>
      </c>
      <c r="G448" t="inlineStr">
        <is>
          <t>Cost / Finances; Work Schedule / Time Off</t>
        </is>
      </c>
      <c r="H448" t="inlineStr"/>
      <c r="I448" t="inlineStr">
        <is>
          <t>HXP Can Directly Fix</t>
        </is>
      </c>
      <c r="J448" t="b">
        <v>0</v>
      </c>
      <c r="K448" t="n">
        <v>2</v>
      </c>
      <c r="L448" t="inlineStr"/>
      <c r="M448" t="inlineStr"/>
    </row>
    <row r="449">
      <c r="A449" t="inlineStr">
        <is>
          <t>Maybe</t>
        </is>
      </c>
      <c r="B449" t="inlineStr"/>
      <c r="C449" t="inlineStr"/>
      <c r="D449" t="inlineStr"/>
      <c r="E449" t="inlineStr"/>
      <c r="F449" t="inlineStr"/>
      <c r="G449" t="inlineStr"/>
      <c r="H449" t="inlineStr">
        <is>
          <t>Not sure</t>
        </is>
      </c>
      <c r="I449" t="inlineStr"/>
      <c r="J449" t="b">
        <v>0</v>
      </c>
      <c r="K449" t="n">
        <v>0</v>
      </c>
      <c r="L449" t="inlineStr">
        <is>
          <t>No Specific Ask / Undecided</t>
        </is>
      </c>
      <c r="M449" t="inlineStr">
        <is>
          <t>No Specific Ask / Undecided</t>
        </is>
      </c>
    </row>
    <row r="450">
      <c r="A450" t="inlineStr">
        <is>
          <t>No</t>
        </is>
      </c>
      <c r="B450" t="inlineStr"/>
      <c r="C450" t="inlineStr"/>
      <c r="D450" t="inlineStr"/>
      <c r="E450" t="inlineStr"/>
      <c r="F450" t="inlineStr"/>
      <c r="G450" t="inlineStr"/>
      <c r="H450" t="inlineStr"/>
      <c r="I450" t="inlineStr"/>
      <c r="J450" t="b">
        <v>0</v>
      </c>
      <c r="K450" t="n">
        <v>0</v>
      </c>
      <c r="L450" t="inlineStr"/>
      <c r="M450" t="inlineStr"/>
    </row>
    <row r="451">
      <c r="A451" t="inlineStr">
        <is>
          <t>No</t>
        </is>
      </c>
      <c r="B451" t="inlineStr"/>
      <c r="C451" t="inlineStr"/>
      <c r="D451" t="inlineStr"/>
      <c r="E451" t="inlineStr">
        <is>
          <t>My daughter didn't want me to! 🤣</t>
        </is>
      </c>
      <c r="F451" t="inlineStr">
        <is>
          <t>Child Didn't Want Parent to Come</t>
        </is>
      </c>
      <c r="G451" t="inlineStr">
        <is>
          <t>Child Didn't Want Parent to Come</t>
        </is>
      </c>
      <c r="H451" t="inlineStr"/>
      <c r="I451" t="inlineStr">
        <is>
          <t>Family's Own Choice</t>
        </is>
      </c>
      <c r="J451" t="b">
        <v>0</v>
      </c>
      <c r="K451" t="n">
        <v>1</v>
      </c>
      <c r="L451" t="inlineStr"/>
      <c r="M451" t="inlineStr"/>
    </row>
    <row r="452">
      <c r="A452" t="inlineStr">
        <is>
          <t>No</t>
        </is>
      </c>
      <c r="B452" t="inlineStr"/>
      <c r="C452" t="inlineStr"/>
      <c r="D452" t="inlineStr"/>
      <c r="E452" t="inlineStr"/>
      <c r="F452" t="inlineStr"/>
      <c r="G452" t="inlineStr"/>
      <c r="H452" t="inlineStr"/>
      <c r="I452" t="inlineStr"/>
      <c r="J452" t="b">
        <v>0</v>
      </c>
      <c r="K452" t="n">
        <v>0</v>
      </c>
      <c r="L452" t="inlineStr"/>
      <c r="M452" t="inlineStr"/>
    </row>
    <row r="453">
      <c r="A453" t="inlineStr">
        <is>
          <t>No</t>
        </is>
      </c>
      <c r="B453" t="inlineStr"/>
      <c r="C453" t="inlineStr"/>
      <c r="D453" t="inlineStr"/>
      <c r="E453" t="inlineStr">
        <is>
          <t>I couldn't afford it.</t>
        </is>
      </c>
      <c r="F453" t="inlineStr">
        <is>
          <t>Cost / Finances</t>
        </is>
      </c>
      <c r="G453" t="inlineStr">
        <is>
          <t>Cost / Finances</t>
        </is>
      </c>
      <c r="H453" t="inlineStr"/>
      <c r="I453" t="inlineStr">
        <is>
          <t>HXP Can Directly Fix</t>
        </is>
      </c>
      <c r="J453" t="b">
        <v>0</v>
      </c>
      <c r="K453" t="n">
        <v>1</v>
      </c>
      <c r="L453" t="inlineStr"/>
      <c r="M453" t="inlineStr"/>
    </row>
    <row r="454">
      <c r="A454" t="inlineStr">
        <is>
          <t>Yes</t>
        </is>
      </c>
      <c r="B454" t="inlineStr">
        <is>
          <t>Previous children and wife went to HXP and I love the whole mission and vision of HCP</t>
        </is>
      </c>
      <c r="C454" t="inlineStr">
        <is>
          <t>Previous Positive Experience</t>
        </is>
      </c>
      <c r="D454" t="inlineStr">
        <is>
          <t>Previous Positive Experience; Faith / Service Motivation</t>
        </is>
      </c>
      <c r="E454" t="inlineStr"/>
      <c r="F454" t="inlineStr"/>
      <c r="G454" t="inlineStr"/>
      <c r="H454" t="inlineStr"/>
      <c r="I454" t="inlineStr"/>
      <c r="J454" t="b">
        <v>0</v>
      </c>
      <c r="K454" t="n">
        <v>0</v>
      </c>
      <c r="L454" t="inlineStr"/>
      <c r="M454" t="inlineStr"/>
    </row>
    <row r="455">
      <c r="A455" t="inlineStr">
        <is>
          <t>No</t>
        </is>
      </c>
      <c r="B455" t="inlineStr"/>
      <c r="C455" t="inlineStr"/>
      <c r="D455" t="inlineStr"/>
      <c r="E455" t="inlineStr">
        <is>
          <t>We will be out of town</t>
        </is>
      </c>
      <c r="F455" t="inlineStr">
        <is>
          <t>Other Life Commitment</t>
        </is>
      </c>
      <c r="G455" t="inlineStr">
        <is>
          <t>Other Life Commitment</t>
        </is>
      </c>
      <c r="H455" t="inlineStr"/>
      <c r="I455" t="inlineStr">
        <is>
          <t>Family's Own Choice</t>
        </is>
      </c>
      <c r="J455" t="b">
        <v>0</v>
      </c>
      <c r="K455" t="n">
        <v>1</v>
      </c>
      <c r="L455" t="inlineStr"/>
      <c r="M455" t="inlineStr"/>
    </row>
    <row r="456">
      <c r="A456" t="inlineStr">
        <is>
          <t>Yes</t>
        </is>
      </c>
      <c r="B456" t="inlineStr">
        <is>
          <t>The great experience that you guys provide the leadership that you have and the opportunity to help the youth experience another culture</t>
        </is>
      </c>
      <c r="C456" t="inlineStr">
        <is>
          <t>Wanted Shared Experience with Child</t>
        </is>
      </c>
      <c r="D456" t="inlineStr">
        <is>
          <t>Wanted Shared Experience with Child; Love of Travel / Culture</t>
        </is>
      </c>
      <c r="E456" t="inlineStr"/>
      <c r="F456" t="inlineStr"/>
      <c r="G456" t="inlineStr"/>
      <c r="H456" t="inlineStr"/>
      <c r="I456" t="inlineStr"/>
      <c r="J456" t="b">
        <v>0</v>
      </c>
      <c r="K456" t="n">
        <v>0</v>
      </c>
      <c r="L456" t="inlineStr"/>
      <c r="M456" t="inlineStr"/>
    </row>
    <row r="457">
      <c r="A457" t="inlineStr">
        <is>
          <t>Maybe</t>
        </is>
      </c>
      <c r="B457" t="inlineStr"/>
      <c r="C457" t="inlineStr"/>
      <c r="D457" t="inlineStr"/>
      <c r="E457" t="inlineStr"/>
      <c r="F457" t="inlineStr"/>
      <c r="G457" t="inlineStr"/>
      <c r="H457" t="inlineStr">
        <is>
          <t>I don't know much about it. I would need more info</t>
        </is>
      </c>
      <c r="I457" t="inlineStr"/>
      <c r="J457" t="b">
        <v>0</v>
      </c>
      <c r="K457" t="n">
        <v>0</v>
      </c>
      <c r="L457" t="inlineStr">
        <is>
          <t>More Information / Awareness</t>
        </is>
      </c>
      <c r="M457" t="inlineStr">
        <is>
          <t>More Information / Awareness; No Specific Ask / Undecided</t>
        </is>
      </c>
    </row>
    <row r="458">
      <c r="A458" t="inlineStr">
        <is>
          <t>No</t>
        </is>
      </c>
      <c r="B458" t="inlineStr"/>
      <c r="C458" t="inlineStr"/>
      <c r="D458" t="inlineStr"/>
      <c r="E458" t="inlineStr">
        <is>
          <t>Price</t>
        </is>
      </c>
      <c r="F458" t="inlineStr">
        <is>
          <t>Cost / Finances</t>
        </is>
      </c>
      <c r="G458" t="inlineStr">
        <is>
          <t>Cost / Finances</t>
        </is>
      </c>
      <c r="H458" t="inlineStr"/>
      <c r="I458" t="inlineStr">
        <is>
          <t>HXP Can Directly Fix</t>
        </is>
      </c>
      <c r="J458" t="b">
        <v>0</v>
      </c>
      <c r="K458" t="n">
        <v>1</v>
      </c>
      <c r="L458" t="inlineStr"/>
      <c r="M458" t="inlineStr"/>
    </row>
    <row r="459">
      <c r="A459" t="inlineStr">
        <is>
          <t>No</t>
        </is>
      </c>
      <c r="B459" t="inlineStr"/>
      <c r="C459" t="inlineStr"/>
      <c r="D459" t="inlineStr"/>
      <c r="E459" t="inlineStr">
        <is>
          <t>Cost</t>
        </is>
      </c>
      <c r="F459" t="inlineStr">
        <is>
          <t>Cost / Finances</t>
        </is>
      </c>
      <c r="G459" t="inlineStr">
        <is>
          <t>Cost / Finances</t>
        </is>
      </c>
      <c r="H459" t="inlineStr"/>
      <c r="I459" t="inlineStr">
        <is>
          <t>HXP Can Directly Fix</t>
        </is>
      </c>
      <c r="J459" t="b">
        <v>0</v>
      </c>
      <c r="K459" t="n">
        <v>1</v>
      </c>
      <c r="L459" t="inlineStr"/>
      <c r="M459" t="inlineStr"/>
    </row>
    <row r="460">
      <c r="A460" t="inlineStr">
        <is>
          <t>No</t>
        </is>
      </c>
      <c r="B460" t="inlineStr"/>
      <c r="C460" t="inlineStr"/>
      <c r="D460" t="inlineStr"/>
      <c r="E460" t="inlineStr">
        <is>
          <t>She was so excited to do a trip by herself</t>
        </is>
      </c>
      <c r="F460" t="inlineStr">
        <is>
          <t>Child Didn't Want Parent to Come</t>
        </is>
      </c>
      <c r="G460" t="inlineStr">
        <is>
          <t>Child Didn't Want Parent to Come</t>
        </is>
      </c>
      <c r="H460" t="inlineStr"/>
      <c r="I460" t="inlineStr">
        <is>
          <t>Family's Own Choice</t>
        </is>
      </c>
      <c r="J460" t="b">
        <v>0</v>
      </c>
      <c r="K460" t="n">
        <v>1</v>
      </c>
      <c r="L460" t="inlineStr"/>
      <c r="M460" t="inlineStr"/>
    </row>
    <row r="461">
      <c r="A461" t="inlineStr">
        <is>
          <t>No</t>
        </is>
      </c>
      <c r="B461" t="inlineStr"/>
      <c r="C461" t="inlineStr"/>
      <c r="D461" t="inlineStr"/>
      <c r="E461" t="inlineStr">
        <is>
          <t>My son :)</t>
        </is>
      </c>
      <c r="F461" t="inlineStr">
        <is>
          <t>Family's Own Choice (No Elaboration)</t>
        </is>
      </c>
      <c r="G461" t="inlineStr">
        <is>
          <t>Family's Own Choice (No Elaboration)</t>
        </is>
      </c>
      <c r="H461" t="inlineStr"/>
      <c r="I461" t="inlineStr">
        <is>
          <t>Family's Own Choice</t>
        </is>
      </c>
      <c r="J461" t="b">
        <v>0</v>
      </c>
      <c r="K461" t="n">
        <v>1</v>
      </c>
      <c r="L461" t="inlineStr"/>
      <c r="M461" t="inlineStr"/>
    </row>
    <row r="462">
      <c r="A462" t="inlineStr">
        <is>
          <t>No</t>
        </is>
      </c>
      <c r="B462" t="inlineStr"/>
      <c r="C462" t="inlineStr"/>
      <c r="D462" t="inlineStr"/>
      <c r="E462" t="inlineStr"/>
      <c r="F462" t="inlineStr"/>
      <c r="G462" t="inlineStr"/>
      <c r="H462" t="inlineStr"/>
      <c r="I462" t="inlineStr"/>
      <c r="J462" t="b">
        <v>0</v>
      </c>
      <c r="K462" t="n">
        <v>0</v>
      </c>
      <c r="L462" t="inlineStr"/>
      <c r="M462" t="inlineStr"/>
    </row>
    <row r="463">
      <c r="A463" t="inlineStr">
        <is>
          <t>No</t>
        </is>
      </c>
      <c r="B463" t="inlineStr"/>
      <c r="C463" t="inlineStr"/>
      <c r="D463" t="inlineStr"/>
      <c r="E463" t="inlineStr">
        <is>
          <t>work</t>
        </is>
      </c>
      <c r="F463" t="inlineStr">
        <is>
          <t>Work Schedule / Time Off</t>
        </is>
      </c>
      <c r="G463" t="inlineStr">
        <is>
          <t>Work Schedule / Time Off</t>
        </is>
      </c>
      <c r="H463" t="inlineStr"/>
      <c r="I463" t="inlineStr">
        <is>
          <t>HXP Can Influence</t>
        </is>
      </c>
      <c r="J463" t="b">
        <v>0</v>
      </c>
      <c r="K463" t="n">
        <v>1</v>
      </c>
      <c r="L463" t="inlineStr"/>
      <c r="M463" t="inlineStr"/>
    </row>
    <row r="464">
      <c r="A464" t="inlineStr">
        <is>
          <t>Yes</t>
        </is>
      </c>
      <c r="B464" t="inlineStr">
        <is>
          <t>Husband went last year with our daughter.</t>
        </is>
      </c>
      <c r="C464" t="inlineStr">
        <is>
          <t>Previous Positive Experience</t>
        </is>
      </c>
      <c r="D464" t="inlineStr">
        <is>
          <t>Previous Positive Experience</t>
        </is>
      </c>
      <c r="E464" t="inlineStr"/>
      <c r="F464" t="inlineStr"/>
      <c r="G464" t="inlineStr"/>
      <c r="H464" t="inlineStr"/>
      <c r="I464" t="inlineStr"/>
      <c r="J464" t="b">
        <v>0</v>
      </c>
      <c r="K464" t="n">
        <v>0</v>
      </c>
      <c r="L464" t="inlineStr"/>
      <c r="M464" t="inlineStr"/>
    </row>
    <row r="465">
      <c r="A465" t="inlineStr">
        <is>
          <t>No</t>
        </is>
      </c>
      <c r="B465" t="inlineStr"/>
      <c r="C465" t="inlineStr"/>
      <c r="D465" t="inlineStr"/>
      <c r="E465" t="inlineStr">
        <is>
          <t>I wanted my builder to have a more personal experience</t>
        </is>
      </c>
      <c r="F465" t="inlineStr">
        <is>
          <t>Wants Child to Have Independent Experience</t>
        </is>
      </c>
      <c r="G465" t="inlineStr">
        <is>
          <t>Wants Child to Have Independent Experience</t>
        </is>
      </c>
      <c r="H465" t="inlineStr"/>
      <c r="I465" t="inlineStr">
        <is>
          <t>Family's Own Choice</t>
        </is>
      </c>
      <c r="J465" t="b">
        <v>0</v>
      </c>
      <c r="K465" t="n">
        <v>1</v>
      </c>
      <c r="L465" t="inlineStr"/>
      <c r="M465" t="inlineStr"/>
    </row>
    <row r="466">
      <c r="A466" t="inlineStr">
        <is>
          <t>No</t>
        </is>
      </c>
      <c r="B466" t="inlineStr"/>
      <c r="C466" t="inlineStr"/>
      <c r="D466" t="inlineStr"/>
      <c r="E466" t="inlineStr">
        <is>
          <t>child wanted the independence</t>
        </is>
      </c>
      <c r="F466" t="inlineStr">
        <is>
          <t>Wants Child to Have Independent Experience</t>
        </is>
      </c>
      <c r="G466" t="inlineStr">
        <is>
          <t>Wants Child to Have Independent Experience</t>
        </is>
      </c>
      <c r="H466" t="inlineStr"/>
      <c r="I466" t="inlineStr">
        <is>
          <t>Family's Own Choice</t>
        </is>
      </c>
      <c r="J466" t="b">
        <v>0</v>
      </c>
      <c r="K466" t="n">
        <v>1</v>
      </c>
      <c r="L466" t="inlineStr"/>
      <c r="M466" t="inlineStr"/>
    </row>
    <row r="467">
      <c r="A467" t="inlineStr">
        <is>
          <t>No</t>
        </is>
      </c>
      <c r="B467" t="inlineStr"/>
      <c r="C467" t="inlineStr"/>
      <c r="D467" t="inlineStr"/>
      <c r="E467" t="inlineStr">
        <is>
          <t>Home schedule too busy</t>
        </is>
      </c>
      <c r="F467" t="inlineStr">
        <is>
          <t>Work Schedule / Time Off</t>
        </is>
      </c>
      <c r="G467" t="inlineStr">
        <is>
          <t>Work Schedule / Time Off</t>
        </is>
      </c>
      <c r="H467" t="inlineStr"/>
      <c r="I467" t="inlineStr">
        <is>
          <t>HXP Can Influence</t>
        </is>
      </c>
      <c r="J467" t="b">
        <v>0</v>
      </c>
      <c r="K467" t="n">
        <v>1</v>
      </c>
      <c r="L467" t="inlineStr"/>
      <c r="M467" t="inlineStr"/>
    </row>
    <row r="468">
      <c r="A468" t="inlineStr">
        <is>
          <t>No</t>
        </is>
      </c>
      <c r="B468" t="inlineStr"/>
      <c r="C468" t="inlineStr"/>
      <c r="D468" t="inlineStr"/>
      <c r="E468" t="inlineStr">
        <is>
          <t>She wanted to go on her own and experience some independance</t>
        </is>
      </c>
      <c r="F468" t="inlineStr">
        <is>
          <t>Wants Child to Have Independent Experience</t>
        </is>
      </c>
      <c r="G468" t="inlineStr">
        <is>
          <t>Wants Child to Have Independent Experience</t>
        </is>
      </c>
      <c r="H468" t="inlineStr"/>
      <c r="I468" t="inlineStr">
        <is>
          <t>Family's Own Choice</t>
        </is>
      </c>
      <c r="J468" t="b">
        <v>0</v>
      </c>
      <c r="K468" t="n">
        <v>1</v>
      </c>
      <c r="L468" t="inlineStr"/>
      <c r="M468" t="inlineStr"/>
    </row>
    <row r="469">
      <c r="A469" t="inlineStr">
        <is>
          <t>No</t>
        </is>
      </c>
      <c r="B469" t="inlineStr"/>
      <c r="C469" t="inlineStr"/>
      <c r="D469" t="inlineStr"/>
      <c r="E469" t="inlineStr">
        <is>
          <t>Our daughter needed to experience this growth on her own, but we will miss her like crazy</t>
        </is>
      </c>
      <c r="F469" t="inlineStr">
        <is>
          <t>Wants Child to Have Independent Experience</t>
        </is>
      </c>
      <c r="G469" t="inlineStr">
        <is>
          <t>Wants Child to Have Independent Experience</t>
        </is>
      </c>
      <c r="H469" t="inlineStr"/>
      <c r="I469" t="inlineStr">
        <is>
          <t>Family's Own Choice</t>
        </is>
      </c>
      <c r="J469" t="b">
        <v>0</v>
      </c>
      <c r="K469" t="n">
        <v>1</v>
      </c>
      <c r="L469" t="inlineStr"/>
      <c r="M469" t="inlineStr"/>
    </row>
    <row r="470">
      <c r="A470" t="inlineStr">
        <is>
          <t>No</t>
        </is>
      </c>
      <c r="B470" t="inlineStr"/>
      <c r="C470" t="inlineStr"/>
      <c r="D470" t="inlineStr"/>
      <c r="E470" t="inlineStr">
        <is>
          <t>My kids what to have their own experience</t>
        </is>
      </c>
      <c r="F470" t="inlineStr">
        <is>
          <t>Wants Child to Have Independent Experience</t>
        </is>
      </c>
      <c r="G470" t="inlineStr">
        <is>
          <t>Wants Child to Have Independent Experience</t>
        </is>
      </c>
      <c r="H470" t="inlineStr"/>
      <c r="I470" t="inlineStr">
        <is>
          <t>Family's Own Choice</t>
        </is>
      </c>
      <c r="J470" t="b">
        <v>0</v>
      </c>
      <c r="K470" t="n">
        <v>1</v>
      </c>
      <c r="L470" t="inlineStr"/>
      <c r="M470" t="inlineStr"/>
    </row>
    <row r="471">
      <c r="A471" t="inlineStr">
        <is>
          <t>Yes</t>
        </is>
      </c>
      <c r="B471" t="inlineStr">
        <is>
          <t>Always wanted to do a humanitarian trip</t>
        </is>
      </c>
      <c r="C471" t="inlineStr">
        <is>
          <t>Faith / Service Motivation</t>
        </is>
      </c>
      <c r="D471" t="inlineStr">
        <is>
          <t>Faith / Service Motivation</t>
        </is>
      </c>
      <c r="E471" t="inlineStr"/>
      <c r="F471" t="inlineStr"/>
      <c r="G471" t="inlineStr"/>
      <c r="H471" t="inlineStr"/>
      <c r="I471" t="inlineStr"/>
      <c r="J471" t="b">
        <v>0</v>
      </c>
      <c r="K471" t="n">
        <v>0</v>
      </c>
      <c r="L471" t="inlineStr"/>
      <c r="M471" t="inlineStr"/>
    </row>
    <row r="472">
      <c r="A472" t="inlineStr">
        <is>
          <t>No</t>
        </is>
      </c>
      <c r="B472" t="inlineStr"/>
      <c r="C472" t="inlineStr"/>
      <c r="D472" t="inlineStr"/>
      <c r="E472" t="inlineStr">
        <is>
          <t>Cost</t>
        </is>
      </c>
      <c r="F472" t="inlineStr">
        <is>
          <t>Cost / Finances</t>
        </is>
      </c>
      <c r="G472" t="inlineStr">
        <is>
          <t>Cost / Finances</t>
        </is>
      </c>
      <c r="H472" t="inlineStr"/>
      <c r="I472" t="inlineStr">
        <is>
          <t>HXP Can Directly Fix</t>
        </is>
      </c>
      <c r="J472" t="b">
        <v>0</v>
      </c>
      <c r="K472" t="n">
        <v>1</v>
      </c>
      <c r="L472" t="inlineStr"/>
      <c r="M472" t="inlineStr"/>
    </row>
    <row r="473">
      <c r="A473" t="inlineStr">
        <is>
          <t>No</t>
        </is>
      </c>
      <c r="B473" t="inlineStr"/>
      <c r="C473" t="inlineStr"/>
      <c r="D473" t="inlineStr"/>
      <c r="E473" t="inlineStr">
        <is>
          <t>I can't take that much time off of work.</t>
        </is>
      </c>
      <c r="F473" t="inlineStr">
        <is>
          <t>Work Schedule / Time Off</t>
        </is>
      </c>
      <c r="G473" t="inlineStr">
        <is>
          <t>Work Schedule / Time Off</t>
        </is>
      </c>
      <c r="H473" t="inlineStr"/>
      <c r="I473" t="inlineStr">
        <is>
          <t>HXP Can Influence</t>
        </is>
      </c>
      <c r="J473" t="b">
        <v>0</v>
      </c>
      <c r="K473" t="n">
        <v>1</v>
      </c>
      <c r="L473" t="inlineStr"/>
      <c r="M473" t="inlineStr"/>
    </row>
    <row r="474">
      <c r="A474" t="inlineStr">
        <is>
          <t>No</t>
        </is>
      </c>
      <c r="B474" t="inlineStr"/>
      <c r="C474" t="inlineStr"/>
      <c r="D474" t="inlineStr"/>
      <c r="E474" t="inlineStr">
        <is>
          <t>My son's preference &amp; husbands work schedule</t>
        </is>
      </c>
      <c r="F474" t="inlineStr">
        <is>
          <t>Work Schedule / Time Off</t>
        </is>
      </c>
      <c r="G474" t="inlineStr">
        <is>
          <t>Work Schedule / Time Off</t>
        </is>
      </c>
      <c r="H474" t="inlineStr"/>
      <c r="I474" t="inlineStr">
        <is>
          <t>HXP Can Influence</t>
        </is>
      </c>
      <c r="J474" t="b">
        <v>0</v>
      </c>
      <c r="K474" t="n">
        <v>1</v>
      </c>
      <c r="L474" t="inlineStr"/>
      <c r="M474" t="inlineStr"/>
    </row>
    <row r="475">
      <c r="A475" t="inlineStr">
        <is>
          <t>No</t>
        </is>
      </c>
      <c r="B475" t="inlineStr"/>
      <c r="C475" t="inlineStr"/>
      <c r="D475" t="inlineStr"/>
      <c r="E475" t="inlineStr">
        <is>
          <t>I already went with another child. I would love to go again. It's just a lot of money to send two people.</t>
        </is>
      </c>
      <c r="F475" t="inlineStr">
        <is>
          <t>Cost / Finances</t>
        </is>
      </c>
      <c r="G475" t="inlineStr">
        <is>
          <t>Cost / Finances; Other Kids / Family at Home</t>
        </is>
      </c>
      <c r="H475" t="inlineStr"/>
      <c r="I475" t="inlineStr">
        <is>
          <t>HXP Can Directly Fix</t>
        </is>
      </c>
      <c r="J475" t="b">
        <v>1</v>
      </c>
      <c r="K475" t="n">
        <v>2</v>
      </c>
      <c r="L475" t="inlineStr"/>
      <c r="M475" t="inlineStr"/>
    </row>
    <row r="476">
      <c r="A476" t="inlineStr">
        <is>
          <t>No</t>
        </is>
      </c>
      <c r="B476" t="inlineStr"/>
      <c r="C476" t="inlineStr"/>
      <c r="D476" t="inlineStr"/>
      <c r="E476" t="inlineStr">
        <is>
          <t>The price and too many kids at home</t>
        </is>
      </c>
      <c r="F476" t="inlineStr">
        <is>
          <t>Cost / Finances</t>
        </is>
      </c>
      <c r="G476" t="inlineStr">
        <is>
          <t>Cost / Finances; Other Kids / Family at Home</t>
        </is>
      </c>
      <c r="H476" t="inlineStr"/>
      <c r="I476" t="inlineStr">
        <is>
          <t>HXP Can Directly Fix</t>
        </is>
      </c>
      <c r="J476" t="b">
        <v>0</v>
      </c>
      <c r="K476" t="n">
        <v>2</v>
      </c>
      <c r="L476" t="inlineStr"/>
      <c r="M476" t="inlineStr"/>
    </row>
    <row r="477">
      <c r="A477" t="inlineStr">
        <is>
          <t>No</t>
        </is>
      </c>
      <c r="B477" t="inlineStr"/>
      <c r="C477" t="inlineStr"/>
      <c r="D477" t="inlineStr"/>
      <c r="E477" t="inlineStr"/>
      <c r="F477" t="inlineStr"/>
      <c r="G477" t="inlineStr"/>
      <c r="H477" t="inlineStr"/>
      <c r="I477" t="inlineStr"/>
      <c r="J477" t="b">
        <v>0</v>
      </c>
      <c r="K477" t="n">
        <v>0</v>
      </c>
      <c r="L477" t="inlineStr"/>
      <c r="M477" t="inlineStr"/>
    </row>
    <row r="478">
      <c r="A478" t="inlineStr">
        <is>
          <t>No</t>
        </is>
      </c>
      <c r="B478" t="inlineStr"/>
      <c r="C478" t="inlineStr"/>
      <c r="D478" t="inlineStr"/>
      <c r="E478" t="inlineStr">
        <is>
          <t>My child needs this experience independent of me.</t>
        </is>
      </c>
      <c r="F478" t="inlineStr">
        <is>
          <t>Wants Child to Have Independent Experience</t>
        </is>
      </c>
      <c r="G478" t="inlineStr">
        <is>
          <t>Wants Child to Have Independent Experience</t>
        </is>
      </c>
      <c r="H478" t="inlineStr"/>
      <c r="I478" t="inlineStr">
        <is>
          <t>Family's Own Choice</t>
        </is>
      </c>
      <c r="J478" t="b">
        <v>0</v>
      </c>
      <c r="K478" t="n">
        <v>1</v>
      </c>
      <c r="L478" t="inlineStr"/>
      <c r="M478" t="inlineStr"/>
    </row>
    <row r="479">
      <c r="A479" t="inlineStr">
        <is>
          <t>No</t>
        </is>
      </c>
      <c r="B479" t="inlineStr"/>
      <c r="C479" t="inlineStr"/>
      <c r="D479" t="inlineStr"/>
      <c r="E479" t="inlineStr">
        <is>
          <t>My son didn't want me to! :)</t>
        </is>
      </c>
      <c r="F479" t="inlineStr">
        <is>
          <t>Child Didn't Want Parent to Come</t>
        </is>
      </c>
      <c r="G479" t="inlineStr">
        <is>
          <t>Child Didn't Want Parent to Come</t>
        </is>
      </c>
      <c r="H479" t="inlineStr"/>
      <c r="I479" t="inlineStr">
        <is>
          <t>Family's Own Choice</t>
        </is>
      </c>
      <c r="J479" t="b">
        <v>0</v>
      </c>
      <c r="K479" t="n">
        <v>1</v>
      </c>
      <c r="L479" t="inlineStr"/>
      <c r="M479" t="inlineStr"/>
    </row>
    <row r="480">
      <c r="A480" t="inlineStr">
        <is>
          <t>No</t>
        </is>
      </c>
      <c r="B480" t="inlineStr"/>
      <c r="C480" t="inlineStr"/>
      <c r="D480" t="inlineStr"/>
      <c r="E480" t="inlineStr">
        <is>
          <t>My daughter wanted to go alone</t>
        </is>
      </c>
      <c r="F480" t="inlineStr">
        <is>
          <t>Wants Child to Have Independent Experience</t>
        </is>
      </c>
      <c r="G480" t="inlineStr">
        <is>
          <t>Wants Child to Have Independent Experience</t>
        </is>
      </c>
      <c r="H480" t="inlineStr"/>
      <c r="I480" t="inlineStr">
        <is>
          <t>Family's Own Choice</t>
        </is>
      </c>
      <c r="J480" t="b">
        <v>0</v>
      </c>
      <c r="K480" t="n">
        <v>1</v>
      </c>
      <c r="L480" t="inlineStr"/>
      <c r="M480" t="inlineStr"/>
    </row>
    <row r="481">
      <c r="A481" t="inlineStr">
        <is>
          <t>No</t>
        </is>
      </c>
      <c r="B481" t="inlineStr"/>
      <c r="C481" t="inlineStr"/>
      <c r="D481" t="inlineStr"/>
      <c r="E481" t="inlineStr">
        <is>
          <t>price</t>
        </is>
      </c>
      <c r="F481" t="inlineStr">
        <is>
          <t>Cost / Finances</t>
        </is>
      </c>
      <c r="G481" t="inlineStr">
        <is>
          <t>Cost / Finances</t>
        </is>
      </c>
      <c r="H481" t="inlineStr"/>
      <c r="I481" t="inlineStr">
        <is>
          <t>HXP Can Directly Fix</t>
        </is>
      </c>
      <c r="J481" t="b">
        <v>0</v>
      </c>
      <c r="K481" t="n">
        <v>1</v>
      </c>
      <c r="L481" t="inlineStr"/>
      <c r="M481" t="inlineStr"/>
    </row>
    <row r="482">
      <c r="A482" t="inlineStr">
        <is>
          <t>No</t>
        </is>
      </c>
      <c r="B482" t="inlineStr"/>
      <c r="C482" t="inlineStr"/>
      <c r="D482" t="inlineStr"/>
      <c r="E482" t="inlineStr">
        <is>
          <t>too much going on at home</t>
        </is>
      </c>
      <c r="F482" t="inlineStr">
        <is>
          <t>Work Schedule / Time Off</t>
        </is>
      </c>
      <c r="G482" t="inlineStr">
        <is>
          <t>Work Schedule / Time Off</t>
        </is>
      </c>
      <c r="H482" t="inlineStr"/>
      <c r="I482" t="inlineStr">
        <is>
          <t>HXP Can Influence</t>
        </is>
      </c>
      <c r="J482" t="b">
        <v>0</v>
      </c>
      <c r="K482" t="n">
        <v>1</v>
      </c>
      <c r="L482" t="inlineStr"/>
      <c r="M482" t="inlineStr"/>
    </row>
    <row r="483">
      <c r="A483" t="inlineStr">
        <is>
          <t>No</t>
        </is>
      </c>
      <c r="B483" t="inlineStr"/>
      <c r="C483" t="inlineStr"/>
      <c r="D483" t="inlineStr"/>
      <c r="E483" t="inlineStr"/>
      <c r="F483" t="inlineStr"/>
      <c r="G483" t="inlineStr"/>
      <c r="H483" t="inlineStr"/>
      <c r="I483" t="inlineStr"/>
      <c r="J483" t="b">
        <v>0</v>
      </c>
      <c r="K483" t="n">
        <v>0</v>
      </c>
      <c r="L483" t="inlineStr"/>
      <c r="M483" t="inlineStr"/>
    </row>
    <row r="484">
      <c r="A484" t="inlineStr">
        <is>
          <t>No</t>
        </is>
      </c>
      <c r="B484" t="inlineStr"/>
      <c r="C484" t="inlineStr"/>
      <c r="D484" t="inlineStr"/>
      <c r="E484" t="inlineStr">
        <is>
          <t>Can't take off work for that long/leave the younger kuds</t>
        </is>
      </c>
      <c r="F484" t="inlineStr">
        <is>
          <t>Work Schedule / Time Off</t>
        </is>
      </c>
      <c r="G484" t="inlineStr">
        <is>
          <t>Work Schedule / Time Off; Other Kids / Family at Home</t>
        </is>
      </c>
      <c r="H484" t="inlineStr"/>
      <c r="I484" t="inlineStr">
        <is>
          <t>HXP Can Influence</t>
        </is>
      </c>
      <c r="J484" t="b">
        <v>0</v>
      </c>
      <c r="K484" t="n">
        <v>2</v>
      </c>
      <c r="L484" t="inlineStr"/>
      <c r="M484" t="inlineStr"/>
    </row>
    <row r="485">
      <c r="A485" t="inlineStr">
        <is>
          <t>No</t>
        </is>
      </c>
      <c r="B485" t="inlineStr"/>
      <c r="C485" t="inlineStr"/>
      <c r="D485" t="inlineStr"/>
      <c r="E485" t="inlineStr">
        <is>
          <t>Cost</t>
        </is>
      </c>
      <c r="F485" t="inlineStr">
        <is>
          <t>Cost / Finances</t>
        </is>
      </c>
      <c r="G485" t="inlineStr">
        <is>
          <t>Cost / Finances</t>
        </is>
      </c>
      <c r="H485" t="inlineStr"/>
      <c r="I485" t="inlineStr">
        <is>
          <t>HXP Can Directly Fix</t>
        </is>
      </c>
      <c r="J485" t="b">
        <v>0</v>
      </c>
      <c r="K485" t="n">
        <v>1</v>
      </c>
      <c r="L485" t="inlineStr"/>
      <c r="M485" t="inlineStr"/>
    </row>
    <row r="486">
      <c r="A486" t="inlineStr">
        <is>
          <t>No</t>
        </is>
      </c>
      <c r="B486" t="inlineStr"/>
      <c r="C486" t="inlineStr"/>
      <c r="D486" t="inlineStr"/>
      <c r="E486" t="inlineStr">
        <is>
          <t>Money and time</t>
        </is>
      </c>
      <c r="F486" t="inlineStr">
        <is>
          <t>Cost / Finances</t>
        </is>
      </c>
      <c r="G486" t="inlineStr">
        <is>
          <t>Cost / Finances; Work Schedule / Time Off</t>
        </is>
      </c>
      <c r="H486" t="inlineStr"/>
      <c r="I486" t="inlineStr">
        <is>
          <t>HXP Can Directly Fix</t>
        </is>
      </c>
      <c r="J486" t="b">
        <v>0</v>
      </c>
      <c r="K486" t="n">
        <v>2</v>
      </c>
      <c r="L486" t="inlineStr"/>
      <c r="M486" t="inlineStr"/>
    </row>
    <row r="487">
      <c r="A487" t="inlineStr">
        <is>
          <t>No</t>
        </is>
      </c>
      <c r="B487" t="inlineStr"/>
      <c r="C487" t="inlineStr"/>
      <c r="D487" t="inlineStr"/>
      <c r="E487" t="inlineStr">
        <is>
          <t>I am in school and don't have the time</t>
        </is>
      </c>
      <c r="F487" t="inlineStr">
        <is>
          <t>Work Schedule / Time Off</t>
        </is>
      </c>
      <c r="G487" t="inlineStr">
        <is>
          <t>Work Schedule / Time Off</t>
        </is>
      </c>
      <c r="H487" t="inlineStr"/>
      <c r="I487" t="inlineStr">
        <is>
          <t>HXP Can Influence</t>
        </is>
      </c>
      <c r="J487" t="b">
        <v>0</v>
      </c>
      <c r="K487" t="n">
        <v>1</v>
      </c>
      <c r="L487" t="inlineStr"/>
      <c r="M487" t="inlineStr"/>
    </row>
    <row r="488">
      <c r="A488" t="inlineStr">
        <is>
          <t>No</t>
        </is>
      </c>
      <c r="B488" t="inlineStr"/>
      <c r="C488" t="inlineStr"/>
      <c r="D488" t="inlineStr"/>
      <c r="E488" t="inlineStr">
        <is>
          <t>Other children at home to take care of</t>
        </is>
      </c>
      <c r="F488" t="inlineStr">
        <is>
          <t>Other Kids / Family at Home</t>
        </is>
      </c>
      <c r="G488" t="inlineStr">
        <is>
          <t>Other Kids / Family at Home</t>
        </is>
      </c>
      <c r="H488" t="inlineStr"/>
      <c r="I488" t="inlineStr">
        <is>
          <t>Family's Own Choice</t>
        </is>
      </c>
      <c r="J488" t="b">
        <v>0</v>
      </c>
      <c r="K488" t="n">
        <v>1</v>
      </c>
      <c r="L488" t="inlineStr"/>
      <c r="M488" t="inlineStr"/>
    </row>
    <row r="489">
      <c r="A489" t="inlineStr">
        <is>
          <t>Yes</t>
        </is>
      </c>
      <c r="B489" t="inlineStr">
        <is>
          <t>Gone in the past. going this year but to WV with another son (not Kenya)</t>
        </is>
      </c>
      <c r="C489" t="inlineStr">
        <is>
          <t>Previous Positive Experience</t>
        </is>
      </c>
      <c r="D489" t="inlineStr">
        <is>
          <t>Previous Positive Experience</t>
        </is>
      </c>
      <c r="E489" t="inlineStr"/>
      <c r="F489" t="inlineStr"/>
      <c r="G489" t="inlineStr"/>
      <c r="H489" t="inlineStr"/>
      <c r="I489" t="inlineStr"/>
      <c r="J489" t="b">
        <v>0</v>
      </c>
      <c r="K489" t="n">
        <v>0</v>
      </c>
      <c r="L489" t="inlineStr"/>
      <c r="M489" t="inlineStr"/>
    </row>
    <row r="490">
      <c r="A490" t="inlineStr">
        <is>
          <t>No</t>
        </is>
      </c>
      <c r="B490" t="inlineStr"/>
      <c r="C490" t="inlineStr"/>
      <c r="D490" t="inlineStr"/>
      <c r="E490" t="inlineStr">
        <is>
          <t>Unable to commit for that long due to other obligations</t>
        </is>
      </c>
      <c r="F490" t="inlineStr">
        <is>
          <t>Work Schedule / Time Off</t>
        </is>
      </c>
      <c r="G490" t="inlineStr">
        <is>
          <t>Work Schedule / Time Off; Other Kids / Family at Home</t>
        </is>
      </c>
      <c r="H490" t="inlineStr"/>
      <c r="I490" t="inlineStr">
        <is>
          <t>HXP Can Influence</t>
        </is>
      </c>
      <c r="J490" t="b">
        <v>0</v>
      </c>
      <c r="K490" t="n">
        <v>2</v>
      </c>
      <c r="L490" t="inlineStr"/>
      <c r="M490" t="inlineStr"/>
    </row>
    <row r="491">
      <c r="A491" t="inlineStr">
        <is>
          <t>No</t>
        </is>
      </c>
      <c r="B491" t="inlineStr"/>
      <c r="C491" t="inlineStr"/>
      <c r="D491" t="inlineStr"/>
      <c r="E491" t="inlineStr">
        <is>
          <t>I'd like my child to branch out without me there. I think she'd stuck by my side and not have a full experience that she would without me.</t>
        </is>
      </c>
      <c r="F491" t="inlineStr">
        <is>
          <t>Wants Child to Have Independent Experience</t>
        </is>
      </c>
      <c r="G491" t="inlineStr">
        <is>
          <t>Wants Child to Have Independent Experience</t>
        </is>
      </c>
      <c r="H491" t="inlineStr"/>
      <c r="I491" t="inlineStr">
        <is>
          <t>Family's Own Choice</t>
        </is>
      </c>
      <c r="J491" t="b">
        <v>0</v>
      </c>
      <c r="K491" t="n">
        <v>1</v>
      </c>
      <c r="L491" t="inlineStr"/>
      <c r="M491" t="inlineStr"/>
    </row>
    <row r="492">
      <c r="A492" t="inlineStr">
        <is>
          <t>No</t>
        </is>
      </c>
      <c r="B492" t="inlineStr"/>
      <c r="C492" t="inlineStr"/>
      <c r="D492" t="inlineStr"/>
      <c r="E492" t="inlineStr">
        <is>
          <t>We are very involved with our child's activities at home &amp; school and we want him to have the opportunity to have independent travel, cultural and spiritual experiences ...I know my husband and I would love being Parent Builders :(</t>
        </is>
      </c>
      <c r="F492" t="inlineStr">
        <is>
          <t>Other Kids / Family at Home</t>
        </is>
      </c>
      <c r="G492" t="inlineStr">
        <is>
          <t>Other Kids / Family at Home; Wants Child to Have Independent Experience</t>
        </is>
      </c>
      <c r="H492" t="inlineStr"/>
      <c r="I492" t="inlineStr">
        <is>
          <t>Family's Own Choice</t>
        </is>
      </c>
      <c r="J492" t="b">
        <v>0</v>
      </c>
      <c r="K492" t="n">
        <v>2</v>
      </c>
      <c r="L492" t="inlineStr"/>
      <c r="M492" t="inlineStr"/>
    </row>
    <row r="493">
      <c r="A493" t="inlineStr">
        <is>
          <t>No</t>
        </is>
      </c>
      <c r="B493" t="inlineStr"/>
      <c r="C493" t="inlineStr"/>
      <c r="D493" t="inlineStr"/>
      <c r="E493" t="inlineStr">
        <is>
          <t>Wanted my son to have experience with new friends and not a patent</t>
        </is>
      </c>
      <c r="F493" t="inlineStr">
        <is>
          <t>Wants Child to Have Independent Experience</t>
        </is>
      </c>
      <c r="G493" t="inlineStr">
        <is>
          <t>Wants Child to Have Independent Experience</t>
        </is>
      </c>
      <c r="H493" t="inlineStr"/>
      <c r="I493" t="inlineStr">
        <is>
          <t>Family's Own Choice</t>
        </is>
      </c>
      <c r="J493" t="b">
        <v>0</v>
      </c>
      <c r="K493" t="n">
        <v>1</v>
      </c>
      <c r="L493" t="inlineStr"/>
      <c r="M493" t="inlineStr"/>
    </row>
    <row r="494">
      <c r="A494" t="inlineStr">
        <is>
          <t>No</t>
        </is>
      </c>
      <c r="B494" t="inlineStr"/>
      <c r="C494" t="inlineStr"/>
      <c r="D494" t="inlineStr"/>
      <c r="E494" t="inlineStr">
        <is>
          <t>My husband is going with my son!</t>
        </is>
      </c>
      <c r="F494" t="inlineStr">
        <is>
          <t>Another Family Member Going Instead</t>
        </is>
      </c>
      <c r="G494" t="inlineStr">
        <is>
          <t>Another Family Member Going Instead</t>
        </is>
      </c>
      <c r="H494" t="inlineStr"/>
      <c r="I494" t="inlineStr">
        <is>
          <t>Family's Own Choice</t>
        </is>
      </c>
      <c r="J494" t="b">
        <v>0</v>
      </c>
      <c r="K494" t="n">
        <v>1</v>
      </c>
      <c r="L494" t="inlineStr"/>
      <c r="M494" t="inlineStr"/>
    </row>
    <row r="495">
      <c r="A495" t="inlineStr">
        <is>
          <t>Yes</t>
        </is>
      </c>
      <c r="B495" t="inlineStr">
        <is>
          <t>My child invited me</t>
        </is>
      </c>
      <c r="C495" t="inlineStr">
        <is>
          <t>Child/Spouse Asked Them to Go</t>
        </is>
      </c>
      <c r="D495" t="inlineStr">
        <is>
          <t>Child/Spouse Asked Them to Go</t>
        </is>
      </c>
      <c r="E495" t="inlineStr"/>
      <c r="F495" t="inlineStr"/>
      <c r="G495" t="inlineStr"/>
      <c r="H495" t="inlineStr"/>
      <c r="I495" t="inlineStr"/>
      <c r="J495" t="b">
        <v>0</v>
      </c>
      <c r="K495" t="n">
        <v>0</v>
      </c>
      <c r="L495" t="inlineStr"/>
      <c r="M495" t="inlineStr"/>
    </row>
    <row r="496">
      <c r="A496" t="inlineStr">
        <is>
          <t>No</t>
        </is>
      </c>
      <c r="B496" t="inlineStr"/>
      <c r="C496" t="inlineStr"/>
      <c r="D496" t="inlineStr"/>
      <c r="E496" t="inlineStr"/>
      <c r="F496" t="inlineStr"/>
      <c r="G496" t="inlineStr"/>
      <c r="H496" t="inlineStr"/>
      <c r="I496" t="inlineStr"/>
      <c r="J496" t="b">
        <v>0</v>
      </c>
      <c r="K496" t="n">
        <v>0</v>
      </c>
      <c r="L496" t="inlineStr"/>
      <c r="M496" t="inlineStr"/>
    </row>
    <row r="497">
      <c r="A497" t="inlineStr">
        <is>
          <t>No</t>
        </is>
      </c>
      <c r="B497" t="inlineStr"/>
      <c r="C497" t="inlineStr"/>
      <c r="D497" t="inlineStr"/>
      <c r="E497" t="inlineStr">
        <is>
          <t>Daughter didn't want me to go</t>
        </is>
      </c>
      <c r="F497" t="inlineStr">
        <is>
          <t>Child Didn't Want Parent to Come</t>
        </is>
      </c>
      <c r="G497" t="inlineStr">
        <is>
          <t>Child Didn't Want Parent to Come</t>
        </is>
      </c>
      <c r="H497" t="inlineStr"/>
      <c r="I497" t="inlineStr">
        <is>
          <t>Family's Own Choice</t>
        </is>
      </c>
      <c r="J497" t="b">
        <v>0</v>
      </c>
      <c r="K497" t="n">
        <v>1</v>
      </c>
      <c r="L497" t="inlineStr"/>
      <c r="M497" t="inlineStr"/>
    </row>
    <row r="498">
      <c r="A498" t="inlineStr">
        <is>
          <t>No</t>
        </is>
      </c>
      <c r="B498" t="inlineStr"/>
      <c r="C498" t="inlineStr"/>
      <c r="D498" t="inlineStr"/>
      <c r="E498" t="inlineStr">
        <is>
          <t>My own health and for my husband, the inability to take off that amount of time from work</t>
        </is>
      </c>
      <c r="F498" t="inlineStr">
        <is>
          <t>Work Schedule / Time Off</t>
        </is>
      </c>
      <c r="G498" t="inlineStr">
        <is>
          <t>Work Schedule / Time Off; Health / Physical / Age</t>
        </is>
      </c>
      <c r="H498" t="inlineStr"/>
      <c r="I498" t="inlineStr">
        <is>
          <t>HXP Can Influence</t>
        </is>
      </c>
      <c r="J498" t="b">
        <v>0</v>
      </c>
      <c r="K498" t="n">
        <v>2</v>
      </c>
      <c r="L498" t="inlineStr"/>
      <c r="M498" t="inlineStr"/>
    </row>
    <row r="499">
      <c r="A499" t="inlineStr">
        <is>
          <t>No</t>
        </is>
      </c>
      <c r="B499" t="inlineStr"/>
      <c r="C499" t="inlineStr"/>
      <c r="D499" t="inlineStr"/>
      <c r="E499" t="inlineStr">
        <is>
          <t>I have no extra time</t>
        </is>
      </c>
      <c r="F499" t="inlineStr">
        <is>
          <t>Work Schedule / Time Off</t>
        </is>
      </c>
      <c r="G499" t="inlineStr">
        <is>
          <t>Work Schedule / Time Off</t>
        </is>
      </c>
      <c r="H499" t="inlineStr"/>
      <c r="I499" t="inlineStr">
        <is>
          <t>HXP Can Influence</t>
        </is>
      </c>
      <c r="J499" t="b">
        <v>0</v>
      </c>
      <c r="K499" t="n">
        <v>1</v>
      </c>
      <c r="L499" t="inlineStr"/>
      <c r="M499" t="inlineStr"/>
    </row>
    <row r="500">
      <c r="A500" t="inlineStr">
        <is>
          <t>No</t>
        </is>
      </c>
      <c r="B500" t="inlineStr"/>
      <c r="C500" t="inlineStr"/>
      <c r="D500" t="inlineStr"/>
      <c r="E500" t="inlineStr">
        <is>
          <t>Other children</t>
        </is>
      </c>
      <c r="F500" t="inlineStr">
        <is>
          <t>Other Kids / Family at Home</t>
        </is>
      </c>
      <c r="G500" t="inlineStr">
        <is>
          <t>Other Kids / Family at Home</t>
        </is>
      </c>
      <c r="H500" t="inlineStr"/>
      <c r="I500" t="inlineStr">
        <is>
          <t>Family's Own Choice</t>
        </is>
      </c>
      <c r="J500" t="b">
        <v>0</v>
      </c>
      <c r="K500" t="n">
        <v>1</v>
      </c>
      <c r="L500" t="inlineStr"/>
      <c r="M500" t="inlineStr"/>
    </row>
    <row r="501">
      <c r="A501" t="inlineStr">
        <is>
          <t>No</t>
        </is>
      </c>
      <c r="B501" t="inlineStr"/>
      <c r="C501" t="inlineStr"/>
      <c r="D501" t="inlineStr"/>
      <c r="E501" t="inlineStr">
        <is>
          <t>So my daughter could have her own unique experience</t>
        </is>
      </c>
      <c r="F501" t="inlineStr">
        <is>
          <t>Wants Child to Have Independent Experience</t>
        </is>
      </c>
      <c r="G501" t="inlineStr">
        <is>
          <t>Wants Child to Have Independent Experience</t>
        </is>
      </c>
      <c r="H501" t="inlineStr"/>
      <c r="I501" t="inlineStr">
        <is>
          <t>Family's Own Choice</t>
        </is>
      </c>
      <c r="J501" t="b">
        <v>0</v>
      </c>
      <c r="K501" t="n">
        <v>1</v>
      </c>
      <c r="L501" t="inlineStr"/>
      <c r="M501" t="inlineStr"/>
    </row>
    <row r="502">
      <c r="A502" t="inlineStr">
        <is>
          <t>Yes</t>
        </is>
      </c>
      <c r="B502" t="inlineStr">
        <is>
          <t>Help my 14 year old, bonding experience</t>
        </is>
      </c>
      <c r="C502" t="inlineStr">
        <is>
          <t>Wanted Shared Experience with Child</t>
        </is>
      </c>
      <c r="D502" t="inlineStr">
        <is>
          <t>Wanted Shared Experience with Child</t>
        </is>
      </c>
      <c r="E502" t="inlineStr"/>
      <c r="F502" t="inlineStr"/>
      <c r="G502" t="inlineStr"/>
      <c r="H502" t="inlineStr"/>
      <c r="I502" t="inlineStr"/>
      <c r="J502" t="b">
        <v>0</v>
      </c>
      <c r="K502" t="n">
        <v>0</v>
      </c>
      <c r="L502" t="inlineStr"/>
      <c r="M502" t="inlineStr"/>
    </row>
    <row r="503">
      <c r="A503" t="inlineStr">
        <is>
          <t>No</t>
        </is>
      </c>
      <c r="B503" t="inlineStr"/>
      <c r="C503" t="inlineStr"/>
      <c r="D503" t="inlineStr"/>
      <c r="E503" t="inlineStr">
        <is>
          <t>Money</t>
        </is>
      </c>
      <c r="F503" t="inlineStr">
        <is>
          <t>Cost / Finances</t>
        </is>
      </c>
      <c r="G503" t="inlineStr">
        <is>
          <t>Cost / Finances</t>
        </is>
      </c>
      <c r="H503" t="inlineStr"/>
      <c r="I503" t="inlineStr">
        <is>
          <t>HXP Can Directly Fix</t>
        </is>
      </c>
      <c r="J503" t="b">
        <v>0</v>
      </c>
      <c r="K503" t="n">
        <v>1</v>
      </c>
      <c r="L503" t="inlineStr"/>
      <c r="M503" t="inlineStr"/>
    </row>
    <row r="504">
      <c r="A504" t="inlineStr">
        <is>
          <t>No</t>
        </is>
      </c>
      <c r="B504" t="inlineStr"/>
      <c r="C504" t="inlineStr"/>
      <c r="D504" t="inlineStr"/>
      <c r="E504" t="inlineStr">
        <is>
          <t>Money</t>
        </is>
      </c>
      <c r="F504" t="inlineStr">
        <is>
          <t>Cost / Finances</t>
        </is>
      </c>
      <c r="G504" t="inlineStr">
        <is>
          <t>Cost / Finances</t>
        </is>
      </c>
      <c r="H504" t="inlineStr"/>
      <c r="I504" t="inlineStr">
        <is>
          <t>HXP Can Directly Fix</t>
        </is>
      </c>
      <c r="J504" t="b">
        <v>0</v>
      </c>
      <c r="K504" t="n">
        <v>1</v>
      </c>
      <c r="L504" t="inlineStr"/>
      <c r="M504" t="inlineStr"/>
    </row>
    <row r="505">
      <c r="A505" t="inlineStr">
        <is>
          <t>No</t>
        </is>
      </c>
      <c r="B505" t="inlineStr"/>
      <c r="C505" t="inlineStr"/>
      <c r="D505" t="inlineStr"/>
      <c r="E505" t="inlineStr">
        <is>
          <t>Give my son space to have his own experience</t>
        </is>
      </c>
      <c r="F505" t="inlineStr">
        <is>
          <t>Wants Child to Have Independent Experience</t>
        </is>
      </c>
      <c r="G505" t="inlineStr">
        <is>
          <t>Wants Child to Have Independent Experience</t>
        </is>
      </c>
      <c r="H505" t="inlineStr"/>
      <c r="I505" t="inlineStr">
        <is>
          <t>Family's Own Choice</t>
        </is>
      </c>
      <c r="J505" t="b">
        <v>0</v>
      </c>
      <c r="K505" t="n">
        <v>1</v>
      </c>
      <c r="L505" t="inlineStr"/>
      <c r="M505" t="inlineStr"/>
    </row>
    <row r="506">
      <c r="A506" t="inlineStr">
        <is>
          <t>No</t>
        </is>
      </c>
      <c r="B506" t="inlineStr"/>
      <c r="C506" t="inlineStr"/>
      <c r="D506" t="inlineStr"/>
      <c r="E506" t="inlineStr">
        <is>
          <t>Time and cost</t>
        </is>
      </c>
      <c r="F506" t="inlineStr">
        <is>
          <t>Cost / Finances</t>
        </is>
      </c>
      <c r="G506" t="inlineStr">
        <is>
          <t>Cost / Finances; Work Schedule / Time Off</t>
        </is>
      </c>
      <c r="H506" t="inlineStr"/>
      <c r="I506" t="inlineStr">
        <is>
          <t>HXP Can Directly Fix</t>
        </is>
      </c>
      <c r="J506" t="b">
        <v>0</v>
      </c>
      <c r="K506" t="n">
        <v>2</v>
      </c>
      <c r="L506" t="inlineStr"/>
      <c r="M506" t="inlineStr"/>
    </row>
    <row r="507">
      <c r="A507" t="inlineStr">
        <is>
          <t>No</t>
        </is>
      </c>
      <c r="B507" t="inlineStr"/>
      <c r="C507" t="inlineStr"/>
      <c r="D507" t="inlineStr"/>
      <c r="E507" t="inlineStr">
        <is>
          <t>Other children at home</t>
        </is>
      </c>
      <c r="F507" t="inlineStr">
        <is>
          <t>Other Kids / Family at Home</t>
        </is>
      </c>
      <c r="G507" t="inlineStr">
        <is>
          <t>Other Kids / Family at Home</t>
        </is>
      </c>
      <c r="H507" t="inlineStr"/>
      <c r="I507" t="inlineStr">
        <is>
          <t>Family's Own Choice</t>
        </is>
      </c>
      <c r="J507" t="b">
        <v>0</v>
      </c>
      <c r="K507" t="n">
        <v>1</v>
      </c>
      <c r="L507" t="inlineStr"/>
      <c r="M507" t="inlineStr"/>
    </row>
    <row r="508">
      <c r="A508" t="inlineStr">
        <is>
          <t>Yes</t>
        </is>
      </c>
      <c r="B508" t="inlineStr">
        <is>
          <t>My daughter</t>
        </is>
      </c>
      <c r="C508" t="inlineStr">
        <is>
          <t>Family Member Was the Reason (No Elaboration)</t>
        </is>
      </c>
      <c r="D508" t="inlineStr">
        <is>
          <t>Family Member Was the Reason (No Elaboration)</t>
        </is>
      </c>
      <c r="E508" t="inlineStr"/>
      <c r="F508" t="inlineStr"/>
      <c r="G508" t="inlineStr"/>
      <c r="H508" t="inlineStr"/>
      <c r="I508" t="inlineStr"/>
      <c r="J508" t="b">
        <v>0</v>
      </c>
      <c r="K508" t="n">
        <v>0</v>
      </c>
      <c r="L508" t="inlineStr"/>
      <c r="M508" t="inlineStr"/>
    </row>
    <row r="509">
      <c r="A509" t="inlineStr">
        <is>
          <t>No</t>
        </is>
      </c>
      <c r="B509" t="inlineStr"/>
      <c r="C509" t="inlineStr"/>
      <c r="D509" t="inlineStr"/>
      <c r="E509" t="inlineStr">
        <is>
          <t>I have 5 kids and two of them are younger than Kindergarten</t>
        </is>
      </c>
      <c r="F509" t="inlineStr">
        <is>
          <t>Other Kids / Family at Home</t>
        </is>
      </c>
      <c r="G509" t="inlineStr">
        <is>
          <t>Other Kids / Family at Home</t>
        </is>
      </c>
      <c r="H509" t="inlineStr"/>
      <c r="I509" t="inlineStr">
        <is>
          <t>Family's Own Choice</t>
        </is>
      </c>
      <c r="J509" t="b">
        <v>0</v>
      </c>
      <c r="K509" t="n">
        <v>1</v>
      </c>
      <c r="L509" t="inlineStr"/>
      <c r="M509" t="inlineStr"/>
    </row>
    <row r="510">
      <c r="A510" t="inlineStr">
        <is>
          <t>No</t>
        </is>
      </c>
      <c r="B510" t="inlineStr"/>
      <c r="C510" t="inlineStr"/>
      <c r="D510" t="inlineStr"/>
      <c r="E510" t="inlineStr"/>
      <c r="F510" t="inlineStr"/>
      <c r="G510" t="inlineStr"/>
      <c r="H510" t="inlineStr"/>
      <c r="I510" t="inlineStr"/>
      <c r="J510" t="b">
        <v>0</v>
      </c>
      <c r="K510" t="n">
        <v>0</v>
      </c>
      <c r="L510" t="inlineStr"/>
      <c r="M510" t="inlineStr"/>
    </row>
    <row r="511">
      <c r="A511" t="inlineStr">
        <is>
          <t>No</t>
        </is>
      </c>
      <c r="B511" t="inlineStr"/>
      <c r="C511" t="inlineStr"/>
      <c r="D511" t="inlineStr"/>
      <c r="E511" t="inlineStr">
        <is>
          <t>Timing- otherwise I'd love to go - wanted my child to have their own experience independent from me</t>
        </is>
      </c>
      <c r="F511" t="inlineStr">
        <is>
          <t>Work Schedule / Time Off</t>
        </is>
      </c>
      <c r="G511" t="inlineStr">
        <is>
          <t>Work Schedule / Time Off; Wants Child to Have Independent Experience</t>
        </is>
      </c>
      <c r="H511" t="inlineStr"/>
      <c r="I511" t="inlineStr">
        <is>
          <t>HXP Can Influence</t>
        </is>
      </c>
      <c r="J511" t="b">
        <v>0</v>
      </c>
      <c r="K511" t="n">
        <v>2</v>
      </c>
      <c r="L511" t="inlineStr"/>
      <c r="M511" t="inlineStr"/>
    </row>
    <row r="512">
      <c r="A512" t="inlineStr">
        <is>
          <t>No</t>
        </is>
      </c>
      <c r="B512" t="inlineStr"/>
      <c r="C512" t="inlineStr"/>
      <c r="D512" t="inlineStr"/>
      <c r="E512" t="inlineStr">
        <is>
          <t>I couldn't be away from work for that long and my child didn't care if I was there or not.</t>
        </is>
      </c>
      <c r="F512" t="inlineStr">
        <is>
          <t>Work Schedule / Time Off</t>
        </is>
      </c>
      <c r="G512" t="inlineStr">
        <is>
          <t>Work Schedule / Time Off; Other Kids / Family at Home</t>
        </is>
      </c>
      <c r="H512" t="inlineStr"/>
      <c r="I512" t="inlineStr">
        <is>
          <t>HXP Can Influence</t>
        </is>
      </c>
      <c r="J512" t="b">
        <v>0</v>
      </c>
      <c r="K512" t="n">
        <v>2</v>
      </c>
      <c r="L512" t="inlineStr"/>
      <c r="M512" t="inlineStr"/>
    </row>
    <row r="513">
      <c r="A513" t="inlineStr">
        <is>
          <t>No</t>
        </is>
      </c>
      <c r="B513" t="inlineStr"/>
      <c r="C513" t="inlineStr"/>
      <c r="D513" t="inlineStr"/>
      <c r="E513" t="inlineStr">
        <is>
          <t>We think our son will have a better experience with out us there</t>
        </is>
      </c>
      <c r="F513" t="inlineStr">
        <is>
          <t>Wants Child to Have Independent Experience</t>
        </is>
      </c>
      <c r="G513" t="inlineStr">
        <is>
          <t>Wants Child to Have Independent Experience</t>
        </is>
      </c>
      <c r="H513" t="inlineStr"/>
      <c r="I513" t="inlineStr">
        <is>
          <t>Family's Own Choice</t>
        </is>
      </c>
      <c r="J513" t="b">
        <v>0</v>
      </c>
      <c r="K513" t="n">
        <v>1</v>
      </c>
      <c r="L513" t="inlineStr"/>
      <c r="M513" t="inlineStr"/>
    </row>
    <row r="514">
      <c r="A514" t="inlineStr">
        <is>
          <t>No</t>
        </is>
      </c>
      <c r="B514" t="inlineStr"/>
      <c r="C514" t="inlineStr"/>
      <c r="D514" t="inlineStr"/>
      <c r="E514" t="inlineStr"/>
      <c r="F514" t="inlineStr"/>
      <c r="G514" t="inlineStr"/>
      <c r="H514" t="inlineStr"/>
      <c r="I514" t="inlineStr"/>
      <c r="J514" t="b">
        <v>0</v>
      </c>
      <c r="K514" t="n">
        <v>0</v>
      </c>
      <c r="L514" t="inlineStr"/>
      <c r="M514" t="inlineStr"/>
    </row>
    <row r="515">
      <c r="A515" t="inlineStr">
        <is>
          <t>No</t>
        </is>
      </c>
      <c r="B515" t="inlineStr"/>
      <c r="C515" t="inlineStr"/>
      <c r="D515" t="inlineStr"/>
      <c r="E515" t="inlineStr"/>
      <c r="F515" t="inlineStr"/>
      <c r="G515" t="inlineStr"/>
      <c r="H515" t="inlineStr"/>
      <c r="I515" t="inlineStr"/>
      <c r="J515" t="b">
        <v>0</v>
      </c>
      <c r="K515" t="n">
        <v>0</v>
      </c>
      <c r="L515" t="inlineStr"/>
      <c r="M515" t="inlineStr"/>
    </row>
    <row r="516">
      <c r="A516" t="inlineStr">
        <is>
          <t>No</t>
        </is>
      </c>
      <c r="B516" t="inlineStr"/>
      <c r="C516" t="inlineStr"/>
      <c r="D516" t="inlineStr"/>
      <c r="E516" t="inlineStr">
        <is>
          <t>My daughter didn't care if I went; hard to take off work for 3 weeks.</t>
        </is>
      </c>
      <c r="F516" t="inlineStr">
        <is>
          <t>Work Schedule / Time Off</t>
        </is>
      </c>
      <c r="G516" t="inlineStr">
        <is>
          <t>Work Schedule / Time Off</t>
        </is>
      </c>
      <c r="H516" t="inlineStr"/>
      <c r="I516" t="inlineStr">
        <is>
          <t>HXP Can Influence</t>
        </is>
      </c>
      <c r="J516" t="b">
        <v>0</v>
      </c>
      <c r="K516" t="n">
        <v>1</v>
      </c>
      <c r="L516" t="inlineStr"/>
      <c r="M516" t="inlineStr"/>
    </row>
    <row r="517">
      <c r="A517" t="inlineStr">
        <is>
          <t>No</t>
        </is>
      </c>
      <c r="B517" t="inlineStr"/>
      <c r="C517" t="inlineStr"/>
      <c r="D517" t="inlineStr"/>
      <c r="E517" t="inlineStr">
        <is>
          <t>Because of other travel plans, I would've been out of town for longer than a month, which I'm not able to do.</t>
        </is>
      </c>
      <c r="F517" t="inlineStr">
        <is>
          <t>Other Life Commitment</t>
        </is>
      </c>
      <c r="G517" t="inlineStr">
        <is>
          <t>Other Life Commitment</t>
        </is>
      </c>
      <c r="H517" t="inlineStr"/>
      <c r="I517" t="inlineStr">
        <is>
          <t>Family's Own Choice</t>
        </is>
      </c>
      <c r="J517" t="b">
        <v>0</v>
      </c>
      <c r="K517" t="n">
        <v>1</v>
      </c>
      <c r="L517" t="inlineStr"/>
      <c r="M517" t="inlineStr"/>
    </row>
    <row r="518">
      <c r="A518" t="inlineStr">
        <is>
          <t>No</t>
        </is>
      </c>
      <c r="B518" t="inlineStr"/>
      <c r="C518" t="inlineStr"/>
      <c r="D518" t="inlineStr"/>
      <c r="E518" t="inlineStr">
        <is>
          <t>Kids at home</t>
        </is>
      </c>
      <c r="F518" t="inlineStr">
        <is>
          <t>Other Kids / Family at Home</t>
        </is>
      </c>
      <c r="G518" t="inlineStr">
        <is>
          <t>Other Kids / Family at Home</t>
        </is>
      </c>
      <c r="H518" t="inlineStr"/>
      <c r="I518" t="inlineStr">
        <is>
          <t>Family's Own Choice</t>
        </is>
      </c>
      <c r="J518" t="b">
        <v>0</v>
      </c>
      <c r="K518" t="n">
        <v>1</v>
      </c>
      <c r="L518" t="inlineStr"/>
      <c r="M518" t="inlineStr"/>
    </row>
    <row r="519">
      <c r="A519" t="inlineStr">
        <is>
          <t>No</t>
        </is>
      </c>
      <c r="B519" t="inlineStr"/>
      <c r="C519" t="inlineStr"/>
      <c r="D519" t="inlineStr"/>
      <c r="E519" t="inlineStr">
        <is>
          <t>My child didn't want me along</t>
        </is>
      </c>
      <c r="F519" t="inlineStr">
        <is>
          <t>Child Didn't Want Parent to Come</t>
        </is>
      </c>
      <c r="G519" t="inlineStr">
        <is>
          <t>Child Didn't Want Parent to Come</t>
        </is>
      </c>
      <c r="H519" t="inlineStr"/>
      <c r="I519" t="inlineStr">
        <is>
          <t>Family's Own Choice</t>
        </is>
      </c>
      <c r="J519" t="b">
        <v>0</v>
      </c>
      <c r="K519" t="n">
        <v>1</v>
      </c>
      <c r="L519" t="inlineStr"/>
      <c r="M519" t="inlineStr"/>
    </row>
    <row r="520">
      <c r="A520" t="inlineStr">
        <is>
          <t>No</t>
        </is>
      </c>
      <c r="B520" t="inlineStr"/>
      <c r="C520" t="inlineStr"/>
      <c r="D520" t="inlineStr"/>
      <c r="E520" t="inlineStr">
        <is>
          <t>Past Experiences</t>
        </is>
      </c>
      <c r="F520" t="inlineStr">
        <is>
          <t>Other / Uncategorized</t>
        </is>
      </c>
      <c r="G520" t="inlineStr"/>
      <c r="H520" t="inlineStr"/>
      <c r="I520" t="inlineStr">
        <is>
          <t>Unknown</t>
        </is>
      </c>
      <c r="J520" t="b">
        <v>0</v>
      </c>
      <c r="K520" t="n">
        <v>0</v>
      </c>
      <c r="L520" t="inlineStr"/>
      <c r="M520" t="inlineStr"/>
    </row>
    <row r="521">
      <c r="A521" t="inlineStr">
        <is>
          <t>No</t>
        </is>
      </c>
      <c r="B521" t="inlineStr"/>
      <c r="C521" t="inlineStr"/>
      <c r="D521" t="inlineStr"/>
      <c r="E521" t="inlineStr">
        <is>
          <t>This summer, I'm unable to with my younger son at home. I would love to go along with him in the future when he goes, though!</t>
        </is>
      </c>
      <c r="F521" t="inlineStr">
        <is>
          <t>Other Kids / Family at Home</t>
        </is>
      </c>
      <c r="G521" t="inlineStr">
        <is>
          <t>Other Kids / Family at Home</t>
        </is>
      </c>
      <c r="H521" t="inlineStr"/>
      <c r="I521" t="inlineStr">
        <is>
          <t>Family's Own Choice</t>
        </is>
      </c>
      <c r="J521" t="b">
        <v>1</v>
      </c>
      <c r="K521" t="n">
        <v>1</v>
      </c>
      <c r="L521" t="inlineStr"/>
      <c r="M521" t="inlineStr"/>
    </row>
    <row r="522">
      <c r="A522" t="inlineStr">
        <is>
          <t>No</t>
        </is>
      </c>
      <c r="B522" t="inlineStr"/>
      <c r="C522" t="inlineStr"/>
      <c r="D522" t="inlineStr"/>
      <c r="E522" t="inlineStr">
        <is>
          <t>Time and wanting my bullder to have their own experience</t>
        </is>
      </c>
      <c r="F522" t="inlineStr">
        <is>
          <t>Work Schedule / Time Off</t>
        </is>
      </c>
      <c r="G522" t="inlineStr">
        <is>
          <t>Work Schedule / Time Off; Wants Child to Have Independent Experience</t>
        </is>
      </c>
      <c r="H522" t="inlineStr"/>
      <c r="I522" t="inlineStr">
        <is>
          <t>HXP Can Influence</t>
        </is>
      </c>
      <c r="J522" t="b">
        <v>0</v>
      </c>
      <c r="K522" t="n">
        <v>2</v>
      </c>
      <c r="L522" t="inlineStr"/>
      <c r="M522" t="inlineStr"/>
    </row>
    <row r="523">
      <c r="A523" t="inlineStr">
        <is>
          <t>No</t>
        </is>
      </c>
      <c r="B523" t="inlineStr"/>
      <c r="C523" t="inlineStr"/>
      <c r="D523" t="inlineStr"/>
      <c r="E523" t="inlineStr">
        <is>
          <t>Wanted daughter to have a solo experience</t>
        </is>
      </c>
      <c r="F523" t="inlineStr">
        <is>
          <t>Wants Child to Have Independent Experience</t>
        </is>
      </c>
      <c r="G523" t="inlineStr">
        <is>
          <t>Wants Child to Have Independent Experience</t>
        </is>
      </c>
      <c r="H523" t="inlineStr"/>
      <c r="I523" t="inlineStr">
        <is>
          <t>Family's Own Choice</t>
        </is>
      </c>
      <c r="J523" t="b">
        <v>0</v>
      </c>
      <c r="K523" t="n">
        <v>1</v>
      </c>
      <c r="L523" t="inlineStr"/>
      <c r="M523" t="inlineStr"/>
    </row>
    <row r="524">
      <c r="A524" t="inlineStr">
        <is>
          <t>No</t>
        </is>
      </c>
      <c r="B524" t="inlineStr"/>
      <c r="C524" t="inlineStr"/>
      <c r="D524" t="inlineStr"/>
      <c r="E524" t="inlineStr">
        <is>
          <t>Wanted him to grow</t>
        </is>
      </c>
      <c r="F524" t="inlineStr">
        <is>
          <t>Wants Child to Have Independent Experience</t>
        </is>
      </c>
      <c r="G524" t="inlineStr">
        <is>
          <t>Wants Child to Have Independent Experience</t>
        </is>
      </c>
      <c r="H524" t="inlineStr"/>
      <c r="I524" t="inlineStr">
        <is>
          <t>Family's Own Choice</t>
        </is>
      </c>
      <c r="J524" t="b">
        <v>0</v>
      </c>
      <c r="K524" t="n">
        <v>1</v>
      </c>
      <c r="L524" t="inlineStr"/>
      <c r="M524" t="inlineStr"/>
    </row>
    <row r="525">
      <c r="A525" t="inlineStr">
        <is>
          <t>No</t>
        </is>
      </c>
      <c r="B525" t="inlineStr"/>
      <c r="C525" t="inlineStr"/>
      <c r="D525" t="inlineStr"/>
      <c r="E525" t="inlineStr">
        <is>
          <t>It was full.</t>
        </is>
      </c>
      <c r="F525" t="inlineStr">
        <is>
          <t>Trip / Spot Was Already Full</t>
        </is>
      </c>
      <c r="G525" t="inlineStr">
        <is>
          <t>Trip / Spot Was Already Full</t>
        </is>
      </c>
      <c r="H525" t="inlineStr"/>
      <c r="I525" t="inlineStr">
        <is>
          <t>HXP Can Directly Fix</t>
        </is>
      </c>
      <c r="J525" t="b">
        <v>0</v>
      </c>
      <c r="K525" t="n">
        <v>1</v>
      </c>
      <c r="L525" t="inlineStr"/>
      <c r="M525" t="inlineStr"/>
    </row>
    <row r="526">
      <c r="A526" t="inlineStr">
        <is>
          <t>No</t>
        </is>
      </c>
      <c r="B526" t="inlineStr"/>
      <c r="C526" t="inlineStr"/>
      <c r="D526" t="inlineStr"/>
      <c r="E526" t="inlineStr">
        <is>
          <t>My husband served his mission in Ecuador, and speaks Spanish fluently so it would make sense for him to be the one to go. But our son would have hung out with him most of the time rather than having to put himself out there and get to know people. It would have changed his dynamic and we wanted him to have the experience on his own. It's also a long time to be gone from work and other kids.</t>
        </is>
      </c>
      <c r="F526" t="inlineStr">
        <is>
          <t>Work Schedule / Time Off</t>
        </is>
      </c>
      <c r="G526" t="inlineStr">
        <is>
          <t>Work Schedule / Time Off; Other Kids / Family at Home; Wants Child to Have Independent Experience; Other Life Commitment</t>
        </is>
      </c>
      <c r="H526" t="inlineStr"/>
      <c r="I526" t="inlineStr">
        <is>
          <t>HXP Can Influence</t>
        </is>
      </c>
      <c r="J526" t="b">
        <v>0</v>
      </c>
      <c r="K526" t="n">
        <v>4</v>
      </c>
      <c r="L526" t="inlineStr"/>
      <c r="M526" t="inlineStr"/>
    </row>
    <row r="527">
      <c r="A527" t="inlineStr">
        <is>
          <t>Yes</t>
        </is>
      </c>
      <c r="B527" t="inlineStr">
        <is>
          <t>Having gone on a previous trip</t>
        </is>
      </c>
      <c r="C527" t="inlineStr">
        <is>
          <t>Previous Positive Experience</t>
        </is>
      </c>
      <c r="D527" t="inlineStr">
        <is>
          <t>Previous Positive Experience</t>
        </is>
      </c>
      <c r="E527" t="inlineStr"/>
      <c r="F527" t="inlineStr"/>
      <c r="G527" t="inlineStr"/>
      <c r="H527" t="inlineStr"/>
      <c r="I527" t="inlineStr"/>
      <c r="J527" t="b">
        <v>0</v>
      </c>
      <c r="K527" t="n">
        <v>0</v>
      </c>
      <c r="L527" t="inlineStr"/>
      <c r="M527" t="inlineStr"/>
    </row>
    <row r="528">
      <c r="A528" t="inlineStr">
        <is>
          <t>No</t>
        </is>
      </c>
      <c r="B528" t="inlineStr"/>
      <c r="C528" t="inlineStr"/>
      <c r="D528" t="inlineStr"/>
      <c r="E528" t="inlineStr">
        <is>
          <t>Wanted to give my son space to have his own experience</t>
        </is>
      </c>
      <c r="F528" t="inlineStr">
        <is>
          <t>Wants Child to Have Independent Experience</t>
        </is>
      </c>
      <c r="G528" t="inlineStr">
        <is>
          <t>Wants Child to Have Independent Experience</t>
        </is>
      </c>
      <c r="H528" t="inlineStr"/>
      <c r="I528" t="inlineStr">
        <is>
          <t>Family's Own Choice</t>
        </is>
      </c>
      <c r="J528" t="b">
        <v>0</v>
      </c>
      <c r="K528" t="n">
        <v>1</v>
      </c>
      <c r="L528" t="inlineStr"/>
      <c r="M528" t="inlineStr"/>
    </row>
    <row r="529">
      <c r="A529" t="inlineStr">
        <is>
          <t>No</t>
        </is>
      </c>
      <c r="B529" t="inlineStr"/>
      <c r="C529" t="inlineStr"/>
      <c r="D529" t="inlineStr"/>
      <c r="E529" t="inlineStr"/>
      <c r="F529" t="inlineStr"/>
      <c r="G529" t="inlineStr"/>
      <c r="H529" t="inlineStr"/>
      <c r="I529" t="inlineStr"/>
      <c r="J529" t="b">
        <v>0</v>
      </c>
      <c r="K529" t="n">
        <v>0</v>
      </c>
      <c r="L529" t="inlineStr"/>
      <c r="M529" t="inlineStr"/>
    </row>
    <row r="530">
      <c r="A530" t="inlineStr">
        <is>
          <t>No</t>
        </is>
      </c>
      <c r="B530" t="inlineStr"/>
      <c r="C530" t="inlineStr"/>
      <c r="D530" t="inlineStr"/>
      <c r="E530" t="inlineStr">
        <is>
          <t>practicality of leaving my family for 3 weeks</t>
        </is>
      </c>
      <c r="F530" t="inlineStr">
        <is>
          <t>Other Kids / Family at Home</t>
        </is>
      </c>
      <c r="G530" t="inlineStr">
        <is>
          <t>Other Kids / Family at Home</t>
        </is>
      </c>
      <c r="H530" t="inlineStr"/>
      <c r="I530" t="inlineStr">
        <is>
          <t>Family's Own Choice</t>
        </is>
      </c>
      <c r="J530" t="b">
        <v>0</v>
      </c>
      <c r="K530" t="n">
        <v>1</v>
      </c>
      <c r="L530" t="inlineStr"/>
      <c r="M530" t="inlineStr"/>
    </row>
    <row r="531">
      <c r="A531" t="inlineStr">
        <is>
          <t>No</t>
        </is>
      </c>
      <c r="B531" t="inlineStr"/>
      <c r="C531" t="inlineStr"/>
      <c r="D531" t="inlineStr"/>
      <c r="E531" t="inlineStr">
        <is>
          <t>Let our child have his own experience</t>
        </is>
      </c>
      <c r="F531" t="inlineStr">
        <is>
          <t>Wants Child to Have Independent Experience</t>
        </is>
      </c>
      <c r="G531" t="inlineStr">
        <is>
          <t>Wants Child to Have Independent Experience</t>
        </is>
      </c>
      <c r="H531" t="inlineStr"/>
      <c r="I531" t="inlineStr">
        <is>
          <t>Family's Own Choice</t>
        </is>
      </c>
      <c r="J531" t="b">
        <v>0</v>
      </c>
      <c r="K531" t="n">
        <v>1</v>
      </c>
      <c r="L531" t="inlineStr"/>
      <c r="M531" t="inlineStr"/>
    </row>
    <row r="532">
      <c r="A532" t="inlineStr">
        <is>
          <t>No</t>
        </is>
      </c>
      <c r="B532" t="inlineStr"/>
      <c r="C532" t="inlineStr"/>
      <c r="D532" t="inlineStr"/>
      <c r="E532" t="inlineStr">
        <is>
          <t>Other Extended Family went last year</t>
        </is>
      </c>
      <c r="F532" t="inlineStr">
        <is>
          <t>Another Family Member Going Instead</t>
        </is>
      </c>
      <c r="G532" t="inlineStr">
        <is>
          <t>Another Family Member Going Instead</t>
        </is>
      </c>
      <c r="H532" t="inlineStr"/>
      <c r="I532" t="inlineStr">
        <is>
          <t>Family's Own Choice</t>
        </is>
      </c>
      <c r="J532" t="b">
        <v>0</v>
      </c>
      <c r="K532" t="n">
        <v>1</v>
      </c>
      <c r="L532" t="inlineStr"/>
      <c r="M532" t="inlineStr"/>
    </row>
    <row r="533">
      <c r="A533" t="inlineStr">
        <is>
          <t>No</t>
        </is>
      </c>
      <c r="B533" t="inlineStr"/>
      <c r="C533" t="inlineStr"/>
      <c r="D533" t="inlineStr"/>
      <c r="E533" t="inlineStr">
        <is>
          <t>Just time commitments.</t>
        </is>
      </c>
      <c r="F533" t="inlineStr">
        <is>
          <t>Work Schedule / Time Off</t>
        </is>
      </c>
      <c r="G533" t="inlineStr">
        <is>
          <t>Work Schedule / Time Off</t>
        </is>
      </c>
      <c r="H533" t="inlineStr"/>
      <c r="I533" t="inlineStr">
        <is>
          <t>HXP Can Influence</t>
        </is>
      </c>
      <c r="J533" t="b">
        <v>0</v>
      </c>
      <c r="K533" t="n">
        <v>1</v>
      </c>
      <c r="L533" t="inlineStr"/>
      <c r="M533" t="inlineStr"/>
    </row>
    <row r="534">
      <c r="A534" t="inlineStr">
        <is>
          <t>No</t>
        </is>
      </c>
      <c r="B534" t="inlineStr"/>
      <c r="C534" t="inlineStr"/>
      <c r="D534" t="inlineStr"/>
      <c r="E534" t="inlineStr">
        <is>
          <t>I am a trip leader for a different experience with my daughter this summer</t>
        </is>
      </c>
      <c r="F534" t="inlineStr">
        <is>
          <t>Wants Child to Have Independent Experience</t>
        </is>
      </c>
      <c r="G534" t="inlineStr">
        <is>
          <t>Wants Child to Have Independent Experience; Other Life Commitment</t>
        </is>
      </c>
      <c r="H534" t="inlineStr"/>
      <c r="I534" t="inlineStr">
        <is>
          <t>Family's Own Choice</t>
        </is>
      </c>
      <c r="J534" t="b">
        <v>0</v>
      </c>
      <c r="K534" t="n">
        <v>2</v>
      </c>
      <c r="L534" t="inlineStr"/>
      <c r="M534" t="inlineStr"/>
    </row>
    <row r="535">
      <c r="A535" t="inlineStr">
        <is>
          <t>No</t>
        </is>
      </c>
      <c r="B535" t="inlineStr"/>
      <c r="C535" t="inlineStr"/>
      <c r="D535" t="inlineStr"/>
      <c r="E535" t="inlineStr">
        <is>
          <t>Cost</t>
        </is>
      </c>
      <c r="F535" t="inlineStr">
        <is>
          <t>Cost / Finances</t>
        </is>
      </c>
      <c r="G535" t="inlineStr">
        <is>
          <t>Cost / Finances</t>
        </is>
      </c>
      <c r="H535" t="inlineStr"/>
      <c r="I535" t="inlineStr">
        <is>
          <t>HXP Can Directly Fix</t>
        </is>
      </c>
      <c r="J535" t="b">
        <v>0</v>
      </c>
      <c r="K535" t="n">
        <v>1</v>
      </c>
      <c r="L535" t="inlineStr"/>
      <c r="M535" t="inlineStr"/>
    </row>
    <row r="536">
      <c r="A536" t="inlineStr">
        <is>
          <t>No</t>
        </is>
      </c>
      <c r="B536" t="inlineStr"/>
      <c r="C536" t="inlineStr"/>
      <c r="D536" t="inlineStr"/>
      <c r="E536" t="inlineStr">
        <is>
          <t>other younger children</t>
        </is>
      </c>
      <c r="F536" t="inlineStr">
        <is>
          <t>Other Kids / Family at Home</t>
        </is>
      </c>
      <c r="G536" t="inlineStr">
        <is>
          <t>Other Kids / Family at Home</t>
        </is>
      </c>
      <c r="H536" t="inlineStr"/>
      <c r="I536" t="inlineStr">
        <is>
          <t>Family's Own Choice</t>
        </is>
      </c>
      <c r="J536" t="b">
        <v>0</v>
      </c>
      <c r="K536" t="n">
        <v>1</v>
      </c>
      <c r="L536" t="inlineStr"/>
      <c r="M536" t="inlineStr"/>
    </row>
    <row r="537">
      <c r="A537" t="inlineStr">
        <is>
          <t>No</t>
        </is>
      </c>
      <c r="B537" t="inlineStr"/>
      <c r="C537" t="inlineStr"/>
      <c r="D537" t="inlineStr"/>
      <c r="E537" t="inlineStr"/>
      <c r="F537" t="inlineStr"/>
      <c r="G537" t="inlineStr"/>
      <c r="H537" t="inlineStr"/>
      <c r="I537" t="inlineStr"/>
      <c r="J537" t="b">
        <v>0</v>
      </c>
      <c r="K537" t="n">
        <v>0</v>
      </c>
      <c r="L537" t="inlineStr"/>
      <c r="M537" t="inlineStr"/>
    </row>
    <row r="538">
      <c r="A538" t="inlineStr">
        <is>
          <t>No</t>
        </is>
      </c>
      <c r="B538" t="inlineStr"/>
      <c r="C538" t="inlineStr"/>
      <c r="D538" t="inlineStr"/>
      <c r="E538" t="inlineStr">
        <is>
          <t>My daughter wanted to go alone.</t>
        </is>
      </c>
      <c r="F538" t="inlineStr">
        <is>
          <t>Wants Child to Have Independent Experience</t>
        </is>
      </c>
      <c r="G538" t="inlineStr">
        <is>
          <t>Wants Child to Have Independent Experience</t>
        </is>
      </c>
      <c r="H538" t="inlineStr"/>
      <c r="I538" t="inlineStr">
        <is>
          <t>Family's Own Choice</t>
        </is>
      </c>
      <c r="J538" t="b">
        <v>0</v>
      </c>
      <c r="K538" t="n">
        <v>1</v>
      </c>
      <c r="L538" t="inlineStr"/>
      <c r="M538" t="inlineStr"/>
    </row>
    <row r="539">
      <c r="A539" t="inlineStr">
        <is>
          <t>No</t>
        </is>
      </c>
      <c r="B539" t="inlineStr"/>
      <c r="C539" t="inlineStr"/>
      <c r="D539" t="inlineStr"/>
      <c r="E539" t="inlineStr">
        <is>
          <t>I have younger children</t>
        </is>
      </c>
      <c r="F539" t="inlineStr">
        <is>
          <t>Other Kids / Family at Home</t>
        </is>
      </c>
      <c r="G539" t="inlineStr">
        <is>
          <t>Other Kids / Family at Home</t>
        </is>
      </c>
      <c r="H539" t="inlineStr"/>
      <c r="I539" t="inlineStr">
        <is>
          <t>Family's Own Choice</t>
        </is>
      </c>
      <c r="J539" t="b">
        <v>0</v>
      </c>
      <c r="K539" t="n">
        <v>1</v>
      </c>
      <c r="L539" t="inlineStr"/>
      <c r="M539" t="inlineStr"/>
    </row>
    <row r="540">
      <c r="A540" t="inlineStr">
        <is>
          <t>Yes</t>
        </is>
      </c>
      <c r="B540" t="inlineStr">
        <is>
          <t>time with my daughter, doing something for others</t>
        </is>
      </c>
      <c r="C540" t="inlineStr">
        <is>
          <t>Wanted Shared Experience with Child</t>
        </is>
      </c>
      <c r="D540" t="inlineStr">
        <is>
          <t>Wanted Shared Experience with Child</t>
        </is>
      </c>
      <c r="E540" t="inlineStr"/>
      <c r="F540" t="inlineStr"/>
      <c r="G540" t="inlineStr"/>
      <c r="H540" t="inlineStr"/>
      <c r="I540" t="inlineStr"/>
      <c r="J540" t="b">
        <v>0</v>
      </c>
      <c r="K540" t="n">
        <v>0</v>
      </c>
      <c r="L540" t="inlineStr"/>
      <c r="M540" t="inlineStr"/>
    </row>
    <row r="541">
      <c r="A541" t="inlineStr">
        <is>
          <t>No</t>
        </is>
      </c>
      <c r="B541" t="inlineStr"/>
      <c r="C541" t="inlineStr"/>
      <c r="D541" t="inlineStr"/>
      <c r="E541" t="inlineStr">
        <is>
          <t>My son wants to have an experience on his own.</t>
        </is>
      </c>
      <c r="F541" t="inlineStr">
        <is>
          <t>Wants Child to Have Independent Experience</t>
        </is>
      </c>
      <c r="G541" t="inlineStr">
        <is>
          <t>Wants Child to Have Independent Experience</t>
        </is>
      </c>
      <c r="H541" t="inlineStr"/>
      <c r="I541" t="inlineStr">
        <is>
          <t>Family's Own Choice</t>
        </is>
      </c>
      <c r="J541" t="b">
        <v>0</v>
      </c>
      <c r="K541" t="n">
        <v>1</v>
      </c>
      <c r="L541" t="inlineStr"/>
      <c r="M541" t="inlineStr"/>
    </row>
    <row r="542">
      <c r="A542" t="inlineStr">
        <is>
          <t>No</t>
        </is>
      </c>
      <c r="B542" t="inlineStr"/>
      <c r="C542" t="inlineStr"/>
      <c r="D542" t="inlineStr"/>
      <c r="E542" t="inlineStr">
        <is>
          <t>my daughter wanted to do this independently</t>
        </is>
      </c>
      <c r="F542" t="inlineStr">
        <is>
          <t>Wants Child to Have Independent Experience</t>
        </is>
      </c>
      <c r="G542" t="inlineStr">
        <is>
          <t>Wants Child to Have Independent Experience</t>
        </is>
      </c>
      <c r="H542" t="inlineStr"/>
      <c r="I542" t="inlineStr">
        <is>
          <t>Family's Own Choice</t>
        </is>
      </c>
      <c r="J542" t="b">
        <v>0</v>
      </c>
      <c r="K542" t="n">
        <v>1</v>
      </c>
      <c r="L542" t="inlineStr"/>
      <c r="M542" t="inlineStr"/>
    </row>
    <row r="543">
      <c r="A543" t="inlineStr">
        <is>
          <t>Maybe</t>
        </is>
      </c>
      <c r="B543" t="inlineStr"/>
      <c r="C543" t="inlineStr"/>
      <c r="D543" t="inlineStr"/>
      <c r="E543" t="inlineStr"/>
      <c r="F543" t="inlineStr"/>
      <c r="G543" t="inlineStr"/>
      <c r="H543" t="inlineStr">
        <is>
          <t>Free time</t>
        </is>
      </c>
      <c r="I543" t="inlineStr"/>
      <c r="J543" t="b">
        <v>0</v>
      </c>
      <c r="K543" t="n">
        <v>0</v>
      </c>
      <c r="L543" t="inlineStr">
        <is>
          <t>Time / Scheduling</t>
        </is>
      </c>
      <c r="M543" t="inlineStr">
        <is>
          <t>Time / Scheduling</t>
        </is>
      </c>
    </row>
    <row r="544">
      <c r="A544" t="inlineStr">
        <is>
          <t>Yes</t>
        </is>
      </c>
      <c r="B544" t="inlineStr">
        <is>
          <t>spend time with my son, build memories together and watch him grow.</t>
        </is>
      </c>
      <c r="C544" t="inlineStr">
        <is>
          <t>Wanted Shared Experience with Child</t>
        </is>
      </c>
      <c r="D544" t="inlineStr">
        <is>
          <t>Wanted Shared Experience with Child</t>
        </is>
      </c>
      <c r="E544" t="inlineStr"/>
      <c r="F544" t="inlineStr"/>
      <c r="G544" t="inlineStr"/>
      <c r="H544" t="inlineStr"/>
      <c r="I544" t="inlineStr"/>
      <c r="J544" t="b">
        <v>0</v>
      </c>
      <c r="K544" t="n">
        <v>0</v>
      </c>
      <c r="L544" t="inlineStr"/>
      <c r="M544" t="inlineStr"/>
    </row>
    <row r="545">
      <c r="A545" t="inlineStr">
        <is>
          <t>No</t>
        </is>
      </c>
      <c r="B545" t="inlineStr"/>
      <c r="C545" t="inlineStr"/>
      <c r="D545" t="inlineStr"/>
      <c r="E545" t="inlineStr">
        <is>
          <t>I wanted my daughter to experience it without me!</t>
        </is>
      </c>
      <c r="F545" t="inlineStr">
        <is>
          <t>Wants Child to Have Independent Experience</t>
        </is>
      </c>
      <c r="G545" t="inlineStr">
        <is>
          <t>Wants Child to Have Independent Experience</t>
        </is>
      </c>
      <c r="H545" t="inlineStr"/>
      <c r="I545" t="inlineStr">
        <is>
          <t>Family's Own Choice</t>
        </is>
      </c>
      <c r="J545" t="b">
        <v>0</v>
      </c>
      <c r="K545" t="n">
        <v>1</v>
      </c>
      <c r="L545" t="inlineStr"/>
      <c r="M545" t="inlineStr"/>
    </row>
    <row r="546">
      <c r="A546" t="inlineStr">
        <is>
          <t>No</t>
        </is>
      </c>
      <c r="B546" t="inlineStr"/>
      <c r="C546" t="inlineStr"/>
      <c r="D546" t="inlineStr"/>
      <c r="E546" t="inlineStr">
        <is>
          <t>Daughter wanted to have her own adventure</t>
        </is>
      </c>
      <c r="F546" t="inlineStr">
        <is>
          <t>Child Didn't Want Parent to Come</t>
        </is>
      </c>
      <c r="G546" t="inlineStr">
        <is>
          <t>Child Didn't Want Parent to Come</t>
        </is>
      </c>
      <c r="H546" t="inlineStr"/>
      <c r="I546" t="inlineStr">
        <is>
          <t>Family's Own Choice</t>
        </is>
      </c>
      <c r="J546" t="b">
        <v>0</v>
      </c>
      <c r="K546" t="n">
        <v>1</v>
      </c>
      <c r="L546" t="inlineStr"/>
      <c r="M546" t="inlineStr"/>
    </row>
    <row r="547">
      <c r="A547" t="inlineStr">
        <is>
          <t>Maybe</t>
        </is>
      </c>
      <c r="B547" t="inlineStr"/>
      <c r="C547" t="inlineStr"/>
      <c r="D547" t="inlineStr"/>
      <c r="E547" t="inlineStr"/>
      <c r="F547" t="inlineStr"/>
      <c r="G547" t="inlineStr"/>
      <c r="H547" t="inlineStr">
        <is>
          <t>Finances and logistics with other children/husband.</t>
        </is>
      </c>
      <c r="I547" t="inlineStr"/>
      <c r="J547" t="b">
        <v>0</v>
      </c>
      <c r="K547" t="n">
        <v>0</v>
      </c>
      <c r="L547" t="inlineStr">
        <is>
          <t>Cost / Financial Assistance</t>
        </is>
      </c>
      <c r="M547" t="inlineStr">
        <is>
          <t>Cost / Financial Assistance; Childcare for Other Kids</t>
        </is>
      </c>
    </row>
    <row r="548">
      <c r="A548" t="inlineStr">
        <is>
          <t>No</t>
        </is>
      </c>
      <c r="B548" t="inlineStr"/>
      <c r="C548" t="inlineStr"/>
      <c r="D548" t="inlineStr"/>
      <c r="E548" t="inlineStr">
        <is>
          <t>Busy with other kids</t>
        </is>
      </c>
      <c r="F548" t="inlineStr">
        <is>
          <t>Work Schedule / Time Off</t>
        </is>
      </c>
      <c r="G548" t="inlineStr">
        <is>
          <t>Work Schedule / Time Off; Other Kids / Family at Home</t>
        </is>
      </c>
      <c r="H548" t="inlineStr"/>
      <c r="I548" t="inlineStr">
        <is>
          <t>HXP Can Influence</t>
        </is>
      </c>
      <c r="J548" t="b">
        <v>0</v>
      </c>
      <c r="K548" t="n">
        <v>2</v>
      </c>
      <c r="L548" t="inlineStr"/>
      <c r="M548" t="inlineStr"/>
    </row>
    <row r="549">
      <c r="A549" t="inlineStr">
        <is>
          <t>No</t>
        </is>
      </c>
      <c r="B549" t="inlineStr"/>
      <c r="C549" t="inlineStr"/>
      <c r="D549" t="inlineStr"/>
      <c r="E549" t="inlineStr">
        <is>
          <t>My child wanted to gain confidence and independence on this first trip. I'd love to go in the future.</t>
        </is>
      </c>
      <c r="F549" t="inlineStr">
        <is>
          <t>Wants Child to Have Independent Experience</t>
        </is>
      </c>
      <c r="G549" t="inlineStr">
        <is>
          <t>Wants Child to Have Independent Experience</t>
        </is>
      </c>
      <c r="H549" t="inlineStr"/>
      <c r="I549" t="inlineStr">
        <is>
          <t>Family's Own Choice</t>
        </is>
      </c>
      <c r="J549" t="b">
        <v>1</v>
      </c>
      <c r="K549" t="n">
        <v>1</v>
      </c>
      <c r="L549" t="inlineStr"/>
      <c r="M549" t="inlineStr"/>
    </row>
    <row r="550">
      <c r="A550" t="inlineStr">
        <is>
          <t>No</t>
        </is>
      </c>
      <c r="B550" t="inlineStr"/>
      <c r="C550" t="inlineStr"/>
      <c r="D550" t="inlineStr"/>
      <c r="E550" t="inlineStr">
        <is>
          <t>I didn't want a competition in relationship building.</t>
        </is>
      </c>
      <c r="F550" t="inlineStr">
        <is>
          <t>Other / Uncategorized</t>
        </is>
      </c>
      <c r="G550" t="inlineStr"/>
      <c r="H550" t="inlineStr"/>
      <c r="I550" t="inlineStr">
        <is>
          <t>Unknown</t>
        </is>
      </c>
      <c r="J550" t="b">
        <v>0</v>
      </c>
      <c r="K550" t="n">
        <v>0</v>
      </c>
      <c r="L550" t="inlineStr"/>
      <c r="M550" t="inlineStr"/>
    </row>
    <row r="551">
      <c r="A551" t="inlineStr">
        <is>
          <t>No</t>
        </is>
      </c>
      <c r="B551" t="inlineStr"/>
      <c r="C551" t="inlineStr"/>
      <c r="D551" t="inlineStr"/>
      <c r="E551" t="inlineStr">
        <is>
          <t>Don't know anyone who has done it personally so wasn't able to hear what to expect.</t>
        </is>
      </c>
      <c r="F551" t="inlineStr">
        <is>
          <t>Not Aware It Was an Option</t>
        </is>
      </c>
      <c r="G551" t="inlineStr">
        <is>
          <t>Not Aware It Was an Option</t>
        </is>
      </c>
      <c r="H551" t="inlineStr"/>
      <c r="I551" t="inlineStr">
        <is>
          <t>HXP Can Directly Fix</t>
        </is>
      </c>
      <c r="J551" t="b">
        <v>0</v>
      </c>
      <c r="K551" t="n">
        <v>1</v>
      </c>
      <c r="L551" t="inlineStr"/>
      <c r="M551" t="inlineStr"/>
    </row>
    <row r="552">
      <c r="A552" t="inlineStr">
        <is>
          <t>No</t>
        </is>
      </c>
      <c r="B552" t="inlineStr"/>
      <c r="C552" t="inlineStr"/>
      <c r="D552" t="inlineStr"/>
      <c r="E552" t="inlineStr">
        <is>
          <t>Time</t>
        </is>
      </c>
      <c r="F552" t="inlineStr">
        <is>
          <t>Work Schedule / Time Off</t>
        </is>
      </c>
      <c r="G552" t="inlineStr">
        <is>
          <t>Work Schedule / Time Off</t>
        </is>
      </c>
      <c r="H552" t="inlineStr"/>
      <c r="I552" t="inlineStr">
        <is>
          <t>HXP Can Influence</t>
        </is>
      </c>
      <c r="J552" t="b">
        <v>0</v>
      </c>
      <c r="K552" t="n">
        <v>1</v>
      </c>
      <c r="L552" t="inlineStr"/>
      <c r="M552" t="inlineStr"/>
    </row>
    <row r="553">
      <c r="A553" t="inlineStr">
        <is>
          <t>No</t>
        </is>
      </c>
      <c r="B553" t="inlineStr"/>
      <c r="C553" t="inlineStr"/>
      <c r="D553" t="inlineStr"/>
      <c r="E553" t="inlineStr">
        <is>
          <t>Too busy with other kids at home.</t>
        </is>
      </c>
      <c r="F553" t="inlineStr">
        <is>
          <t>Work Schedule / Time Off</t>
        </is>
      </c>
      <c r="G553" t="inlineStr">
        <is>
          <t>Work Schedule / Time Off; Other Kids / Family at Home</t>
        </is>
      </c>
      <c r="H553" t="inlineStr"/>
      <c r="I553" t="inlineStr">
        <is>
          <t>HXP Can Influence</t>
        </is>
      </c>
      <c r="J553" t="b">
        <v>0</v>
      </c>
      <c r="K553" t="n">
        <v>2</v>
      </c>
      <c r="L553" t="inlineStr"/>
      <c r="M553" t="inlineStr"/>
    </row>
    <row r="554">
      <c r="A554" t="inlineStr">
        <is>
          <t>No</t>
        </is>
      </c>
      <c r="B554" t="inlineStr"/>
      <c r="C554" t="inlineStr"/>
      <c r="D554" t="inlineStr"/>
      <c r="E554" t="inlineStr">
        <is>
          <t>I have younger kids at home</t>
        </is>
      </c>
      <c r="F554" t="inlineStr">
        <is>
          <t>Other Kids / Family at Home</t>
        </is>
      </c>
      <c r="G554" t="inlineStr">
        <is>
          <t>Other Kids / Family at Home</t>
        </is>
      </c>
      <c r="H554" t="inlineStr"/>
      <c r="I554" t="inlineStr">
        <is>
          <t>Family's Own Choice</t>
        </is>
      </c>
      <c r="J554" t="b">
        <v>0</v>
      </c>
      <c r="K554" t="n">
        <v>1</v>
      </c>
      <c r="L554" t="inlineStr"/>
      <c r="M554" t="inlineStr"/>
    </row>
    <row r="555">
      <c r="A555" t="inlineStr">
        <is>
          <t>No</t>
        </is>
      </c>
      <c r="B555" t="inlineStr"/>
      <c r="C555" t="inlineStr"/>
      <c r="D555" t="inlineStr"/>
      <c r="E555" t="inlineStr">
        <is>
          <t>Cost &amp; scheduling conflict</t>
        </is>
      </c>
      <c r="F555" t="inlineStr">
        <is>
          <t>Cost / Finances</t>
        </is>
      </c>
      <c r="G555" t="inlineStr">
        <is>
          <t>Cost / Finances; Work Schedule / Time Off</t>
        </is>
      </c>
      <c r="H555" t="inlineStr"/>
      <c r="I555" t="inlineStr">
        <is>
          <t>HXP Can Directly Fix</t>
        </is>
      </c>
      <c r="J555" t="b">
        <v>0</v>
      </c>
      <c r="K555" t="n">
        <v>2</v>
      </c>
      <c r="L555" t="inlineStr"/>
      <c r="M555" t="inlineStr"/>
    </row>
    <row r="556">
      <c r="A556" t="inlineStr">
        <is>
          <t>No</t>
        </is>
      </c>
      <c r="B556" t="inlineStr"/>
      <c r="C556" t="inlineStr"/>
      <c r="D556" t="inlineStr"/>
      <c r="E556" t="inlineStr">
        <is>
          <t>We want our son to have an experience without us. We are viewing this as mission prep - doing things on his own, finding solutions to problems, showing grit and flexibility, etc.</t>
        </is>
      </c>
      <c r="F556" t="inlineStr">
        <is>
          <t>Wants Child to Have Independent Experience</t>
        </is>
      </c>
      <c r="G556" t="inlineStr">
        <is>
          <t>Wants Child to Have Independent Experience; Other Life Commitment</t>
        </is>
      </c>
      <c r="H556" t="inlineStr"/>
      <c r="I556" t="inlineStr">
        <is>
          <t>Family's Own Choice</t>
        </is>
      </c>
      <c r="J556" t="b">
        <v>0</v>
      </c>
      <c r="K556" t="n">
        <v>2</v>
      </c>
      <c r="L556" t="inlineStr"/>
      <c r="M556" t="inlineStr"/>
    </row>
    <row r="557">
      <c r="A557" t="inlineStr">
        <is>
          <t>No</t>
        </is>
      </c>
      <c r="B557" t="inlineStr"/>
      <c r="C557" t="inlineStr"/>
      <c r="D557" t="inlineStr"/>
      <c r="E557" t="inlineStr">
        <is>
          <t>Money and obligations at home</t>
        </is>
      </c>
      <c r="F557" t="inlineStr">
        <is>
          <t>Cost / Finances</t>
        </is>
      </c>
      <c r="G557" t="inlineStr">
        <is>
          <t>Cost / Finances; Work Schedule / Time Off</t>
        </is>
      </c>
      <c r="H557" t="inlineStr"/>
      <c r="I557" t="inlineStr">
        <is>
          <t>HXP Can Directly Fix</t>
        </is>
      </c>
      <c r="J557" t="b">
        <v>0</v>
      </c>
      <c r="K557" t="n">
        <v>2</v>
      </c>
      <c r="L557" t="inlineStr"/>
      <c r="M557" t="inlineStr"/>
    </row>
    <row r="558">
      <c r="A558" t="inlineStr">
        <is>
          <t>No</t>
        </is>
      </c>
      <c r="B558" t="inlineStr"/>
      <c r="C558" t="inlineStr"/>
      <c r="D558" t="inlineStr"/>
      <c r="E558" t="inlineStr">
        <is>
          <t>Time off work</t>
        </is>
      </c>
      <c r="F558" t="inlineStr">
        <is>
          <t>Work Schedule / Time Off</t>
        </is>
      </c>
      <c r="G558" t="inlineStr">
        <is>
          <t>Work Schedule / Time Off</t>
        </is>
      </c>
      <c r="H558" t="inlineStr"/>
      <c r="I558" t="inlineStr">
        <is>
          <t>HXP Can Influence</t>
        </is>
      </c>
      <c r="J558" t="b">
        <v>0</v>
      </c>
      <c r="K558" t="n">
        <v>1</v>
      </c>
      <c r="L558" t="inlineStr"/>
      <c r="M558" t="inlineStr"/>
    </row>
    <row r="559">
      <c r="A559" t="inlineStr">
        <is>
          <t>No</t>
        </is>
      </c>
      <c r="B559" t="inlineStr"/>
      <c r="C559" t="inlineStr"/>
      <c r="D559" t="inlineStr"/>
      <c r="E559" t="inlineStr">
        <is>
          <t>Norhing</t>
        </is>
      </c>
      <c r="F559" t="inlineStr">
        <is>
          <t>Not Aware It Was an Option</t>
        </is>
      </c>
      <c r="G559" t="inlineStr">
        <is>
          <t>Not Aware It Was an Option</t>
        </is>
      </c>
      <c r="H559" t="inlineStr"/>
      <c r="I559" t="inlineStr">
        <is>
          <t>HXP Can Directly Fix</t>
        </is>
      </c>
      <c r="J559" t="b">
        <v>0</v>
      </c>
      <c r="K559" t="n">
        <v>1</v>
      </c>
      <c r="L559" t="inlineStr"/>
      <c r="M559" t="inlineStr"/>
    </row>
    <row r="560">
      <c r="A560" t="inlineStr">
        <is>
          <t>No</t>
        </is>
      </c>
      <c r="B560" t="inlineStr"/>
      <c r="C560" t="inlineStr"/>
      <c r="D560" t="inlineStr"/>
      <c r="E560" t="inlineStr">
        <is>
          <t>The cost</t>
        </is>
      </c>
      <c r="F560" t="inlineStr">
        <is>
          <t>Cost / Finances</t>
        </is>
      </c>
      <c r="G560" t="inlineStr">
        <is>
          <t>Cost / Finances</t>
        </is>
      </c>
      <c r="H560" t="inlineStr"/>
      <c r="I560" t="inlineStr">
        <is>
          <t>HXP Can Directly Fix</t>
        </is>
      </c>
      <c r="J560" t="b">
        <v>0</v>
      </c>
      <c r="K560" t="n">
        <v>1</v>
      </c>
      <c r="L560" t="inlineStr"/>
      <c r="M560" t="inlineStr"/>
    </row>
    <row r="561">
      <c r="A561" t="inlineStr">
        <is>
          <t>No</t>
        </is>
      </c>
      <c r="B561" t="inlineStr"/>
      <c r="C561" t="inlineStr"/>
      <c r="D561" t="inlineStr"/>
      <c r="E561" t="inlineStr">
        <is>
          <t>My child wants to meet new people on his own.</t>
        </is>
      </c>
      <c r="F561" t="inlineStr">
        <is>
          <t>Wants Child to Have Independent Experience</t>
        </is>
      </c>
      <c r="G561" t="inlineStr">
        <is>
          <t>Wants Child to Have Independent Experience</t>
        </is>
      </c>
      <c r="H561" t="inlineStr"/>
      <c r="I561" t="inlineStr">
        <is>
          <t>Family's Own Choice</t>
        </is>
      </c>
      <c r="J561" t="b">
        <v>0</v>
      </c>
      <c r="K561" t="n">
        <v>1</v>
      </c>
      <c r="L561" t="inlineStr"/>
      <c r="M561" t="inlineStr"/>
    </row>
    <row r="562">
      <c r="A562" t="inlineStr">
        <is>
          <t>No</t>
        </is>
      </c>
      <c r="B562" t="inlineStr"/>
      <c r="C562" t="inlineStr"/>
      <c r="D562" t="inlineStr"/>
      <c r="E562" t="inlineStr">
        <is>
          <t>My daughter wanted to go alone. Her dad went the last time with another daughter.</t>
        </is>
      </c>
      <c r="F562" t="inlineStr">
        <is>
          <t>Work Schedule / Time Off</t>
        </is>
      </c>
      <c r="G562" t="inlineStr">
        <is>
          <t>Work Schedule / Time Off; Another Family Member Going Instead; Wants Child to Have Independent Experience</t>
        </is>
      </c>
      <c r="H562" t="inlineStr"/>
      <c r="I562" t="inlineStr">
        <is>
          <t>HXP Can Influence</t>
        </is>
      </c>
      <c r="J562" t="b">
        <v>0</v>
      </c>
      <c r="K562" t="n">
        <v>3</v>
      </c>
      <c r="L562" t="inlineStr"/>
      <c r="M562" t="inlineStr"/>
    </row>
    <row r="563">
      <c r="A563" t="inlineStr">
        <is>
          <t>No</t>
        </is>
      </c>
      <c r="B563" t="inlineStr"/>
      <c r="C563" t="inlineStr"/>
      <c r="D563" t="inlineStr"/>
      <c r="E563" t="inlineStr">
        <is>
          <t>Work conflict, wanted my builder to go on their own</t>
        </is>
      </c>
      <c r="F563" t="inlineStr">
        <is>
          <t>Work Schedule / Time Off</t>
        </is>
      </c>
      <c r="G563" t="inlineStr">
        <is>
          <t>Work Schedule / Time Off; Wants Child to Have Independent Experience</t>
        </is>
      </c>
      <c r="H563" t="inlineStr"/>
      <c r="I563" t="inlineStr">
        <is>
          <t>HXP Can Influence</t>
        </is>
      </c>
      <c r="J563" t="b">
        <v>0</v>
      </c>
      <c r="K563" t="n">
        <v>2</v>
      </c>
      <c r="L563" t="inlineStr"/>
      <c r="M563" t="inlineStr"/>
    </row>
    <row r="564">
      <c r="A564" t="inlineStr">
        <is>
          <t>No</t>
        </is>
      </c>
      <c r="B564" t="inlineStr"/>
      <c r="C564" t="inlineStr"/>
      <c r="D564" t="inlineStr"/>
      <c r="E564" t="inlineStr"/>
      <c r="F564" t="inlineStr"/>
      <c r="G564" t="inlineStr"/>
      <c r="H564" t="inlineStr"/>
      <c r="I564" t="inlineStr"/>
      <c r="J564" t="b">
        <v>0</v>
      </c>
      <c r="K564" t="n">
        <v>0</v>
      </c>
      <c r="L564" t="inlineStr"/>
      <c r="M564" t="inlineStr"/>
    </row>
    <row r="565">
      <c r="A565" t="inlineStr">
        <is>
          <t>No</t>
        </is>
      </c>
      <c r="B565" t="inlineStr"/>
      <c r="C565" t="inlineStr"/>
      <c r="D565" t="inlineStr"/>
      <c r="E565" t="inlineStr">
        <is>
          <t>It is difficult with my schedule for me to go. Additoinally, my kids wanted to have this opporunity to "spread their wings" and be more independent without my wife or me there.</t>
        </is>
      </c>
      <c r="F565" t="inlineStr">
        <is>
          <t>Work Schedule / Time Off</t>
        </is>
      </c>
      <c r="G565" t="inlineStr">
        <is>
          <t>Work Schedule / Time Off; Wants Child to Have Independent Experience</t>
        </is>
      </c>
      <c r="H565" t="inlineStr"/>
      <c r="I565" t="inlineStr">
        <is>
          <t>HXP Can Influence</t>
        </is>
      </c>
      <c r="J565" t="b">
        <v>0</v>
      </c>
      <c r="K565" t="n">
        <v>2</v>
      </c>
      <c r="L565" t="inlineStr"/>
      <c r="M565" t="inlineStr"/>
    </row>
    <row r="566">
      <c r="A566" t="inlineStr">
        <is>
          <t>No</t>
        </is>
      </c>
      <c r="B566" t="inlineStr"/>
      <c r="C566" t="inlineStr"/>
      <c r="D566" t="inlineStr"/>
      <c r="E566" t="inlineStr">
        <is>
          <t>This an experience my kid wanted to have on his own.</t>
        </is>
      </c>
      <c r="F566" t="inlineStr">
        <is>
          <t>Wants Child to Have Independent Experience</t>
        </is>
      </c>
      <c r="G566" t="inlineStr">
        <is>
          <t>Wants Child to Have Independent Experience</t>
        </is>
      </c>
      <c r="H566" t="inlineStr"/>
      <c r="I566" t="inlineStr">
        <is>
          <t>Family's Own Choice</t>
        </is>
      </c>
      <c r="J566" t="b">
        <v>0</v>
      </c>
      <c r="K566" t="n">
        <v>1</v>
      </c>
      <c r="L566" t="inlineStr"/>
      <c r="M566" t="inlineStr"/>
    </row>
    <row r="567">
      <c r="A567" t="inlineStr">
        <is>
          <t>No</t>
        </is>
      </c>
      <c r="B567" t="inlineStr"/>
      <c r="C567" t="inlineStr"/>
      <c r="D567" t="inlineStr"/>
      <c r="E567" t="inlineStr">
        <is>
          <t>I felt this was a great growing experiance for my daughter that to do on her own before college.</t>
        </is>
      </c>
      <c r="F567" t="inlineStr">
        <is>
          <t>Wants Child to Have Independent Experience</t>
        </is>
      </c>
      <c r="G567" t="inlineStr">
        <is>
          <t>Wants Child to Have Independent Experience</t>
        </is>
      </c>
      <c r="H567" t="inlineStr"/>
      <c r="I567" t="inlineStr">
        <is>
          <t>Family's Own Choice</t>
        </is>
      </c>
      <c r="J567" t="b">
        <v>0</v>
      </c>
      <c r="K567" t="n">
        <v>1</v>
      </c>
      <c r="L567" t="inlineStr"/>
      <c r="M567" t="inlineStr"/>
    </row>
    <row r="568">
      <c r="A568" t="inlineStr">
        <is>
          <t>No</t>
        </is>
      </c>
      <c r="B568" t="inlineStr"/>
      <c r="C568" t="inlineStr"/>
      <c r="D568" t="inlineStr"/>
      <c r="E568" t="inlineStr">
        <is>
          <t>Money</t>
        </is>
      </c>
      <c r="F568" t="inlineStr">
        <is>
          <t>Cost / Finances</t>
        </is>
      </c>
      <c r="G568" t="inlineStr">
        <is>
          <t>Cost / Finances</t>
        </is>
      </c>
      <c r="H568" t="inlineStr"/>
      <c r="I568" t="inlineStr">
        <is>
          <t>HXP Can Directly Fix</t>
        </is>
      </c>
      <c r="J568" t="b">
        <v>0</v>
      </c>
      <c r="K568" t="n">
        <v>1</v>
      </c>
      <c r="L568" t="inlineStr"/>
      <c r="M568" t="inlineStr"/>
    </row>
    <row r="569">
      <c r="A569" t="inlineStr">
        <is>
          <t>Yes</t>
        </is>
      </c>
      <c r="B569" t="inlineStr">
        <is>
          <t>My husband and I decided to take turns going with our boys on these trips when we first heard about HEFY years ago and have been saving to do so since then.</t>
        </is>
      </c>
      <c r="C569" t="inlineStr">
        <is>
          <t>Previous Positive Experience</t>
        </is>
      </c>
      <c r="D569" t="inlineStr">
        <is>
          <t>Previous Positive Experience</t>
        </is>
      </c>
      <c r="E569" t="inlineStr"/>
      <c r="F569" t="inlineStr"/>
      <c r="G569" t="inlineStr"/>
      <c r="H569" t="inlineStr"/>
      <c r="I569" t="inlineStr"/>
      <c r="J569" t="b">
        <v>0</v>
      </c>
      <c r="K569" t="n">
        <v>0</v>
      </c>
      <c r="L569" t="inlineStr"/>
      <c r="M569" t="inlineStr"/>
    </row>
    <row r="570">
      <c r="A570" t="inlineStr">
        <is>
          <t>No</t>
        </is>
      </c>
      <c r="B570" t="inlineStr"/>
      <c r="C570" t="inlineStr"/>
      <c r="D570" t="inlineStr"/>
      <c r="E570" t="inlineStr">
        <is>
          <t>Too many other vacations on the calendar already. Daughter wanted it to be an "independent" experience w/o parents</t>
        </is>
      </c>
      <c r="F570" t="inlineStr">
        <is>
          <t>Work Schedule / Time Off</t>
        </is>
      </c>
      <c r="G570" t="inlineStr">
        <is>
          <t>Work Schedule / Time Off; Wants Child to Have Independent Experience</t>
        </is>
      </c>
      <c r="H570" t="inlineStr"/>
      <c r="I570" t="inlineStr">
        <is>
          <t>HXP Can Influence</t>
        </is>
      </c>
      <c r="J570" t="b">
        <v>0</v>
      </c>
      <c r="K570" t="n">
        <v>2</v>
      </c>
      <c r="L570" t="inlineStr"/>
      <c r="M570" t="inlineStr"/>
    </row>
    <row r="571">
      <c r="A571" t="inlineStr">
        <is>
          <t>No</t>
        </is>
      </c>
      <c r="B571" t="inlineStr"/>
      <c r="C571" t="inlineStr"/>
      <c r="D571" t="inlineStr"/>
      <c r="E571" t="inlineStr">
        <is>
          <t>Not able for many reasons</t>
        </is>
      </c>
      <c r="F571" t="inlineStr">
        <is>
          <t>Other / Uncategorized</t>
        </is>
      </c>
      <c r="G571" t="inlineStr"/>
      <c r="H571" t="inlineStr"/>
      <c r="I571" t="inlineStr">
        <is>
          <t>Unknown</t>
        </is>
      </c>
      <c r="J571" t="b">
        <v>0</v>
      </c>
      <c r="K571" t="n">
        <v>0</v>
      </c>
      <c r="L571" t="inlineStr"/>
      <c r="M571" t="inlineStr"/>
    </row>
    <row r="572">
      <c r="A572" t="inlineStr">
        <is>
          <t>No</t>
        </is>
      </c>
      <c r="B572" t="inlineStr"/>
      <c r="C572" t="inlineStr"/>
      <c r="D572" t="inlineStr"/>
      <c r="E572" t="inlineStr">
        <is>
          <t>Can't get time off work</t>
        </is>
      </c>
      <c r="F572" t="inlineStr">
        <is>
          <t>Work Schedule / Time Off</t>
        </is>
      </c>
      <c r="G572" t="inlineStr">
        <is>
          <t>Work Schedule / Time Off</t>
        </is>
      </c>
      <c r="H572" t="inlineStr"/>
      <c r="I572" t="inlineStr">
        <is>
          <t>HXP Can Influence</t>
        </is>
      </c>
      <c r="J572" t="b">
        <v>0</v>
      </c>
      <c r="K572" t="n">
        <v>1</v>
      </c>
      <c r="L572" t="inlineStr"/>
      <c r="M572" t="inlineStr"/>
    </row>
    <row r="573">
      <c r="A573" t="inlineStr">
        <is>
          <t>No</t>
        </is>
      </c>
      <c r="B573" t="inlineStr"/>
      <c r="C573" t="inlineStr"/>
      <c r="D573" t="inlineStr"/>
      <c r="E573" t="inlineStr">
        <is>
          <t>Money and time. Also, our daughter needs an experience on her own without family.</t>
        </is>
      </c>
      <c r="F573" t="inlineStr">
        <is>
          <t>Cost / Finances</t>
        </is>
      </c>
      <c r="G573" t="inlineStr">
        <is>
          <t>Cost / Finances; Work Schedule / Time Off; Wants Child to Have Independent Experience</t>
        </is>
      </c>
      <c r="H573" t="inlineStr"/>
      <c r="I573" t="inlineStr">
        <is>
          <t>HXP Can Directly Fix</t>
        </is>
      </c>
      <c r="J573" t="b">
        <v>0</v>
      </c>
      <c r="K573" t="n">
        <v>3</v>
      </c>
      <c r="L573" t="inlineStr"/>
      <c r="M573" t="inlineStr"/>
    </row>
    <row r="574">
      <c r="A574" t="inlineStr">
        <is>
          <t>No</t>
        </is>
      </c>
      <c r="B574" t="inlineStr"/>
      <c r="C574" t="inlineStr"/>
      <c r="D574" t="inlineStr"/>
      <c r="E574" t="inlineStr">
        <is>
          <t>The added expense. Sending a child was expense enough, we could not double the expense. One parent is needed to stay home. The other does not have paid vacation, making the trip even more expensive with the lost income.</t>
        </is>
      </c>
      <c r="F574" t="inlineStr">
        <is>
          <t>Cost / Finances</t>
        </is>
      </c>
      <c r="G574" t="inlineStr">
        <is>
          <t>Cost / Finances; Work Schedule / Time Off</t>
        </is>
      </c>
      <c r="H574" t="inlineStr"/>
      <c r="I574" t="inlineStr">
        <is>
          <t>HXP Can Directly Fix</t>
        </is>
      </c>
      <c r="J574" t="b">
        <v>0</v>
      </c>
      <c r="K574" t="n">
        <v>2</v>
      </c>
      <c r="L574" t="inlineStr"/>
      <c r="M574" t="inlineStr"/>
    </row>
    <row r="575">
      <c r="A575" t="inlineStr">
        <is>
          <t>No</t>
        </is>
      </c>
      <c r="B575" t="inlineStr"/>
      <c r="C575" t="inlineStr"/>
      <c r="D575" t="inlineStr"/>
      <c r="E575" t="inlineStr">
        <is>
          <t>We want our son to experience HXP on his own. We think it will be good for him.</t>
        </is>
      </c>
      <c r="F575" t="inlineStr">
        <is>
          <t>Wants Child to Have Independent Experience</t>
        </is>
      </c>
      <c r="G575" t="inlineStr">
        <is>
          <t>Wants Child to Have Independent Experience</t>
        </is>
      </c>
      <c r="H575" t="inlineStr"/>
      <c r="I575" t="inlineStr">
        <is>
          <t>Family's Own Choice</t>
        </is>
      </c>
      <c r="J575" t="b">
        <v>0</v>
      </c>
      <c r="K575" t="n">
        <v>1</v>
      </c>
      <c r="L575" t="inlineStr"/>
      <c r="M575" t="inlineStr"/>
    </row>
    <row r="576">
      <c r="A576" t="inlineStr">
        <is>
          <t>No</t>
        </is>
      </c>
      <c r="B576" t="inlineStr"/>
      <c r="C576" t="inlineStr"/>
      <c r="D576" t="inlineStr"/>
      <c r="E576" t="inlineStr">
        <is>
          <t>We would have loved to go but we were moving 1/2 way across the country the same time.</t>
        </is>
      </c>
      <c r="F576" t="inlineStr">
        <is>
          <t>Work Schedule / Time Off</t>
        </is>
      </c>
      <c r="G576" t="inlineStr">
        <is>
          <t>Work Schedule / Time Off; Other Life Commitment</t>
        </is>
      </c>
      <c r="H576" t="inlineStr"/>
      <c r="I576" t="inlineStr">
        <is>
          <t>HXP Can Influence</t>
        </is>
      </c>
      <c r="J576" t="b">
        <v>0</v>
      </c>
      <c r="K576" t="n">
        <v>2</v>
      </c>
      <c r="L576" t="inlineStr"/>
      <c r="M576" t="inlineStr"/>
    </row>
    <row r="577">
      <c r="A577" t="inlineStr">
        <is>
          <t>No</t>
        </is>
      </c>
      <c r="B577" t="inlineStr"/>
      <c r="C577" t="inlineStr"/>
      <c r="D577" t="inlineStr"/>
      <c r="E577" t="inlineStr">
        <is>
          <t>money</t>
        </is>
      </c>
      <c r="F577" t="inlineStr">
        <is>
          <t>Cost / Finances</t>
        </is>
      </c>
      <c r="G577" t="inlineStr">
        <is>
          <t>Cost / Finances</t>
        </is>
      </c>
      <c r="H577" t="inlineStr"/>
      <c r="I577" t="inlineStr">
        <is>
          <t>HXP Can Directly Fix</t>
        </is>
      </c>
      <c r="J577" t="b">
        <v>0</v>
      </c>
      <c r="K577" t="n">
        <v>1</v>
      </c>
      <c r="L577" t="inlineStr"/>
      <c r="M577" t="inlineStr"/>
    </row>
    <row r="578">
      <c r="A578" t="inlineStr">
        <is>
          <t>No</t>
        </is>
      </c>
      <c r="B578" t="inlineStr"/>
      <c r="C578" t="inlineStr"/>
      <c r="D578" t="inlineStr"/>
      <c r="E578" t="inlineStr">
        <is>
          <t>My son went last year and he likes being on his own. He would have been fine having us go, but I think he likes the independence.</t>
        </is>
      </c>
      <c r="F578" t="inlineStr">
        <is>
          <t>Wants Child to Have Independent Experience</t>
        </is>
      </c>
      <c r="G578" t="inlineStr">
        <is>
          <t>Wants Child to Have Independent Experience</t>
        </is>
      </c>
      <c r="H578" t="inlineStr"/>
      <c r="I578" t="inlineStr">
        <is>
          <t>Family's Own Choice</t>
        </is>
      </c>
      <c r="J578" t="b">
        <v>0</v>
      </c>
      <c r="K578" t="n">
        <v>1</v>
      </c>
      <c r="L578" t="inlineStr"/>
      <c r="M578" t="inlineStr"/>
    </row>
    <row r="579">
      <c r="A579" t="inlineStr">
        <is>
          <t>No</t>
        </is>
      </c>
      <c r="B579" t="inlineStr"/>
      <c r="C579" t="inlineStr"/>
      <c r="D579" t="inlineStr"/>
      <c r="E579" t="inlineStr">
        <is>
          <t>My builder didn't want me on the trip</t>
        </is>
      </c>
      <c r="F579" t="inlineStr">
        <is>
          <t>Child Didn't Want Parent to Come</t>
        </is>
      </c>
      <c r="G579" t="inlineStr">
        <is>
          <t>Child Didn't Want Parent to Come</t>
        </is>
      </c>
      <c r="H579" t="inlineStr"/>
      <c r="I579" t="inlineStr">
        <is>
          <t>Family's Own Choice</t>
        </is>
      </c>
      <c r="J579" t="b">
        <v>0</v>
      </c>
      <c r="K579" t="n">
        <v>1</v>
      </c>
      <c r="L579" t="inlineStr"/>
      <c r="M579" t="inlineStr"/>
    </row>
    <row r="580">
      <c r="A580" t="inlineStr">
        <is>
          <t>No</t>
        </is>
      </c>
      <c r="B580" t="inlineStr"/>
      <c r="C580" t="inlineStr"/>
      <c r="D580" t="inlineStr"/>
      <c r="E580" t="inlineStr">
        <is>
          <t>$$$</t>
        </is>
      </c>
      <c r="F580" t="inlineStr">
        <is>
          <t>Cost / Finances</t>
        </is>
      </c>
      <c r="G580" t="inlineStr">
        <is>
          <t>Cost / Finances</t>
        </is>
      </c>
      <c r="H580" t="inlineStr"/>
      <c r="I580" t="inlineStr">
        <is>
          <t>HXP Can Directly Fix</t>
        </is>
      </c>
      <c r="J580" t="b">
        <v>0</v>
      </c>
      <c r="K580" t="n">
        <v>1</v>
      </c>
      <c r="L580" t="inlineStr"/>
      <c r="M580" t="inlineStr"/>
    </row>
    <row r="581">
      <c r="A581" t="inlineStr">
        <is>
          <t>No</t>
        </is>
      </c>
      <c r="B581" t="inlineStr"/>
      <c r="C581" t="inlineStr"/>
      <c r="D581" t="inlineStr"/>
      <c r="E581" t="inlineStr">
        <is>
          <t>Too many younger kids at home still</t>
        </is>
      </c>
      <c r="F581" t="inlineStr">
        <is>
          <t>Other Kids / Family at Home</t>
        </is>
      </c>
      <c r="G581" t="inlineStr">
        <is>
          <t>Other Kids / Family at Home</t>
        </is>
      </c>
      <c r="H581" t="inlineStr"/>
      <c r="I581" t="inlineStr">
        <is>
          <t>Family's Own Choice</t>
        </is>
      </c>
      <c r="J581" t="b">
        <v>0</v>
      </c>
      <c r="K581" t="n">
        <v>1</v>
      </c>
      <c r="L581" t="inlineStr"/>
      <c r="M581" t="inlineStr"/>
    </row>
    <row r="582">
      <c r="A582" t="inlineStr">
        <is>
          <t>No</t>
        </is>
      </c>
      <c r="B582" t="inlineStr"/>
      <c r="C582" t="inlineStr"/>
      <c r="D582" t="inlineStr"/>
      <c r="E582" t="inlineStr">
        <is>
          <t>Expense</t>
        </is>
      </c>
      <c r="F582" t="inlineStr">
        <is>
          <t>Cost / Finances</t>
        </is>
      </c>
      <c r="G582" t="inlineStr">
        <is>
          <t>Cost / Finances</t>
        </is>
      </c>
      <c r="H582" t="inlineStr"/>
      <c r="I582" t="inlineStr">
        <is>
          <t>HXP Can Directly Fix</t>
        </is>
      </c>
      <c r="J582" t="b">
        <v>0</v>
      </c>
      <c r="K582" t="n">
        <v>1</v>
      </c>
      <c r="L582" t="inlineStr"/>
      <c r="M582" t="inlineStr"/>
    </row>
    <row r="583">
      <c r="A583" t="inlineStr">
        <is>
          <t>No</t>
        </is>
      </c>
      <c r="B583" t="inlineStr"/>
      <c r="C583" t="inlineStr"/>
      <c r="D583" t="inlineStr"/>
      <c r="E583" t="inlineStr">
        <is>
          <t>I hope my child will have a positive experience away from home and independent from me.</t>
        </is>
      </c>
      <c r="F583" t="inlineStr">
        <is>
          <t>Other Kids / Family at Home</t>
        </is>
      </c>
      <c r="G583" t="inlineStr">
        <is>
          <t>Other Kids / Family at Home; Wants Child to Have Independent Experience</t>
        </is>
      </c>
      <c r="H583" t="inlineStr"/>
      <c r="I583" t="inlineStr">
        <is>
          <t>Family's Own Choice</t>
        </is>
      </c>
      <c r="J583" t="b">
        <v>0</v>
      </c>
      <c r="K583" t="n">
        <v>2</v>
      </c>
      <c r="L583" t="inlineStr"/>
      <c r="M583" t="inlineStr"/>
    </row>
    <row r="584">
      <c r="A584" t="inlineStr">
        <is>
          <t>No</t>
        </is>
      </c>
      <c r="B584" t="inlineStr"/>
      <c r="C584" t="inlineStr"/>
      <c r="D584" t="inlineStr"/>
      <c r="E584" t="inlineStr">
        <is>
          <t>Money</t>
        </is>
      </c>
      <c r="F584" t="inlineStr">
        <is>
          <t>Cost / Finances</t>
        </is>
      </c>
      <c r="G584" t="inlineStr">
        <is>
          <t>Cost / Finances</t>
        </is>
      </c>
      <c r="H584" t="inlineStr"/>
      <c r="I584" t="inlineStr">
        <is>
          <t>HXP Can Directly Fix</t>
        </is>
      </c>
      <c r="J584" t="b">
        <v>0</v>
      </c>
      <c r="K584" t="n">
        <v>1</v>
      </c>
      <c r="L584" t="inlineStr"/>
      <c r="M584" t="inlineStr"/>
    </row>
    <row r="585">
      <c r="A585" t="inlineStr">
        <is>
          <t>No</t>
        </is>
      </c>
      <c r="B585" t="inlineStr"/>
      <c r="C585" t="inlineStr"/>
      <c r="D585" t="inlineStr"/>
      <c r="E585" t="inlineStr">
        <is>
          <t>Timing</t>
        </is>
      </c>
      <c r="F585" t="inlineStr">
        <is>
          <t>Work Schedule / Time Off</t>
        </is>
      </c>
      <c r="G585" t="inlineStr">
        <is>
          <t>Work Schedule / Time Off</t>
        </is>
      </c>
      <c r="H585" t="inlineStr"/>
      <c r="I585" t="inlineStr">
        <is>
          <t>HXP Can Influence</t>
        </is>
      </c>
      <c r="J585" t="b">
        <v>0</v>
      </c>
      <c r="K585" t="n">
        <v>1</v>
      </c>
      <c r="L585" t="inlineStr"/>
      <c r="M585" t="inlineStr"/>
    </row>
    <row r="586">
      <c r="A586" t="inlineStr">
        <is>
          <t>No</t>
        </is>
      </c>
      <c r="B586" t="inlineStr"/>
      <c r="C586" t="inlineStr"/>
      <c r="D586" t="inlineStr"/>
      <c r="E586" t="inlineStr">
        <is>
          <t>My husband and I have both been a parent builder for this child and she wanted to go on her own this year</t>
        </is>
      </c>
      <c r="F586" t="inlineStr">
        <is>
          <t>Wants Child to Have Independent Experience</t>
        </is>
      </c>
      <c r="G586" t="inlineStr">
        <is>
          <t>Wants Child to Have Independent Experience</t>
        </is>
      </c>
      <c r="H586" t="inlineStr"/>
      <c r="I586" t="inlineStr">
        <is>
          <t>Family's Own Choice</t>
        </is>
      </c>
      <c r="J586" t="b">
        <v>0</v>
      </c>
      <c r="K586" t="n">
        <v>1</v>
      </c>
      <c r="L586" t="inlineStr"/>
      <c r="M586" t="inlineStr"/>
    </row>
    <row r="587">
      <c r="A587" t="inlineStr">
        <is>
          <t>No</t>
        </is>
      </c>
      <c r="B587" t="inlineStr"/>
      <c r="C587" t="inlineStr"/>
      <c r="D587" t="inlineStr"/>
      <c r="E587" t="inlineStr">
        <is>
          <t>Just no time to take off work this year I would LOVE to I. The future if I can make it woek</t>
        </is>
      </c>
      <c r="F587" t="inlineStr">
        <is>
          <t>Work Schedule / Time Off</t>
        </is>
      </c>
      <c r="G587" t="inlineStr">
        <is>
          <t>Work Schedule / Time Off</t>
        </is>
      </c>
      <c r="H587" t="inlineStr"/>
      <c r="I587" t="inlineStr">
        <is>
          <t>HXP Can Influence</t>
        </is>
      </c>
      <c r="J587" t="b">
        <v>1</v>
      </c>
      <c r="K587" t="n">
        <v>1</v>
      </c>
      <c r="L587" t="inlineStr"/>
      <c r="M587" t="inlineStr"/>
    </row>
    <row r="588">
      <c r="A588" t="inlineStr">
        <is>
          <t>No</t>
        </is>
      </c>
      <c r="B588" t="inlineStr"/>
      <c r="C588" t="inlineStr"/>
      <c r="D588" t="inlineStr"/>
      <c r="E588" t="inlineStr"/>
      <c r="F588" t="inlineStr"/>
      <c r="G588" t="inlineStr"/>
      <c r="H588" t="inlineStr"/>
      <c r="I588" t="inlineStr"/>
      <c r="J588" t="b">
        <v>0</v>
      </c>
      <c r="K588" t="n">
        <v>0</v>
      </c>
      <c r="L588" t="inlineStr"/>
      <c r="M588" t="inlineStr"/>
    </row>
    <row r="589">
      <c r="A589" t="inlineStr">
        <is>
          <t>Yes</t>
        </is>
      </c>
      <c r="B589" t="inlineStr">
        <is>
          <t>Need and my daughter said it was okay</t>
        </is>
      </c>
      <c r="C589" t="inlineStr">
        <is>
          <t>Other / Uncategorized</t>
        </is>
      </c>
      <c r="D589" t="inlineStr"/>
      <c r="E589" t="inlineStr"/>
      <c r="F589" t="inlineStr"/>
      <c r="G589" t="inlineStr"/>
      <c r="H589" t="inlineStr"/>
      <c r="I589" t="inlineStr"/>
      <c r="J589" t="b">
        <v>0</v>
      </c>
      <c r="K589" t="n">
        <v>0</v>
      </c>
      <c r="L589" t="inlineStr"/>
      <c r="M589" t="inlineStr"/>
    </row>
    <row r="590">
      <c r="A590" t="inlineStr">
        <is>
          <t>No</t>
        </is>
      </c>
      <c r="B590" t="inlineStr"/>
      <c r="C590" t="inlineStr"/>
      <c r="D590" t="inlineStr"/>
      <c r="E590" t="inlineStr">
        <is>
          <t>Work, ill probably go later</t>
        </is>
      </c>
      <c r="F590" t="inlineStr">
        <is>
          <t>Work Schedule / Time Off</t>
        </is>
      </c>
      <c r="G590" t="inlineStr">
        <is>
          <t>Work Schedule / Time Off</t>
        </is>
      </c>
      <c r="H590" t="inlineStr"/>
      <c r="I590" t="inlineStr">
        <is>
          <t>HXP Can Influence</t>
        </is>
      </c>
      <c r="J590" t="b">
        <v>0</v>
      </c>
      <c r="K590" t="n">
        <v>1</v>
      </c>
      <c r="L590" t="inlineStr"/>
      <c r="M590" t="inlineStr"/>
    </row>
    <row r="591">
      <c r="A591" t="inlineStr">
        <is>
          <t>No</t>
        </is>
      </c>
      <c r="B591" t="inlineStr"/>
      <c r="C591" t="inlineStr"/>
      <c r="D591" t="inlineStr"/>
      <c r="E591" t="inlineStr"/>
      <c r="F591" t="inlineStr"/>
      <c r="G591" t="inlineStr"/>
      <c r="H591" t="inlineStr"/>
      <c r="I591" t="inlineStr"/>
      <c r="J591" t="b">
        <v>0</v>
      </c>
      <c r="K591" t="n">
        <v>0</v>
      </c>
      <c r="L591" t="inlineStr"/>
      <c r="M591" t="inlineStr"/>
    </row>
    <row r="592">
      <c r="A592" t="inlineStr">
        <is>
          <t>No</t>
        </is>
      </c>
      <c r="B592" t="inlineStr"/>
      <c r="C592" t="inlineStr"/>
      <c r="D592" t="inlineStr"/>
      <c r="E592" t="inlineStr">
        <is>
          <t>Cost</t>
        </is>
      </c>
      <c r="F592" t="inlineStr">
        <is>
          <t>Cost / Finances</t>
        </is>
      </c>
      <c r="G592" t="inlineStr">
        <is>
          <t>Cost / Finances</t>
        </is>
      </c>
      <c r="H592" t="inlineStr"/>
      <c r="I592" t="inlineStr">
        <is>
          <t>HXP Can Directly Fix</t>
        </is>
      </c>
      <c r="J592" t="b">
        <v>0</v>
      </c>
      <c r="K592" t="n">
        <v>1</v>
      </c>
      <c r="L592" t="inlineStr"/>
      <c r="M592" t="inlineStr"/>
    </row>
    <row r="593">
      <c r="A593" t="inlineStr">
        <is>
          <t>No</t>
        </is>
      </c>
      <c r="B593" t="inlineStr"/>
      <c r="C593" t="inlineStr"/>
      <c r="D593" t="inlineStr"/>
      <c r="E593" t="inlineStr">
        <is>
          <t>Family responsibilities at home and builder wants an independent experience</t>
        </is>
      </c>
      <c r="F593" t="inlineStr">
        <is>
          <t>Work Schedule / Time Off</t>
        </is>
      </c>
      <c r="G593" t="inlineStr">
        <is>
          <t>Work Schedule / Time Off; Wants Child to Have Independent Experience</t>
        </is>
      </c>
      <c r="H593" t="inlineStr"/>
      <c r="I593" t="inlineStr">
        <is>
          <t>HXP Can Influence</t>
        </is>
      </c>
      <c r="J593" t="b">
        <v>0</v>
      </c>
      <c r="K593" t="n">
        <v>2</v>
      </c>
      <c r="L593" t="inlineStr"/>
      <c r="M593" t="inlineStr"/>
    </row>
    <row r="594">
      <c r="A594" t="inlineStr">
        <is>
          <t>No</t>
        </is>
      </c>
      <c r="B594" t="inlineStr"/>
      <c r="C594" t="inlineStr"/>
      <c r="D594" t="inlineStr"/>
      <c r="E594" t="inlineStr">
        <is>
          <t>Unable to get that much time off of work.</t>
        </is>
      </c>
      <c r="F594" t="inlineStr">
        <is>
          <t>Work Schedule / Time Off</t>
        </is>
      </c>
      <c r="G594" t="inlineStr">
        <is>
          <t>Work Schedule / Time Off</t>
        </is>
      </c>
      <c r="H594" t="inlineStr"/>
      <c r="I594" t="inlineStr">
        <is>
          <t>HXP Can Influence</t>
        </is>
      </c>
      <c r="J594" t="b">
        <v>0</v>
      </c>
      <c r="K594" t="n">
        <v>1</v>
      </c>
      <c r="L594" t="inlineStr"/>
      <c r="M594" t="inlineStr"/>
    </row>
    <row r="595">
      <c r="A595" t="inlineStr">
        <is>
          <t>No</t>
        </is>
      </c>
      <c r="B595" t="inlineStr"/>
      <c r="C595" t="inlineStr"/>
      <c r="D595" t="inlineStr"/>
      <c r="E595" t="inlineStr">
        <is>
          <t>I just need my other kids to be older or I'd be there in a heartbeat!</t>
        </is>
      </c>
      <c r="F595" t="inlineStr">
        <is>
          <t>Other Kids / Family at Home</t>
        </is>
      </c>
      <c r="G595" t="inlineStr">
        <is>
          <t>Other Kids / Family at Home</t>
        </is>
      </c>
      <c r="H595" t="inlineStr"/>
      <c r="I595" t="inlineStr">
        <is>
          <t>Family's Own Choice</t>
        </is>
      </c>
      <c r="J595" t="b">
        <v>0</v>
      </c>
      <c r="K595" t="n">
        <v>1</v>
      </c>
      <c r="L595" t="inlineStr"/>
      <c r="M595" t="inlineStr"/>
    </row>
    <row r="596">
      <c r="A596" t="inlineStr">
        <is>
          <t>No</t>
        </is>
      </c>
      <c r="B596" t="inlineStr"/>
      <c r="C596" t="inlineStr"/>
      <c r="D596" t="inlineStr"/>
      <c r="E596" t="inlineStr">
        <is>
          <t>Allow my daughter time and growth Independent of parents</t>
        </is>
      </c>
      <c r="F596" t="inlineStr">
        <is>
          <t>Work Schedule / Time Off</t>
        </is>
      </c>
      <c r="G596" t="inlineStr">
        <is>
          <t>Work Schedule / Time Off; Wants Child to Have Independent Experience</t>
        </is>
      </c>
      <c r="H596" t="inlineStr"/>
      <c r="I596" t="inlineStr">
        <is>
          <t>HXP Can Influence</t>
        </is>
      </c>
      <c r="J596" t="b">
        <v>0</v>
      </c>
      <c r="K596" t="n">
        <v>2</v>
      </c>
      <c r="L596" t="inlineStr"/>
      <c r="M596" t="inlineStr"/>
    </row>
    <row r="597">
      <c r="A597" t="inlineStr">
        <is>
          <t>No</t>
        </is>
      </c>
      <c r="B597" t="inlineStr"/>
      <c r="C597" t="inlineStr"/>
      <c r="D597" t="inlineStr"/>
      <c r="E597" t="inlineStr"/>
      <c r="F597" t="inlineStr"/>
      <c r="G597" t="inlineStr"/>
      <c r="H597" t="inlineStr"/>
      <c r="I597" t="inlineStr"/>
      <c r="J597" t="b">
        <v>0</v>
      </c>
      <c r="K597" t="n">
        <v>0</v>
      </c>
      <c r="L597" t="inlineStr"/>
      <c r="M597" t="inlineStr"/>
    </row>
    <row r="598">
      <c r="A598" t="inlineStr">
        <is>
          <t>Yes</t>
        </is>
      </c>
      <c r="B598" t="inlineStr"/>
      <c r="C598" t="inlineStr"/>
      <c r="D598" t="inlineStr"/>
      <c r="E598" t="inlineStr"/>
      <c r="F598" t="inlineStr"/>
      <c r="G598" t="inlineStr"/>
      <c r="H598" t="inlineStr"/>
      <c r="I598" t="inlineStr"/>
      <c r="J598" t="b">
        <v>0</v>
      </c>
      <c r="K598" t="n">
        <v>0</v>
      </c>
      <c r="L598" t="inlineStr"/>
      <c r="M598" t="inlineStr"/>
    </row>
    <row r="599">
      <c r="A599" t="inlineStr">
        <is>
          <t>Yes</t>
        </is>
      </c>
      <c r="B599" t="inlineStr">
        <is>
          <t>Wanting to experience some of the things they have experienced with their previous trips. This is also my youngest and so last opportunity.</t>
        </is>
      </c>
      <c r="C599" t="inlineStr">
        <is>
          <t>Wanted Shared Experience with Child</t>
        </is>
      </c>
      <c r="D599" t="inlineStr">
        <is>
          <t>Wanted Shared Experience with Child; Previous Positive Experience</t>
        </is>
      </c>
      <c r="E599" t="inlineStr"/>
      <c r="F599" t="inlineStr"/>
      <c r="G599" t="inlineStr"/>
      <c r="H599" t="inlineStr"/>
      <c r="I599" t="inlineStr"/>
      <c r="J599" t="b">
        <v>0</v>
      </c>
      <c r="K599" t="n">
        <v>0</v>
      </c>
      <c r="L599" t="inlineStr"/>
      <c r="M599" t="inlineStr"/>
    </row>
    <row r="600">
      <c r="A600" t="inlineStr">
        <is>
          <t>No</t>
        </is>
      </c>
      <c r="B600" t="inlineStr"/>
      <c r="C600" t="inlineStr"/>
      <c r="D600" t="inlineStr"/>
      <c r="E600" t="inlineStr">
        <is>
          <t>Brighton did not want either of us to go, he wanted to go on his own. He wanted an experience on his own before he goes on his mission in a year.</t>
        </is>
      </c>
      <c r="F600" t="inlineStr">
        <is>
          <t>Wants Child to Have Independent Experience</t>
        </is>
      </c>
      <c r="G600" t="inlineStr">
        <is>
          <t>Wants Child to Have Independent Experience; Other Life Commitment</t>
        </is>
      </c>
      <c r="H600" t="inlineStr"/>
      <c r="I600" t="inlineStr">
        <is>
          <t>Family's Own Choice</t>
        </is>
      </c>
      <c r="J600" t="b">
        <v>0</v>
      </c>
      <c r="K600" t="n">
        <v>2</v>
      </c>
      <c r="L600" t="inlineStr"/>
      <c r="M600" t="inlineStr"/>
    </row>
    <row r="601">
      <c r="A601" t="inlineStr">
        <is>
          <t>No</t>
        </is>
      </c>
      <c r="B601" t="inlineStr"/>
      <c r="C601" t="inlineStr"/>
      <c r="D601" t="inlineStr"/>
      <c r="E601" t="inlineStr">
        <is>
          <t>Money, but would love to go in the future</t>
        </is>
      </c>
      <c r="F601" t="inlineStr">
        <is>
          <t>Cost / Finances</t>
        </is>
      </c>
      <c r="G601" t="inlineStr">
        <is>
          <t>Cost / Finances</t>
        </is>
      </c>
      <c r="H601" t="inlineStr"/>
      <c r="I601" t="inlineStr">
        <is>
          <t>HXP Can Directly Fix</t>
        </is>
      </c>
      <c r="J601" t="b">
        <v>1</v>
      </c>
      <c r="K601" t="n">
        <v>1</v>
      </c>
      <c r="L601" t="inlineStr"/>
      <c r="M601" t="inlineStr"/>
    </row>
    <row r="602">
      <c r="A602" t="inlineStr">
        <is>
          <t>Yes</t>
        </is>
      </c>
      <c r="B602" t="inlineStr">
        <is>
          <t>I have always wanted to do something like this.</t>
        </is>
      </c>
      <c r="C602" t="inlineStr">
        <is>
          <t>Other / Uncategorized</t>
        </is>
      </c>
      <c r="D602" t="inlineStr"/>
      <c r="E602" t="inlineStr"/>
      <c r="F602" t="inlineStr"/>
      <c r="G602" t="inlineStr"/>
      <c r="H602" t="inlineStr"/>
      <c r="I602" t="inlineStr"/>
      <c r="J602" t="b">
        <v>0</v>
      </c>
      <c r="K602" t="n">
        <v>0</v>
      </c>
      <c r="L602" t="inlineStr"/>
      <c r="M602" t="inlineStr"/>
    </row>
    <row r="603">
      <c r="A603" t="inlineStr">
        <is>
          <t>No</t>
        </is>
      </c>
      <c r="B603" t="inlineStr"/>
      <c r="C603" t="inlineStr"/>
      <c r="D603" t="inlineStr"/>
      <c r="E603" t="inlineStr">
        <is>
          <t>Time and money. I would love to go at some point.</t>
        </is>
      </c>
      <c r="F603" t="inlineStr">
        <is>
          <t>Cost / Finances</t>
        </is>
      </c>
      <c r="G603" t="inlineStr">
        <is>
          <t>Cost / Finances; Work Schedule / Time Off</t>
        </is>
      </c>
      <c r="H603" t="inlineStr"/>
      <c r="I603" t="inlineStr">
        <is>
          <t>HXP Can Directly Fix</t>
        </is>
      </c>
      <c r="J603" t="b">
        <v>1</v>
      </c>
      <c r="K603" t="n">
        <v>2</v>
      </c>
      <c r="L603" t="inlineStr"/>
      <c r="M603" t="inlineStr"/>
    </row>
    <row r="604">
      <c r="A604" t="inlineStr">
        <is>
          <t>No</t>
        </is>
      </c>
      <c r="B604" t="inlineStr"/>
      <c r="C604" t="inlineStr"/>
      <c r="D604" t="inlineStr"/>
      <c r="E604" t="inlineStr"/>
      <c r="F604" t="inlineStr"/>
      <c r="G604" t="inlineStr"/>
      <c r="H604" t="inlineStr"/>
      <c r="I604" t="inlineStr"/>
      <c r="J604" t="b">
        <v>0</v>
      </c>
      <c r="K604" t="n">
        <v>0</v>
      </c>
      <c r="L604" t="inlineStr"/>
      <c r="M604" t="inlineStr"/>
    </row>
    <row r="605">
      <c r="A605" t="inlineStr">
        <is>
          <t>No</t>
        </is>
      </c>
      <c r="B605" t="inlineStr"/>
      <c r="C605" t="inlineStr"/>
      <c r="D605" t="inlineStr"/>
      <c r="E605" t="inlineStr">
        <is>
          <t>We wanted our kids to have the opportunity to go parent free</t>
        </is>
      </c>
      <c r="F605" t="inlineStr">
        <is>
          <t>Wants Child to Have Independent Experience</t>
        </is>
      </c>
      <c r="G605" t="inlineStr">
        <is>
          <t>Wants Child to Have Independent Experience</t>
        </is>
      </c>
      <c r="H605" t="inlineStr"/>
      <c r="I605" t="inlineStr">
        <is>
          <t>Family's Own Choice</t>
        </is>
      </c>
      <c r="J605" t="b">
        <v>0</v>
      </c>
      <c r="K605" t="n">
        <v>1</v>
      </c>
      <c r="L605" t="inlineStr"/>
      <c r="M605" t="inlineStr"/>
    </row>
    <row r="606">
      <c r="A606" t="inlineStr">
        <is>
          <t>No</t>
        </is>
      </c>
      <c r="B606" t="inlineStr"/>
      <c r="C606" t="inlineStr"/>
      <c r="D606" t="inlineStr"/>
      <c r="E606" t="inlineStr">
        <is>
          <t>I travelled on humanitarian trips when I was young, without my parents. This was an incredible time for me to grow. I want the same for my daughter.</t>
        </is>
      </c>
      <c r="F606" t="inlineStr">
        <is>
          <t>Work Schedule / Time Off</t>
        </is>
      </c>
      <c r="G606" t="inlineStr">
        <is>
          <t>Work Schedule / Time Off; Wants Child to Have Independent Experience</t>
        </is>
      </c>
      <c r="H606" t="inlineStr"/>
      <c r="I606" t="inlineStr">
        <is>
          <t>HXP Can Influence</t>
        </is>
      </c>
      <c r="J606" t="b">
        <v>0</v>
      </c>
      <c r="K606" t="n">
        <v>2</v>
      </c>
      <c r="L606" t="inlineStr"/>
      <c r="M606" t="inlineStr"/>
    </row>
    <row r="607">
      <c r="A607" t="inlineStr">
        <is>
          <t>No</t>
        </is>
      </c>
      <c r="B607" t="inlineStr"/>
      <c r="C607" t="inlineStr"/>
      <c r="D607" t="inlineStr"/>
      <c r="E607" t="inlineStr"/>
      <c r="F607" t="inlineStr"/>
      <c r="G607" t="inlineStr"/>
      <c r="H607" t="inlineStr"/>
      <c r="I607" t="inlineStr"/>
      <c r="J607" t="b">
        <v>0</v>
      </c>
      <c r="K607" t="n">
        <v>0</v>
      </c>
      <c r="L607" t="inlineStr"/>
      <c r="M607" t="inlineStr"/>
    </row>
    <row r="608">
      <c r="A608" t="inlineStr">
        <is>
          <t>No</t>
        </is>
      </c>
      <c r="B608" t="inlineStr"/>
      <c r="C608" t="inlineStr"/>
      <c r="D608" t="inlineStr"/>
      <c r="E608" t="inlineStr">
        <is>
          <t>Other children at home</t>
        </is>
      </c>
      <c r="F608" t="inlineStr">
        <is>
          <t>Other Kids / Family at Home</t>
        </is>
      </c>
      <c r="G608" t="inlineStr">
        <is>
          <t>Other Kids / Family at Home</t>
        </is>
      </c>
      <c r="H608" t="inlineStr"/>
      <c r="I608" t="inlineStr">
        <is>
          <t>Family's Own Choice</t>
        </is>
      </c>
      <c r="J608" t="b">
        <v>0</v>
      </c>
      <c r="K608" t="n">
        <v>1</v>
      </c>
      <c r="L608" t="inlineStr"/>
      <c r="M608" t="inlineStr"/>
    </row>
    <row r="609">
      <c r="A609" t="inlineStr">
        <is>
          <t>No</t>
        </is>
      </c>
      <c r="B609" t="inlineStr"/>
      <c r="C609" t="inlineStr"/>
      <c r="D609" t="inlineStr"/>
      <c r="E609" t="inlineStr">
        <is>
          <t>Other kids are too young planning on going when they're older.</t>
        </is>
      </c>
      <c r="F609" t="inlineStr">
        <is>
          <t>Other Kids / Family at Home</t>
        </is>
      </c>
      <c r="G609" t="inlineStr">
        <is>
          <t>Other Kids / Family at Home</t>
        </is>
      </c>
      <c r="H609" t="inlineStr"/>
      <c r="I609" t="inlineStr">
        <is>
          <t>Family's Own Choice</t>
        </is>
      </c>
      <c r="J609" t="b">
        <v>0</v>
      </c>
      <c r="K609" t="n">
        <v>1</v>
      </c>
      <c r="L609" t="inlineStr"/>
      <c r="M609" t="inlineStr"/>
    </row>
    <row r="610">
      <c r="A610" t="inlineStr">
        <is>
          <t>No</t>
        </is>
      </c>
      <c r="B610" t="inlineStr"/>
      <c r="C610" t="inlineStr"/>
      <c r="D610" t="inlineStr"/>
      <c r="E610" t="inlineStr">
        <is>
          <t>Daughter wanted to go alone</t>
        </is>
      </c>
      <c r="F610" t="inlineStr">
        <is>
          <t>Wants Child to Have Independent Experience</t>
        </is>
      </c>
      <c r="G610" t="inlineStr">
        <is>
          <t>Wants Child to Have Independent Experience</t>
        </is>
      </c>
      <c r="H610" t="inlineStr"/>
      <c r="I610" t="inlineStr">
        <is>
          <t>Family's Own Choice</t>
        </is>
      </c>
      <c r="J610" t="b">
        <v>0</v>
      </c>
      <c r="K610" t="n">
        <v>1</v>
      </c>
      <c r="L610" t="inlineStr"/>
      <c r="M610" t="inlineStr"/>
    </row>
    <row r="611">
      <c r="A611" t="inlineStr">
        <is>
          <t>No</t>
        </is>
      </c>
      <c r="B611" t="inlineStr"/>
      <c r="C611" t="inlineStr"/>
      <c r="D611" t="inlineStr"/>
      <c r="E611" t="inlineStr">
        <is>
          <t>I've been a parent builder twice before and my daughter wants to go without me 😂</t>
        </is>
      </c>
      <c r="F611" t="inlineStr">
        <is>
          <t>Wants Child to Have Independent Experience</t>
        </is>
      </c>
      <c r="G611" t="inlineStr">
        <is>
          <t>Wants Child to Have Independent Experience</t>
        </is>
      </c>
      <c r="H611" t="inlineStr"/>
      <c r="I611" t="inlineStr">
        <is>
          <t>Family's Own Choice</t>
        </is>
      </c>
      <c r="J611" t="b">
        <v>0</v>
      </c>
      <c r="K611" t="n">
        <v>1</v>
      </c>
      <c r="L611" t="inlineStr"/>
      <c r="M611" t="inlineStr"/>
    </row>
    <row r="612">
      <c r="A612" t="inlineStr">
        <is>
          <t>No</t>
        </is>
      </c>
      <c r="B612" t="inlineStr"/>
      <c r="C612" t="inlineStr"/>
      <c r="D612" t="inlineStr"/>
      <c r="E612" t="inlineStr">
        <is>
          <t>Having other children at home</t>
        </is>
      </c>
      <c r="F612" t="inlineStr">
        <is>
          <t>Other Kids / Family at Home</t>
        </is>
      </c>
      <c r="G612" t="inlineStr">
        <is>
          <t>Other Kids / Family at Home</t>
        </is>
      </c>
      <c r="H612" t="inlineStr"/>
      <c r="I612" t="inlineStr">
        <is>
          <t>Family's Own Choice</t>
        </is>
      </c>
      <c r="J612" t="b">
        <v>0</v>
      </c>
      <c r="K612" t="n">
        <v>1</v>
      </c>
      <c r="L612" t="inlineStr"/>
      <c r="M612" t="inlineStr"/>
    </row>
    <row r="613">
      <c r="A613" t="inlineStr">
        <is>
          <t>Maybe</t>
        </is>
      </c>
      <c r="B613" t="inlineStr"/>
      <c r="C613" t="inlineStr"/>
      <c r="D613" t="inlineStr"/>
      <c r="E613" t="inlineStr"/>
      <c r="F613" t="inlineStr"/>
      <c r="G613" t="inlineStr"/>
      <c r="H613" t="inlineStr">
        <is>
          <t>I would've loved to go on this one. My daughter wasn't as excited when we were signing up! But now she wishes I were going! 😂</t>
        </is>
      </c>
      <c r="I613" t="inlineStr"/>
      <c r="J613" t="b">
        <v>0</v>
      </c>
      <c r="K613" t="n">
        <v>0</v>
      </c>
      <c r="L613" t="inlineStr">
        <is>
          <t>Other / Uncategorized</t>
        </is>
      </c>
      <c r="M613" t="inlineStr"/>
    </row>
    <row r="614">
      <c r="A614" t="inlineStr">
        <is>
          <t>No</t>
        </is>
      </c>
      <c r="B614" t="inlineStr"/>
      <c r="C614" t="inlineStr"/>
      <c r="D614" t="inlineStr"/>
      <c r="E614" t="inlineStr">
        <is>
          <t>I don't have enough vacation time from work</t>
        </is>
      </c>
      <c r="F614" t="inlineStr">
        <is>
          <t>Work Schedule / Time Off</t>
        </is>
      </c>
      <c r="G614" t="inlineStr">
        <is>
          <t>Work Schedule / Time Off</t>
        </is>
      </c>
      <c r="H614" t="inlineStr"/>
      <c r="I614" t="inlineStr">
        <is>
          <t>HXP Can Influence</t>
        </is>
      </c>
      <c r="J614" t="b">
        <v>0</v>
      </c>
      <c r="K614" t="n">
        <v>1</v>
      </c>
      <c r="L614" t="inlineStr"/>
      <c r="M614" t="inlineStr"/>
    </row>
    <row r="615">
      <c r="A615" t="inlineStr">
        <is>
          <t>No</t>
        </is>
      </c>
      <c r="B615" t="inlineStr"/>
      <c r="C615" t="inlineStr"/>
      <c r="D615" t="inlineStr"/>
      <c r="E615" t="inlineStr">
        <is>
          <t>Younger kids at home.</t>
        </is>
      </c>
      <c r="F615" t="inlineStr">
        <is>
          <t>Other Kids / Family at Home</t>
        </is>
      </c>
      <c r="G615" t="inlineStr">
        <is>
          <t>Other Kids / Family at Home</t>
        </is>
      </c>
      <c r="H615" t="inlineStr"/>
      <c r="I615" t="inlineStr">
        <is>
          <t>Family's Own Choice</t>
        </is>
      </c>
      <c r="J615" t="b">
        <v>0</v>
      </c>
      <c r="K615" t="n">
        <v>1</v>
      </c>
      <c r="L615" t="inlineStr"/>
      <c r="M615" t="inlineStr"/>
    </row>
    <row r="616">
      <c r="A616" t="inlineStr">
        <is>
          <t>Yes</t>
        </is>
      </c>
      <c r="B616" t="inlineStr">
        <is>
          <t>I want my children and other teens to realize that they can do hard things and that serving others is what brings us pure Joy. I loved the previous trips that I've gone with my other children.</t>
        </is>
      </c>
      <c r="C616" t="inlineStr">
        <is>
          <t>Previous Positive Experience</t>
        </is>
      </c>
      <c r="D616" t="inlineStr">
        <is>
          <t>Previous Positive Experience</t>
        </is>
      </c>
      <c r="E616" t="inlineStr"/>
      <c r="F616" t="inlineStr"/>
      <c r="G616" t="inlineStr"/>
      <c r="H616" t="inlineStr"/>
      <c r="I616" t="inlineStr"/>
      <c r="J616" t="b">
        <v>0</v>
      </c>
      <c r="K616" t="n">
        <v>0</v>
      </c>
      <c r="L616" t="inlineStr"/>
      <c r="M616" t="inlineStr"/>
    </row>
    <row r="617">
      <c r="A617" t="inlineStr">
        <is>
          <t>Yes</t>
        </is>
      </c>
      <c r="B617" t="inlineStr">
        <is>
          <t>Previous experiences with family and friends going</t>
        </is>
      </c>
      <c r="C617" t="inlineStr">
        <is>
          <t>Wanted Shared Experience with Child</t>
        </is>
      </c>
      <c r="D617" t="inlineStr">
        <is>
          <t>Wanted Shared Experience with Child; Previous Positive Experience</t>
        </is>
      </c>
      <c r="E617" t="inlineStr"/>
      <c r="F617" t="inlineStr"/>
      <c r="G617" t="inlineStr"/>
      <c r="H617" t="inlineStr"/>
      <c r="I617" t="inlineStr"/>
      <c r="J617" t="b">
        <v>0</v>
      </c>
      <c r="K617" t="n">
        <v>0</v>
      </c>
      <c r="L617" t="inlineStr"/>
      <c r="M617" t="inlineStr"/>
    </row>
    <row r="618">
      <c r="A618" t="inlineStr">
        <is>
          <t>No</t>
        </is>
      </c>
      <c r="B618" t="inlineStr"/>
      <c r="C618" t="inlineStr"/>
      <c r="D618" t="inlineStr"/>
      <c r="E618" t="inlineStr"/>
      <c r="F618" t="inlineStr"/>
      <c r="G618" t="inlineStr"/>
      <c r="H618" t="inlineStr"/>
      <c r="I618" t="inlineStr"/>
      <c r="J618" t="b">
        <v>0</v>
      </c>
      <c r="K618" t="n">
        <v>0</v>
      </c>
      <c r="L618" t="inlineStr"/>
      <c r="M618" t="inlineStr"/>
    </row>
    <row r="619">
      <c r="A619" t="inlineStr">
        <is>
          <t>No</t>
        </is>
      </c>
      <c r="B619" t="inlineStr"/>
      <c r="C619" t="inlineStr"/>
      <c r="D619" t="inlineStr"/>
      <c r="E619" t="inlineStr">
        <is>
          <t>Other children at home and job</t>
        </is>
      </c>
      <c r="F619" t="inlineStr">
        <is>
          <t>Work Schedule / Time Off</t>
        </is>
      </c>
      <c r="G619" t="inlineStr">
        <is>
          <t>Work Schedule / Time Off; Other Kids / Family at Home</t>
        </is>
      </c>
      <c r="H619" t="inlineStr"/>
      <c r="I619" t="inlineStr">
        <is>
          <t>HXP Can Influence</t>
        </is>
      </c>
      <c r="J619" t="b">
        <v>0</v>
      </c>
      <c r="K619" t="n">
        <v>2</v>
      </c>
      <c r="L619" t="inlineStr"/>
      <c r="M619" t="inlineStr"/>
    </row>
    <row r="620">
      <c r="A620" t="inlineStr">
        <is>
          <t>No</t>
        </is>
      </c>
      <c r="B620" t="inlineStr"/>
      <c r="C620" t="inlineStr"/>
      <c r="D620" t="inlineStr"/>
      <c r="E620" t="inlineStr">
        <is>
          <t>Cost. I would do a heartbeat! It's actually my dream.</t>
        </is>
      </c>
      <c r="F620" t="inlineStr">
        <is>
          <t>Cost / Finances</t>
        </is>
      </c>
      <c r="G620" t="inlineStr">
        <is>
          <t>Cost / Finances</t>
        </is>
      </c>
      <c r="H620" t="inlineStr"/>
      <c r="I620" t="inlineStr">
        <is>
          <t>HXP Can Directly Fix</t>
        </is>
      </c>
      <c r="J620" t="b">
        <v>0</v>
      </c>
      <c r="K620" t="n">
        <v>1</v>
      </c>
      <c r="L620" t="inlineStr"/>
      <c r="M620" t="inlineStr"/>
    </row>
    <row r="621">
      <c r="A621" t="inlineStr">
        <is>
          <t>No</t>
        </is>
      </c>
      <c r="B621" t="inlineStr"/>
      <c r="C621" t="inlineStr"/>
      <c r="D621" t="inlineStr"/>
      <c r="E621" t="inlineStr">
        <is>
          <t>Cost</t>
        </is>
      </c>
      <c r="F621" t="inlineStr">
        <is>
          <t>Cost / Finances</t>
        </is>
      </c>
      <c r="G621" t="inlineStr">
        <is>
          <t>Cost / Finances</t>
        </is>
      </c>
      <c r="H621" t="inlineStr"/>
      <c r="I621" t="inlineStr">
        <is>
          <t>HXP Can Directly Fix</t>
        </is>
      </c>
      <c r="J621" t="b">
        <v>0</v>
      </c>
      <c r="K621" t="n">
        <v>1</v>
      </c>
      <c r="L621" t="inlineStr"/>
      <c r="M621" t="inlineStr"/>
    </row>
    <row r="622">
      <c r="A622" t="inlineStr">
        <is>
          <t>Yes</t>
        </is>
      </c>
      <c r="B622" t="inlineStr">
        <is>
          <t>Just wanted to serve 🤍</t>
        </is>
      </c>
      <c r="C622" t="inlineStr">
        <is>
          <t>Faith / Service Motivation</t>
        </is>
      </c>
      <c r="D622" t="inlineStr">
        <is>
          <t>Faith / Service Motivation</t>
        </is>
      </c>
      <c r="E622" t="inlineStr"/>
      <c r="F622" t="inlineStr"/>
      <c r="G622" t="inlineStr"/>
      <c r="H622" t="inlineStr"/>
      <c r="I622" t="inlineStr"/>
      <c r="J622" t="b">
        <v>0</v>
      </c>
      <c r="K622" t="n">
        <v>0</v>
      </c>
      <c r="L622" t="inlineStr"/>
      <c r="M622" t="inlineStr"/>
    </row>
    <row r="623">
      <c r="A623" t="inlineStr">
        <is>
          <t>No</t>
        </is>
      </c>
      <c r="B623" t="inlineStr"/>
      <c r="C623" t="inlineStr"/>
      <c r="D623" t="inlineStr"/>
      <c r="E623" t="inlineStr"/>
      <c r="F623" t="inlineStr"/>
      <c r="G623" t="inlineStr"/>
      <c r="H623" t="inlineStr"/>
      <c r="I623" t="inlineStr"/>
      <c r="J623" t="b">
        <v>0</v>
      </c>
      <c r="K623" t="n">
        <v>0</v>
      </c>
      <c r="L623" t="inlineStr"/>
      <c r="M623" t="inlineStr"/>
    </row>
    <row r="624">
      <c r="A624" t="inlineStr">
        <is>
          <t>No</t>
        </is>
      </c>
      <c r="B624" t="inlineStr"/>
      <c r="C624" t="inlineStr"/>
      <c r="D624" t="inlineStr"/>
      <c r="E624" t="inlineStr">
        <is>
          <t>Financial</t>
        </is>
      </c>
      <c r="F624" t="inlineStr">
        <is>
          <t>Cost / Finances</t>
        </is>
      </c>
      <c r="G624" t="inlineStr">
        <is>
          <t>Cost / Finances</t>
        </is>
      </c>
      <c r="H624" t="inlineStr"/>
      <c r="I624" t="inlineStr">
        <is>
          <t>HXP Can Directly Fix</t>
        </is>
      </c>
      <c r="J624" t="b">
        <v>0</v>
      </c>
      <c r="K624" t="n">
        <v>1</v>
      </c>
      <c r="L624" t="inlineStr"/>
      <c r="M624" t="inlineStr"/>
    </row>
    <row r="625">
      <c r="A625" t="inlineStr">
        <is>
          <t>No</t>
        </is>
      </c>
      <c r="B625" t="inlineStr"/>
      <c r="C625" t="inlineStr"/>
      <c r="D625" t="inlineStr"/>
      <c r="E625" t="inlineStr"/>
      <c r="F625" t="inlineStr"/>
      <c r="G625" t="inlineStr"/>
      <c r="H625" t="inlineStr"/>
      <c r="I625" t="inlineStr"/>
      <c r="J625" t="b">
        <v>0</v>
      </c>
      <c r="K625" t="n">
        <v>0</v>
      </c>
      <c r="L625" t="inlineStr"/>
      <c r="M625" t="inlineStr"/>
    </row>
    <row r="626">
      <c r="A626" t="inlineStr">
        <is>
          <t>Maybe</t>
        </is>
      </c>
      <c r="B626" t="inlineStr"/>
      <c r="C626" t="inlineStr"/>
      <c r="D626" t="inlineStr"/>
      <c r="E626" t="inlineStr"/>
      <c r="F626" t="inlineStr"/>
      <c r="G626" t="inlineStr"/>
      <c r="H626" t="inlineStr">
        <is>
          <t>Not sure</t>
        </is>
      </c>
      <c r="I626" t="inlineStr"/>
      <c r="J626" t="b">
        <v>0</v>
      </c>
      <c r="K626" t="n">
        <v>0</v>
      </c>
      <c r="L626" t="inlineStr">
        <is>
          <t>No Specific Ask / Undecided</t>
        </is>
      </c>
      <c r="M626" t="inlineStr">
        <is>
          <t>No Specific Ask / Undecided</t>
        </is>
      </c>
    </row>
    <row r="627">
      <c r="A627" t="inlineStr">
        <is>
          <t>Maybe</t>
        </is>
      </c>
      <c r="B627" t="inlineStr"/>
      <c r="C627" t="inlineStr"/>
      <c r="D627" t="inlineStr"/>
      <c r="E627" t="inlineStr"/>
      <c r="F627" t="inlineStr"/>
      <c r="G627" t="inlineStr"/>
      <c r="H627" t="inlineStr"/>
      <c r="I627" t="inlineStr"/>
      <c r="J627" t="b">
        <v>0</v>
      </c>
      <c r="K627" t="n">
        <v>0</v>
      </c>
      <c r="L627" t="inlineStr"/>
      <c r="M627" t="inlineStr"/>
    </row>
    <row r="628">
      <c r="A628" t="inlineStr">
        <is>
          <t>No</t>
        </is>
      </c>
      <c r="B628" t="inlineStr"/>
      <c r="C628" t="inlineStr"/>
      <c r="D628" t="inlineStr"/>
      <c r="E628" t="inlineStr">
        <is>
          <t>I would have loved to go but my brother in law wanted to go with my daughter</t>
        </is>
      </c>
      <c r="F628" t="inlineStr">
        <is>
          <t>Another Family Member Going Instead</t>
        </is>
      </c>
      <c r="G628" t="inlineStr">
        <is>
          <t>Another Family Member Going Instead</t>
        </is>
      </c>
      <c r="H628" t="inlineStr"/>
      <c r="I628" t="inlineStr">
        <is>
          <t>Family's Own Choice</t>
        </is>
      </c>
      <c r="J628" t="b">
        <v>0</v>
      </c>
      <c r="K628" t="n">
        <v>1</v>
      </c>
      <c r="L628" t="inlineStr"/>
      <c r="M628" t="inlineStr"/>
    </row>
    <row r="629">
      <c r="A629" t="inlineStr">
        <is>
          <t>Yes</t>
        </is>
      </c>
      <c r="B629" t="inlineStr">
        <is>
          <t>My builder.</t>
        </is>
      </c>
      <c r="C629" t="inlineStr">
        <is>
          <t>Family Member Was the Reason (No Elaboration)</t>
        </is>
      </c>
      <c r="D629" t="inlineStr">
        <is>
          <t>Family Member Was the Reason (No Elaboration)</t>
        </is>
      </c>
      <c r="E629" t="inlineStr"/>
      <c r="F629" t="inlineStr"/>
      <c r="G629" t="inlineStr"/>
      <c r="H629" t="inlineStr"/>
      <c r="I629" t="inlineStr"/>
      <c r="J629" t="b">
        <v>0</v>
      </c>
      <c r="K629" t="n">
        <v>0</v>
      </c>
      <c r="L629" t="inlineStr"/>
      <c r="M629" t="inlineStr"/>
    </row>
    <row r="630">
      <c r="A630" t="inlineStr">
        <is>
          <t>Yes</t>
        </is>
      </c>
      <c r="B630" t="inlineStr">
        <is>
          <t>Time with my child</t>
        </is>
      </c>
      <c r="C630" t="inlineStr">
        <is>
          <t>Wanted Shared Experience with Child</t>
        </is>
      </c>
      <c r="D630" t="inlineStr">
        <is>
          <t>Wanted Shared Experience with Child</t>
        </is>
      </c>
      <c r="E630" t="inlineStr"/>
      <c r="F630" t="inlineStr"/>
      <c r="G630" t="inlineStr"/>
      <c r="H630" t="inlineStr"/>
      <c r="I630" t="inlineStr"/>
      <c r="J630" t="b">
        <v>0</v>
      </c>
      <c r="K630" t="n">
        <v>0</v>
      </c>
      <c r="L630" t="inlineStr"/>
      <c r="M630" t="inlineStr"/>
    </row>
    <row r="631">
      <c r="A631" t="inlineStr">
        <is>
          <t>Yes</t>
        </is>
      </c>
      <c r="B631" t="inlineStr">
        <is>
          <t>Wanted a meaningful experience serving with my son</t>
        </is>
      </c>
      <c r="C631" t="inlineStr">
        <is>
          <t>Wanted Shared Experience with Child</t>
        </is>
      </c>
      <c r="D631" t="inlineStr">
        <is>
          <t>Wanted Shared Experience with Child</t>
        </is>
      </c>
      <c r="E631" t="inlineStr"/>
      <c r="F631" t="inlineStr"/>
      <c r="G631" t="inlineStr"/>
      <c r="H631" t="inlineStr"/>
      <c r="I631" t="inlineStr"/>
      <c r="J631" t="b">
        <v>0</v>
      </c>
      <c r="K631" t="n">
        <v>0</v>
      </c>
      <c r="L631" t="inlineStr"/>
      <c r="M631" t="inlineStr"/>
    </row>
    <row r="632">
      <c r="A632" t="inlineStr">
        <is>
          <t>No</t>
        </is>
      </c>
      <c r="B632" t="inlineStr"/>
      <c r="C632" t="inlineStr"/>
      <c r="D632" t="inlineStr"/>
      <c r="E632" t="inlineStr">
        <is>
          <t>I want my son to have an experience without me to grow.</t>
        </is>
      </c>
      <c r="F632" t="inlineStr">
        <is>
          <t>Wants Child to Have Independent Experience</t>
        </is>
      </c>
      <c r="G632" t="inlineStr">
        <is>
          <t>Wants Child to Have Independent Experience</t>
        </is>
      </c>
      <c r="H632" t="inlineStr"/>
      <c r="I632" t="inlineStr">
        <is>
          <t>Family's Own Choice</t>
        </is>
      </c>
      <c r="J632" t="b">
        <v>0</v>
      </c>
      <c r="K632" t="n">
        <v>1</v>
      </c>
      <c r="L632" t="inlineStr"/>
      <c r="M632" t="inlineStr"/>
    </row>
    <row r="633">
      <c r="A633" t="inlineStr">
        <is>
          <t>Maybe</t>
        </is>
      </c>
      <c r="B633" t="inlineStr"/>
      <c r="C633" t="inlineStr"/>
      <c r="D633" t="inlineStr"/>
      <c r="E633" t="inlineStr"/>
      <c r="F633" t="inlineStr"/>
      <c r="G633" t="inlineStr"/>
      <c r="H633" t="inlineStr">
        <is>
          <t>My kids grew out of the age range for builders</t>
        </is>
      </c>
      <c r="I633" t="inlineStr"/>
      <c r="J633" t="b">
        <v>0</v>
      </c>
      <c r="K633" t="n">
        <v>0</v>
      </c>
      <c r="L633" t="inlineStr">
        <is>
          <t>Waiting for Right Timing (kids' ages)</t>
        </is>
      </c>
      <c r="M633" t="inlineStr">
        <is>
          <t>Waiting for Right Timing (kids' ages)</t>
        </is>
      </c>
    </row>
    <row r="634">
      <c r="A634" t="inlineStr">
        <is>
          <t>No</t>
        </is>
      </c>
      <c r="B634" t="inlineStr"/>
      <c r="C634" t="inlineStr"/>
      <c r="D634" t="inlineStr"/>
      <c r="E634" t="inlineStr">
        <is>
          <t>I have been twice as a parent builder. My husband called "dibs" for this trip.</t>
        </is>
      </c>
      <c r="F634" t="inlineStr">
        <is>
          <t>Another Family Member Going Instead</t>
        </is>
      </c>
      <c r="G634" t="inlineStr">
        <is>
          <t>Another Family Member Going Instead</t>
        </is>
      </c>
      <c r="H634" t="inlineStr"/>
      <c r="I634" t="inlineStr">
        <is>
          <t>Family's Own Choice</t>
        </is>
      </c>
      <c r="J634" t="b">
        <v>0</v>
      </c>
      <c r="K634" t="n">
        <v>1</v>
      </c>
      <c r="L634" t="inlineStr"/>
      <c r="M634" t="inlineStr"/>
    </row>
    <row r="635">
      <c r="A635" t="inlineStr">
        <is>
          <t>No</t>
        </is>
      </c>
      <c r="B635" t="inlineStr"/>
      <c r="C635" t="inlineStr"/>
      <c r="D635" t="inlineStr"/>
      <c r="E635" t="inlineStr">
        <is>
          <t>Kids at home</t>
        </is>
      </c>
      <c r="F635" t="inlineStr">
        <is>
          <t>Other Kids / Family at Home</t>
        </is>
      </c>
      <c r="G635" t="inlineStr">
        <is>
          <t>Other Kids / Family at Home</t>
        </is>
      </c>
      <c r="H635" t="inlineStr"/>
      <c r="I635" t="inlineStr">
        <is>
          <t>Family's Own Choice</t>
        </is>
      </c>
      <c r="J635" t="b">
        <v>0</v>
      </c>
      <c r="K635" t="n">
        <v>1</v>
      </c>
      <c r="L635" t="inlineStr"/>
      <c r="M635" t="inlineStr"/>
    </row>
    <row r="636">
      <c r="A636" t="inlineStr">
        <is>
          <t>No</t>
        </is>
      </c>
      <c r="B636" t="inlineStr"/>
      <c r="C636" t="inlineStr"/>
      <c r="D636" t="inlineStr"/>
      <c r="E636" t="inlineStr"/>
      <c r="F636" t="inlineStr"/>
      <c r="G636" t="inlineStr"/>
      <c r="H636" t="inlineStr"/>
      <c r="I636" t="inlineStr"/>
      <c r="J636" t="b">
        <v>0</v>
      </c>
      <c r="K636" t="n">
        <v>0</v>
      </c>
      <c r="L636" t="inlineStr"/>
      <c r="M636" t="inlineStr"/>
    </row>
    <row r="637">
      <c r="A637" t="inlineStr">
        <is>
          <t>No</t>
        </is>
      </c>
      <c r="B637" t="inlineStr"/>
      <c r="C637" t="inlineStr"/>
      <c r="D637" t="inlineStr"/>
      <c r="E637" t="inlineStr">
        <is>
          <t>Small kids at home I can't leave</t>
        </is>
      </c>
      <c r="F637" t="inlineStr">
        <is>
          <t>Other Kids / Family at Home</t>
        </is>
      </c>
      <c r="G637" t="inlineStr">
        <is>
          <t>Other Kids / Family at Home</t>
        </is>
      </c>
      <c r="H637" t="inlineStr"/>
      <c r="I637" t="inlineStr">
        <is>
          <t>Family's Own Choice</t>
        </is>
      </c>
      <c r="J637" t="b">
        <v>0</v>
      </c>
      <c r="K637" t="n">
        <v>1</v>
      </c>
      <c r="L637" t="inlineStr"/>
      <c r="M637" t="inlineStr"/>
    </row>
    <row r="638">
      <c r="A638" t="inlineStr">
        <is>
          <t>No</t>
        </is>
      </c>
      <c r="B638" t="inlineStr"/>
      <c r="C638" t="inlineStr"/>
      <c r="D638" t="inlineStr"/>
      <c r="E638" t="inlineStr">
        <is>
          <t>What her to have independence</t>
        </is>
      </c>
      <c r="F638" t="inlineStr">
        <is>
          <t>Wants Child to Have Independent Experience</t>
        </is>
      </c>
      <c r="G638" t="inlineStr">
        <is>
          <t>Wants Child to Have Independent Experience</t>
        </is>
      </c>
      <c r="H638" t="inlineStr"/>
      <c r="I638" t="inlineStr">
        <is>
          <t>Family's Own Choice</t>
        </is>
      </c>
      <c r="J638" t="b">
        <v>0</v>
      </c>
      <c r="K638" t="n">
        <v>1</v>
      </c>
      <c r="L638" t="inlineStr"/>
      <c r="M638" t="inlineStr"/>
    </row>
    <row r="639">
      <c r="A639" t="inlineStr">
        <is>
          <t>No</t>
        </is>
      </c>
      <c r="B639" t="inlineStr"/>
      <c r="C639" t="inlineStr"/>
      <c r="D639" t="inlineStr"/>
      <c r="E639" t="inlineStr">
        <is>
          <t>I have younger kids at home that I couldn't leave for that long. And work.</t>
        </is>
      </c>
      <c r="F639" t="inlineStr">
        <is>
          <t>Work Schedule / Time Off</t>
        </is>
      </c>
      <c r="G639" t="inlineStr">
        <is>
          <t>Work Schedule / Time Off; Other Kids / Family at Home</t>
        </is>
      </c>
      <c r="H639" t="inlineStr"/>
      <c r="I639" t="inlineStr">
        <is>
          <t>HXP Can Influence</t>
        </is>
      </c>
      <c r="J639" t="b">
        <v>0</v>
      </c>
      <c r="K639" t="n">
        <v>2</v>
      </c>
      <c r="L639" t="inlineStr"/>
      <c r="M639" t="inlineStr"/>
    </row>
    <row r="640">
      <c r="A640" t="inlineStr">
        <is>
          <t>No</t>
        </is>
      </c>
      <c r="B640" t="inlineStr"/>
      <c r="C640" t="inlineStr"/>
      <c r="D640" t="inlineStr"/>
      <c r="E640" t="inlineStr">
        <is>
          <t>I wanted my daughter to have this experience on her own.</t>
        </is>
      </c>
      <c r="F640" t="inlineStr">
        <is>
          <t>Wants Child to Have Independent Experience</t>
        </is>
      </c>
      <c r="G640" t="inlineStr">
        <is>
          <t>Wants Child to Have Independent Experience</t>
        </is>
      </c>
      <c r="H640" t="inlineStr"/>
      <c r="I640" t="inlineStr">
        <is>
          <t>Family's Own Choice</t>
        </is>
      </c>
      <c r="J640" t="b">
        <v>0</v>
      </c>
      <c r="K640" t="n">
        <v>1</v>
      </c>
      <c r="L640" t="inlineStr"/>
      <c r="M640" t="inlineStr"/>
    </row>
    <row r="641">
      <c r="A641" t="inlineStr">
        <is>
          <t>No</t>
        </is>
      </c>
      <c r="B641" t="inlineStr"/>
      <c r="C641" t="inlineStr"/>
      <c r="D641" t="inlineStr"/>
      <c r="E641" t="inlineStr">
        <is>
          <t>Our daughter asked to go on this trip alone without depending on us otherwise I for sure would have gone</t>
        </is>
      </c>
      <c r="F641" t="inlineStr">
        <is>
          <t>Wants Child to Have Independent Experience</t>
        </is>
      </c>
      <c r="G641" t="inlineStr">
        <is>
          <t>Wants Child to Have Independent Experience</t>
        </is>
      </c>
      <c r="H641" t="inlineStr"/>
      <c r="I641" t="inlineStr">
        <is>
          <t>Family's Own Choice</t>
        </is>
      </c>
      <c r="J641" t="b">
        <v>0</v>
      </c>
      <c r="K641" t="n">
        <v>1</v>
      </c>
      <c r="L641" t="inlineStr"/>
      <c r="M641" t="inlineStr"/>
    </row>
    <row r="642">
      <c r="A642" t="inlineStr">
        <is>
          <t>No</t>
        </is>
      </c>
      <c r="B642" t="inlineStr"/>
      <c r="C642" t="inlineStr"/>
      <c r="D642" t="inlineStr"/>
      <c r="E642" t="inlineStr">
        <is>
          <t>I don't have time plus the expenses</t>
        </is>
      </c>
      <c r="F642" t="inlineStr">
        <is>
          <t>Work Schedule / Time Off</t>
        </is>
      </c>
      <c r="G642" t="inlineStr">
        <is>
          <t>Work Schedule / Time Off</t>
        </is>
      </c>
      <c r="H642" t="inlineStr"/>
      <c r="I642" t="inlineStr">
        <is>
          <t>HXP Can Influence</t>
        </is>
      </c>
      <c r="J642" t="b">
        <v>0</v>
      </c>
      <c r="K642" t="n">
        <v>1</v>
      </c>
      <c r="L642" t="inlineStr"/>
      <c r="M642" t="inlineStr"/>
    </row>
    <row r="643">
      <c r="A643" t="inlineStr">
        <is>
          <t>No</t>
        </is>
      </c>
      <c r="B643" t="inlineStr"/>
      <c r="C643" t="inlineStr"/>
      <c r="D643" t="inlineStr"/>
      <c r="E643" t="inlineStr">
        <is>
          <t>I want my child to have this experience away from home on his own in preparation for college/mission</t>
        </is>
      </c>
      <c r="F643" t="inlineStr">
        <is>
          <t>Other Kids / Family at Home</t>
        </is>
      </c>
      <c r="G643" t="inlineStr">
        <is>
          <t>Other Kids / Family at Home; Wants Child to Have Independent Experience; Other Life Commitment</t>
        </is>
      </c>
      <c r="H643" t="inlineStr"/>
      <c r="I643" t="inlineStr">
        <is>
          <t>Family's Own Choice</t>
        </is>
      </c>
      <c r="J643" t="b">
        <v>0</v>
      </c>
      <c r="K643" t="n">
        <v>3</v>
      </c>
      <c r="L643" t="inlineStr"/>
      <c r="M643" t="inlineStr"/>
    </row>
    <row r="644">
      <c r="A644" t="inlineStr">
        <is>
          <t>No</t>
        </is>
      </c>
      <c r="B644" t="inlineStr"/>
      <c r="C644" t="inlineStr"/>
      <c r="D644" t="inlineStr"/>
      <c r="E644" t="inlineStr"/>
      <c r="F644" t="inlineStr"/>
      <c r="G644" t="inlineStr"/>
      <c r="H644" t="inlineStr"/>
      <c r="I644" t="inlineStr"/>
      <c r="J644" t="b">
        <v>0</v>
      </c>
      <c r="K644" t="n">
        <v>0</v>
      </c>
      <c r="L644" t="inlineStr"/>
      <c r="M644" t="inlineStr"/>
    </row>
    <row r="645">
      <c r="A645" t="inlineStr">
        <is>
          <t>Yes</t>
        </is>
      </c>
      <c r="B645" t="inlineStr">
        <is>
          <t>Time with my kid</t>
        </is>
      </c>
      <c r="C645" t="inlineStr">
        <is>
          <t>Wanted Shared Experience with Child</t>
        </is>
      </c>
      <c r="D645" t="inlineStr">
        <is>
          <t>Wanted Shared Experience with Child</t>
        </is>
      </c>
      <c r="E645" t="inlineStr"/>
      <c r="F645" t="inlineStr"/>
      <c r="G645" t="inlineStr"/>
      <c r="H645" t="inlineStr"/>
      <c r="I645" t="inlineStr"/>
      <c r="J645" t="b">
        <v>0</v>
      </c>
      <c r="K645" t="n">
        <v>0</v>
      </c>
      <c r="L645" t="inlineStr"/>
      <c r="M645" t="inlineStr"/>
    </row>
    <row r="646">
      <c r="A646" t="inlineStr">
        <is>
          <t>No</t>
        </is>
      </c>
      <c r="B646" t="inlineStr"/>
      <c r="C646" t="inlineStr"/>
      <c r="D646" t="inlineStr"/>
      <c r="E646" t="inlineStr">
        <is>
          <t>Time off.</t>
        </is>
      </c>
      <c r="F646" t="inlineStr">
        <is>
          <t>Work Schedule / Time Off</t>
        </is>
      </c>
      <c r="G646" t="inlineStr">
        <is>
          <t>Work Schedule / Time Off</t>
        </is>
      </c>
      <c r="H646" t="inlineStr"/>
      <c r="I646" t="inlineStr">
        <is>
          <t>HXP Can Influence</t>
        </is>
      </c>
      <c r="J646" t="b">
        <v>0</v>
      </c>
      <c r="K646" t="n">
        <v>1</v>
      </c>
      <c r="L646" t="inlineStr"/>
      <c r="M646" t="inlineStr"/>
    </row>
    <row r="647">
      <c r="A647" t="inlineStr">
        <is>
          <t>No</t>
        </is>
      </c>
      <c r="B647" t="inlineStr"/>
      <c r="C647" t="inlineStr"/>
      <c r="D647" t="inlineStr"/>
      <c r="E647" t="inlineStr">
        <is>
          <t>Cost, availability</t>
        </is>
      </c>
      <c r="F647" t="inlineStr">
        <is>
          <t>Cost / Finances</t>
        </is>
      </c>
      <c r="G647" t="inlineStr">
        <is>
          <t>Cost / Finances; Work Schedule / Time Off</t>
        </is>
      </c>
      <c r="H647" t="inlineStr"/>
      <c r="I647" t="inlineStr">
        <is>
          <t>HXP Can Directly Fix</t>
        </is>
      </c>
      <c r="J647" t="b">
        <v>0</v>
      </c>
      <c r="K647" t="n">
        <v>2</v>
      </c>
      <c r="L647" t="inlineStr"/>
      <c r="M647" t="inlineStr"/>
    </row>
    <row r="648">
      <c r="A648" t="inlineStr">
        <is>
          <t>No</t>
        </is>
      </c>
      <c r="B648" t="inlineStr"/>
      <c r="C648" t="inlineStr"/>
      <c r="D648" t="inlineStr"/>
      <c r="E648" t="inlineStr"/>
      <c r="F648" t="inlineStr"/>
      <c r="G648" t="inlineStr"/>
      <c r="H648" t="inlineStr"/>
      <c r="I648" t="inlineStr"/>
      <c r="J648" t="b">
        <v>0</v>
      </c>
      <c r="K648" t="n">
        <v>0</v>
      </c>
      <c r="L648" t="inlineStr"/>
      <c r="M648" t="inlineStr"/>
    </row>
    <row r="649">
      <c r="A649" t="inlineStr">
        <is>
          <t>No</t>
        </is>
      </c>
      <c r="B649" t="inlineStr"/>
      <c r="C649" t="inlineStr"/>
      <c r="D649" t="inlineStr"/>
      <c r="E649" t="inlineStr">
        <is>
          <t>Mostly, because she would lean on me too much if I was there. Plus I have other responsibilities at home.</t>
        </is>
      </c>
      <c r="F649" t="inlineStr">
        <is>
          <t>Work Schedule / Time Off</t>
        </is>
      </c>
      <c r="G649" t="inlineStr">
        <is>
          <t>Work Schedule / Time Off</t>
        </is>
      </c>
      <c r="H649" t="inlineStr"/>
      <c r="I649" t="inlineStr">
        <is>
          <t>HXP Can Influence</t>
        </is>
      </c>
      <c r="J649" t="b">
        <v>0</v>
      </c>
      <c r="K649" t="n">
        <v>1</v>
      </c>
      <c r="L649" t="inlineStr"/>
      <c r="M649" t="inlineStr"/>
    </row>
    <row r="650">
      <c r="A650" t="inlineStr">
        <is>
          <t>No</t>
        </is>
      </c>
      <c r="B650" t="inlineStr"/>
      <c r="C650" t="inlineStr"/>
      <c r="D650" t="inlineStr"/>
      <c r="E650" t="inlineStr">
        <is>
          <t>Cost and time away from work.</t>
        </is>
      </c>
      <c r="F650" t="inlineStr">
        <is>
          <t>Cost / Finances</t>
        </is>
      </c>
      <c r="G650" t="inlineStr">
        <is>
          <t>Cost / Finances; Work Schedule / Time Off</t>
        </is>
      </c>
      <c r="H650" t="inlineStr"/>
      <c r="I650" t="inlineStr">
        <is>
          <t>HXP Can Directly Fix</t>
        </is>
      </c>
      <c r="J650" t="b">
        <v>0</v>
      </c>
      <c r="K650" t="n">
        <v>2</v>
      </c>
      <c r="L650" t="inlineStr"/>
      <c r="M650" t="inlineStr"/>
    </row>
    <row r="651">
      <c r="A651" t="inlineStr">
        <is>
          <t>No</t>
        </is>
      </c>
      <c r="B651" t="inlineStr"/>
      <c r="C651" t="inlineStr"/>
      <c r="D651" t="inlineStr"/>
      <c r="E651" t="inlineStr">
        <is>
          <t>Amount of time I would need to take off work and physical limitations</t>
        </is>
      </c>
      <c r="F651" t="inlineStr">
        <is>
          <t>Work Schedule / Time Off</t>
        </is>
      </c>
      <c r="G651" t="inlineStr">
        <is>
          <t>Work Schedule / Time Off; Health / Physical / Age</t>
        </is>
      </c>
      <c r="H651" t="inlineStr"/>
      <c r="I651" t="inlineStr">
        <is>
          <t>HXP Can Influence</t>
        </is>
      </c>
      <c r="J651" t="b">
        <v>0</v>
      </c>
      <c r="K651" t="n">
        <v>2</v>
      </c>
      <c r="L651" t="inlineStr"/>
      <c r="M651" t="inlineStr"/>
    </row>
    <row r="652">
      <c r="A652" t="inlineStr">
        <is>
          <t>No</t>
        </is>
      </c>
      <c r="B652" t="inlineStr"/>
      <c r="C652" t="inlineStr"/>
      <c r="D652" t="inlineStr"/>
      <c r="E652" t="inlineStr">
        <is>
          <t>Other commitments</t>
        </is>
      </c>
      <c r="F652" t="inlineStr">
        <is>
          <t>Work Schedule / Time Off</t>
        </is>
      </c>
      <c r="G652" t="inlineStr">
        <is>
          <t>Work Schedule / Time Off</t>
        </is>
      </c>
      <c r="H652" t="inlineStr"/>
      <c r="I652" t="inlineStr">
        <is>
          <t>HXP Can Influence</t>
        </is>
      </c>
      <c r="J652" t="b">
        <v>0</v>
      </c>
      <c r="K652" t="n">
        <v>1</v>
      </c>
      <c r="L652" t="inlineStr"/>
      <c r="M652" t="inlineStr"/>
    </row>
    <row r="653">
      <c r="A653" t="inlineStr">
        <is>
          <t>No</t>
        </is>
      </c>
      <c r="B653" t="inlineStr"/>
      <c r="C653" t="inlineStr"/>
      <c r="D653" t="inlineStr"/>
      <c r="E653" t="inlineStr">
        <is>
          <t>I want my child to have an independent experience without a parent there.</t>
        </is>
      </c>
      <c r="F653" t="inlineStr">
        <is>
          <t>Wants Child to Have Independent Experience</t>
        </is>
      </c>
      <c r="G653" t="inlineStr">
        <is>
          <t>Wants Child to Have Independent Experience</t>
        </is>
      </c>
      <c r="H653" t="inlineStr"/>
      <c r="I653" t="inlineStr">
        <is>
          <t>Family's Own Choice</t>
        </is>
      </c>
      <c r="J653" t="b">
        <v>0</v>
      </c>
      <c r="K653" t="n">
        <v>1</v>
      </c>
      <c r="L653" t="inlineStr"/>
      <c r="M653" t="inlineStr"/>
    </row>
    <row r="654">
      <c r="A654" t="inlineStr">
        <is>
          <t>No</t>
        </is>
      </c>
      <c r="B654" t="inlineStr"/>
      <c r="C654" t="inlineStr"/>
      <c r="D654" t="inlineStr"/>
      <c r="E654" t="inlineStr">
        <is>
          <t>Time</t>
        </is>
      </c>
      <c r="F654" t="inlineStr">
        <is>
          <t>Work Schedule / Time Off</t>
        </is>
      </c>
      <c r="G654" t="inlineStr">
        <is>
          <t>Work Schedule / Time Off</t>
        </is>
      </c>
      <c r="H654" t="inlineStr"/>
      <c r="I654" t="inlineStr">
        <is>
          <t>HXP Can Influence</t>
        </is>
      </c>
      <c r="J654" t="b">
        <v>0</v>
      </c>
      <c r="K654" t="n">
        <v>1</v>
      </c>
      <c r="L654" t="inlineStr"/>
      <c r="M654" t="inlineStr"/>
    </row>
    <row r="655">
      <c r="A655" t="inlineStr">
        <is>
          <t>No</t>
        </is>
      </c>
      <c r="B655" t="inlineStr"/>
      <c r="C655" t="inlineStr"/>
      <c r="D655" t="inlineStr"/>
      <c r="E655" t="inlineStr">
        <is>
          <t>She tends to lean on me when I'm present. She is excited to do it alone.</t>
        </is>
      </c>
      <c r="F655" t="inlineStr">
        <is>
          <t>Wants Child to Have Independent Experience</t>
        </is>
      </c>
      <c r="G655" t="inlineStr">
        <is>
          <t>Wants Child to Have Independent Experience</t>
        </is>
      </c>
      <c r="H655" t="inlineStr"/>
      <c r="I655" t="inlineStr">
        <is>
          <t>Family's Own Choice</t>
        </is>
      </c>
      <c r="J655" t="b">
        <v>0</v>
      </c>
      <c r="K655" t="n">
        <v>1</v>
      </c>
      <c r="L655" t="inlineStr"/>
      <c r="M655" t="inlineStr"/>
    </row>
    <row r="656">
      <c r="A656" t="inlineStr">
        <is>
          <t>No</t>
        </is>
      </c>
      <c r="B656" t="inlineStr"/>
      <c r="C656" t="inlineStr"/>
      <c r="D656" t="inlineStr"/>
      <c r="E656" t="inlineStr">
        <is>
          <t>I was unavailable and it's expensive to pay for 2 trips</t>
        </is>
      </c>
      <c r="F656" t="inlineStr">
        <is>
          <t>Cost / Finances</t>
        </is>
      </c>
      <c r="G656" t="inlineStr">
        <is>
          <t>Cost / Finances; Work Schedule / Time Off</t>
        </is>
      </c>
      <c r="H656" t="inlineStr"/>
      <c r="I656" t="inlineStr">
        <is>
          <t>HXP Can Directly Fix</t>
        </is>
      </c>
      <c r="J656" t="b">
        <v>0</v>
      </c>
      <c r="K656" t="n">
        <v>2</v>
      </c>
      <c r="L656" t="inlineStr"/>
      <c r="M656" t="inlineStr"/>
    </row>
    <row r="657">
      <c r="A657" t="inlineStr">
        <is>
          <t>No</t>
        </is>
      </c>
      <c r="B657" t="inlineStr"/>
      <c r="C657" t="inlineStr"/>
      <c r="D657" t="inlineStr"/>
      <c r="E657" t="inlineStr">
        <is>
          <t>time away from work, plus added cost</t>
        </is>
      </c>
      <c r="F657" t="inlineStr">
        <is>
          <t>Cost / Finances</t>
        </is>
      </c>
      <c r="G657" t="inlineStr">
        <is>
          <t>Cost / Finances; Work Schedule / Time Off</t>
        </is>
      </c>
      <c r="H657" t="inlineStr"/>
      <c r="I657" t="inlineStr">
        <is>
          <t>HXP Can Directly Fix</t>
        </is>
      </c>
      <c r="J657" t="b">
        <v>0</v>
      </c>
      <c r="K657" t="n">
        <v>2</v>
      </c>
      <c r="L657" t="inlineStr"/>
      <c r="M657" t="inlineStr"/>
    </row>
    <row r="658">
      <c r="A658" t="inlineStr">
        <is>
          <t>No</t>
        </is>
      </c>
      <c r="B658" t="inlineStr"/>
      <c r="C658" t="inlineStr"/>
      <c r="D658" t="inlineStr"/>
      <c r="E658" t="inlineStr">
        <is>
          <t>Work</t>
        </is>
      </c>
      <c r="F658" t="inlineStr">
        <is>
          <t>Work Schedule / Time Off</t>
        </is>
      </c>
      <c r="G658" t="inlineStr">
        <is>
          <t>Work Schedule / Time Off</t>
        </is>
      </c>
      <c r="H658" t="inlineStr"/>
      <c r="I658" t="inlineStr">
        <is>
          <t>HXP Can Influence</t>
        </is>
      </c>
      <c r="J658" t="b">
        <v>0</v>
      </c>
      <c r="K658" t="n">
        <v>1</v>
      </c>
      <c r="L658" t="inlineStr"/>
      <c r="M658" t="inlineStr"/>
    </row>
    <row r="659">
      <c r="A659" t="inlineStr">
        <is>
          <t>No</t>
        </is>
      </c>
      <c r="B659" t="inlineStr"/>
      <c r="C659" t="inlineStr"/>
      <c r="D659" t="inlineStr"/>
      <c r="E659" t="inlineStr">
        <is>
          <t>My daughter preferred to go on her own</t>
        </is>
      </c>
      <c r="F659" t="inlineStr">
        <is>
          <t>Wants Child to Have Independent Experience</t>
        </is>
      </c>
      <c r="G659" t="inlineStr">
        <is>
          <t>Wants Child to Have Independent Experience</t>
        </is>
      </c>
      <c r="H659" t="inlineStr"/>
      <c r="I659" t="inlineStr">
        <is>
          <t>Family's Own Choice</t>
        </is>
      </c>
      <c r="J659" t="b">
        <v>0</v>
      </c>
      <c r="K659" t="n">
        <v>1</v>
      </c>
      <c r="L659" t="inlineStr"/>
      <c r="M659" t="inlineStr"/>
    </row>
    <row r="660">
      <c r="A660" t="inlineStr">
        <is>
          <t>No</t>
        </is>
      </c>
      <c r="B660" t="inlineStr"/>
      <c r="C660" t="inlineStr"/>
      <c r="D660" t="inlineStr"/>
      <c r="E660" t="inlineStr">
        <is>
          <t>I know my daughter will do best without me there!</t>
        </is>
      </c>
      <c r="F660" t="inlineStr">
        <is>
          <t>Wants Child to Have Independent Experience</t>
        </is>
      </c>
      <c r="G660" t="inlineStr">
        <is>
          <t>Wants Child to Have Independent Experience</t>
        </is>
      </c>
      <c r="H660" t="inlineStr"/>
      <c r="I660" t="inlineStr">
        <is>
          <t>Family's Own Choice</t>
        </is>
      </c>
      <c r="J660" t="b">
        <v>0</v>
      </c>
      <c r="K660" t="n">
        <v>1</v>
      </c>
      <c r="L660" t="inlineStr"/>
      <c r="M660" t="inlineStr"/>
    </row>
    <row r="661">
      <c r="A661" t="inlineStr">
        <is>
          <t>No</t>
        </is>
      </c>
      <c r="B661" t="inlineStr"/>
      <c r="C661" t="inlineStr"/>
      <c r="D661" t="inlineStr"/>
      <c r="E661" t="inlineStr">
        <is>
          <t>I've been before and I wanted my daughter to have the experience sans parent.</t>
        </is>
      </c>
      <c r="F661" t="inlineStr">
        <is>
          <t>Wants Child to Have Independent Experience</t>
        </is>
      </c>
      <c r="G661" t="inlineStr">
        <is>
          <t>Wants Child to Have Independent Experience</t>
        </is>
      </c>
      <c r="H661" t="inlineStr"/>
      <c r="I661" t="inlineStr">
        <is>
          <t>Family's Own Choice</t>
        </is>
      </c>
      <c r="J661" t="b">
        <v>0</v>
      </c>
      <c r="K661" t="n">
        <v>1</v>
      </c>
      <c r="L661" t="inlineStr"/>
      <c r="M661" t="inlineStr"/>
    </row>
    <row r="662">
      <c r="A662" t="inlineStr">
        <is>
          <t>No</t>
        </is>
      </c>
      <c r="B662" t="inlineStr"/>
      <c r="C662" t="inlineStr"/>
      <c r="D662" t="inlineStr"/>
      <c r="E662" t="inlineStr">
        <is>
          <t>My child specifically said she wanted to go by herself</t>
        </is>
      </c>
      <c r="F662" t="inlineStr">
        <is>
          <t>Child Didn't Want Parent to Come</t>
        </is>
      </c>
      <c r="G662" t="inlineStr">
        <is>
          <t>Child Didn't Want Parent to Come</t>
        </is>
      </c>
      <c r="H662" t="inlineStr"/>
      <c r="I662" t="inlineStr">
        <is>
          <t>Family's Own Choice</t>
        </is>
      </c>
      <c r="J662" t="b">
        <v>0</v>
      </c>
      <c r="K662" t="n">
        <v>1</v>
      </c>
      <c r="L662" t="inlineStr"/>
      <c r="M662" t="inlineStr"/>
    </row>
    <row r="663">
      <c r="A663" t="inlineStr">
        <is>
          <t>No</t>
        </is>
      </c>
      <c r="B663" t="inlineStr"/>
      <c r="C663" t="inlineStr"/>
      <c r="D663" t="inlineStr"/>
      <c r="E663" t="inlineStr">
        <is>
          <t>too much time off of work, wanted to give my son his space to experience without parent along</t>
        </is>
      </c>
      <c r="F663" t="inlineStr">
        <is>
          <t>Work Schedule / Time Off</t>
        </is>
      </c>
      <c r="G663" t="inlineStr">
        <is>
          <t>Work Schedule / Time Off; Wants Child to Have Independent Experience</t>
        </is>
      </c>
      <c r="H663" t="inlineStr"/>
      <c r="I663" t="inlineStr">
        <is>
          <t>HXP Can Influence</t>
        </is>
      </c>
      <c r="J663" t="b">
        <v>0</v>
      </c>
      <c r="K663" t="n">
        <v>2</v>
      </c>
      <c r="L663" t="inlineStr"/>
      <c r="M663" t="inlineStr"/>
    </row>
    <row r="664">
      <c r="A664" t="inlineStr">
        <is>
          <t>No</t>
        </is>
      </c>
      <c r="B664" t="inlineStr"/>
      <c r="C664" t="inlineStr"/>
      <c r="D664" t="inlineStr"/>
      <c r="E664" t="inlineStr">
        <is>
          <t>My Job</t>
        </is>
      </c>
      <c r="F664" t="inlineStr">
        <is>
          <t>Work Schedule / Time Off</t>
        </is>
      </c>
      <c r="G664" t="inlineStr">
        <is>
          <t>Work Schedule / Time Off</t>
        </is>
      </c>
      <c r="H664" t="inlineStr"/>
      <c r="I664" t="inlineStr">
        <is>
          <t>HXP Can Influence</t>
        </is>
      </c>
      <c r="J664" t="b">
        <v>0</v>
      </c>
      <c r="K664" t="n">
        <v>1</v>
      </c>
      <c r="L664" t="inlineStr"/>
      <c r="M664" t="inlineStr"/>
    </row>
    <row r="665">
      <c r="A665" t="inlineStr">
        <is>
          <t>No</t>
        </is>
      </c>
      <c r="B665" t="inlineStr"/>
      <c r="C665" t="inlineStr"/>
      <c r="D665" t="inlineStr"/>
      <c r="E665" t="inlineStr">
        <is>
          <t>Cost</t>
        </is>
      </c>
      <c r="F665" t="inlineStr">
        <is>
          <t>Cost / Finances</t>
        </is>
      </c>
      <c r="G665" t="inlineStr">
        <is>
          <t>Cost / Finances</t>
        </is>
      </c>
      <c r="H665" t="inlineStr"/>
      <c r="I665" t="inlineStr">
        <is>
          <t>HXP Can Directly Fix</t>
        </is>
      </c>
      <c r="J665" t="b">
        <v>0</v>
      </c>
      <c r="K665" t="n">
        <v>1</v>
      </c>
      <c r="L665" t="inlineStr"/>
      <c r="M665" t="inlineStr"/>
    </row>
    <row r="666">
      <c r="A666" t="inlineStr">
        <is>
          <t>Maybe</t>
        </is>
      </c>
      <c r="B666" t="inlineStr"/>
      <c r="C666" t="inlineStr"/>
      <c r="D666" t="inlineStr"/>
      <c r="E666" t="inlineStr"/>
      <c r="F666" t="inlineStr"/>
      <c r="G666" t="inlineStr"/>
      <c r="H666" t="inlineStr">
        <is>
          <t>Care for my children I leave at home. :)</t>
        </is>
      </c>
      <c r="I666" t="inlineStr"/>
      <c r="J666" t="b">
        <v>0</v>
      </c>
      <c r="K666" t="n">
        <v>0</v>
      </c>
      <c r="L666" t="inlineStr">
        <is>
          <t>Childcare for Other Kids</t>
        </is>
      </c>
      <c r="M666" t="inlineStr">
        <is>
          <t>Childcare for Other Kids</t>
        </is>
      </c>
    </row>
    <row r="667">
      <c r="A667" t="inlineStr">
        <is>
          <t>No</t>
        </is>
      </c>
      <c r="B667" t="inlineStr"/>
      <c r="C667" t="inlineStr"/>
      <c r="D667" t="inlineStr"/>
      <c r="E667" t="inlineStr">
        <is>
          <t>I think my children would prefer the experience independent of a parent. Didn't want to spend the money.</t>
        </is>
      </c>
      <c r="F667" t="inlineStr">
        <is>
          <t>Cost / Finances</t>
        </is>
      </c>
      <c r="G667" t="inlineStr">
        <is>
          <t>Cost / Finances; Wants Child to Have Independent Experience</t>
        </is>
      </c>
      <c r="H667" t="inlineStr"/>
      <c r="I667" t="inlineStr">
        <is>
          <t>HXP Can Directly Fix</t>
        </is>
      </c>
      <c r="J667" t="b">
        <v>0</v>
      </c>
      <c r="K667" t="n">
        <v>2</v>
      </c>
      <c r="L667" t="inlineStr"/>
      <c r="M667" t="inlineStr"/>
    </row>
    <row r="668">
      <c r="A668" t="inlineStr">
        <is>
          <t>No</t>
        </is>
      </c>
      <c r="B668" t="inlineStr"/>
      <c r="C668" t="inlineStr"/>
      <c r="D668" t="inlineStr"/>
      <c r="E668" t="inlineStr">
        <is>
          <t>seeing friends go</t>
        </is>
      </c>
      <c r="F668" t="inlineStr">
        <is>
          <t>Other / Uncategorized</t>
        </is>
      </c>
      <c r="G668" t="inlineStr"/>
      <c r="H668" t="inlineStr"/>
      <c r="I668" t="inlineStr">
        <is>
          <t>Unknown</t>
        </is>
      </c>
      <c r="J668" t="b">
        <v>0</v>
      </c>
      <c r="K668" t="n">
        <v>0</v>
      </c>
      <c r="L668" t="inlineStr"/>
      <c r="M668" t="inlineStr"/>
    </row>
    <row r="669">
      <c r="A669" t="inlineStr">
        <is>
          <t>No</t>
        </is>
      </c>
      <c r="B669" t="inlineStr"/>
      <c r="C669" t="inlineStr"/>
      <c r="D669" t="inlineStr"/>
      <c r="E669" t="inlineStr">
        <is>
          <t>Nothing. Did not consider it</t>
        </is>
      </c>
      <c r="F669" t="inlineStr">
        <is>
          <t>Not Aware It Was an Option</t>
        </is>
      </c>
      <c r="G669" t="inlineStr">
        <is>
          <t>Not Aware It Was an Option</t>
        </is>
      </c>
      <c r="H669" t="inlineStr"/>
      <c r="I669" t="inlineStr">
        <is>
          <t>HXP Can Directly Fix</t>
        </is>
      </c>
      <c r="J669" t="b">
        <v>0</v>
      </c>
      <c r="K669" t="n">
        <v>1</v>
      </c>
      <c r="L669" t="inlineStr"/>
      <c r="M669" t="inlineStr"/>
    </row>
    <row r="670">
      <c r="A670" t="inlineStr">
        <is>
          <t>Maybe</t>
        </is>
      </c>
      <c r="B670" t="inlineStr"/>
      <c r="C670" t="inlineStr"/>
      <c r="D670" t="inlineStr"/>
      <c r="E670" t="inlineStr"/>
      <c r="F670" t="inlineStr"/>
      <c r="G670" t="inlineStr"/>
      <c r="H670" t="inlineStr">
        <is>
          <t>Knowing the dates you need help so I can get work off</t>
        </is>
      </c>
      <c r="I670" t="inlineStr"/>
      <c r="J670" t="b">
        <v>0</v>
      </c>
      <c r="K670" t="n">
        <v>0</v>
      </c>
      <c r="L670" t="inlineStr">
        <is>
          <t>Time / Scheduling</t>
        </is>
      </c>
      <c r="M670" t="inlineStr">
        <is>
          <t>Time / Scheduling</t>
        </is>
      </c>
    </row>
    <row r="671">
      <c r="A671" t="inlineStr">
        <is>
          <t>No</t>
        </is>
      </c>
      <c r="B671" t="inlineStr"/>
      <c r="C671" t="inlineStr"/>
      <c r="D671" t="inlineStr"/>
      <c r="E671" t="inlineStr">
        <is>
          <t>My other kids went and they had a positive experience.</t>
        </is>
      </c>
      <c r="F671" t="inlineStr">
        <is>
          <t>Other Kids / Family at Home</t>
        </is>
      </c>
      <c r="G671" t="inlineStr">
        <is>
          <t>Other Kids / Family at Home; Wants Child to Have Independent Experience</t>
        </is>
      </c>
      <c r="H671" t="inlineStr"/>
      <c r="I671" t="inlineStr">
        <is>
          <t>Family's Own Choice</t>
        </is>
      </c>
      <c r="J671" t="b">
        <v>0</v>
      </c>
      <c r="K671" t="n">
        <v>2</v>
      </c>
      <c r="L671" t="inlineStr"/>
      <c r="M671" t="inlineStr"/>
    </row>
    <row r="672">
      <c r="A672" t="inlineStr">
        <is>
          <t>Yes</t>
        </is>
      </c>
      <c r="B672" t="inlineStr">
        <is>
          <t>great experiences with my other two girls. and my daughter asked me to go with her</t>
        </is>
      </c>
      <c r="C672" t="inlineStr">
        <is>
          <t>Wanted Shared Experience with Child</t>
        </is>
      </c>
      <c r="D672" t="inlineStr">
        <is>
          <t>Wanted Shared Experience with Child; Child/Spouse Asked Them to Go</t>
        </is>
      </c>
      <c r="E672" t="inlineStr"/>
      <c r="F672" t="inlineStr"/>
      <c r="G672" t="inlineStr"/>
      <c r="H672" t="inlineStr"/>
      <c r="I672" t="inlineStr"/>
      <c r="J672" t="b">
        <v>0</v>
      </c>
      <c r="K672" t="n">
        <v>0</v>
      </c>
      <c r="L672" t="inlineStr"/>
      <c r="M672" t="inlineStr"/>
    </row>
    <row r="673">
      <c r="A673" t="inlineStr">
        <is>
          <t>No</t>
        </is>
      </c>
      <c r="B673" t="inlineStr"/>
      <c r="C673" t="inlineStr"/>
      <c r="D673" t="inlineStr"/>
      <c r="E673" t="inlineStr">
        <is>
          <t>Cost of paying for both parent and builder and I wanted my kid to have an experience without me</t>
        </is>
      </c>
      <c r="F673" t="inlineStr">
        <is>
          <t>Cost / Finances</t>
        </is>
      </c>
      <c r="G673" t="inlineStr">
        <is>
          <t>Cost / Finances; Wants Child to Have Independent Experience</t>
        </is>
      </c>
      <c r="H673" t="inlineStr"/>
      <c r="I673" t="inlineStr">
        <is>
          <t>HXP Can Directly Fix</t>
        </is>
      </c>
      <c r="J673" t="b">
        <v>0</v>
      </c>
      <c r="K673" t="n">
        <v>2</v>
      </c>
      <c r="L673" t="inlineStr"/>
      <c r="M673" t="inlineStr"/>
    </row>
    <row r="674">
      <c r="A674" t="inlineStr">
        <is>
          <t>Maybe</t>
        </is>
      </c>
      <c r="B674" t="inlineStr"/>
      <c r="C674" t="inlineStr"/>
      <c r="D674" t="inlineStr"/>
      <c r="E674" t="inlineStr"/>
      <c r="F674" t="inlineStr"/>
      <c r="G674" t="inlineStr"/>
      <c r="H674" t="inlineStr">
        <is>
          <t>Cost</t>
        </is>
      </c>
      <c r="I674" t="inlineStr"/>
      <c r="J674" t="b">
        <v>0</v>
      </c>
      <c r="K674" t="n">
        <v>0</v>
      </c>
      <c r="L674" t="inlineStr">
        <is>
          <t>Cost / Financial Assistance</t>
        </is>
      </c>
      <c r="M674" t="inlineStr">
        <is>
          <t>Cost / Financial Assistance</t>
        </is>
      </c>
    </row>
    <row r="675">
      <c r="A675" t="inlineStr">
        <is>
          <t>No</t>
        </is>
      </c>
      <c r="B675" t="inlineStr"/>
      <c r="C675" t="inlineStr"/>
      <c r="D675" t="inlineStr"/>
      <c r="E675" t="inlineStr">
        <is>
          <t>Want our son to have an individual experience without us there :)</t>
        </is>
      </c>
      <c r="F675" t="inlineStr">
        <is>
          <t>Wants Child to Have Independent Experience</t>
        </is>
      </c>
      <c r="G675" t="inlineStr">
        <is>
          <t>Wants Child to Have Independent Experience</t>
        </is>
      </c>
      <c r="H675" t="inlineStr"/>
      <c r="I675" t="inlineStr">
        <is>
          <t>Family's Own Choice</t>
        </is>
      </c>
      <c r="J675" t="b">
        <v>0</v>
      </c>
      <c r="K675" t="n">
        <v>1</v>
      </c>
      <c r="L675" t="inlineStr"/>
      <c r="M675" t="inlineStr"/>
    </row>
    <row r="676">
      <c r="A676" t="inlineStr">
        <is>
          <t>No</t>
        </is>
      </c>
      <c r="B676" t="inlineStr"/>
      <c r="C676" t="inlineStr"/>
      <c r="D676" t="inlineStr"/>
      <c r="E676" t="inlineStr">
        <is>
          <t>Time commitment. Child didn't want her parents to come.</t>
        </is>
      </c>
      <c r="F676" t="inlineStr">
        <is>
          <t>Work Schedule / Time Off</t>
        </is>
      </c>
      <c r="G676" t="inlineStr">
        <is>
          <t>Work Schedule / Time Off</t>
        </is>
      </c>
      <c r="H676" t="inlineStr"/>
      <c r="I676" t="inlineStr">
        <is>
          <t>HXP Can Influence</t>
        </is>
      </c>
      <c r="J676" t="b">
        <v>0</v>
      </c>
      <c r="K676" t="n">
        <v>1</v>
      </c>
      <c r="L676" t="inlineStr"/>
      <c r="M676" t="inlineStr"/>
    </row>
    <row r="677">
      <c r="A677" t="inlineStr">
        <is>
          <t>No</t>
        </is>
      </c>
      <c r="B677" t="inlineStr"/>
      <c r="C677" t="inlineStr"/>
      <c r="D677" t="inlineStr"/>
      <c r="E677" t="inlineStr">
        <is>
          <t>Money!</t>
        </is>
      </c>
      <c r="F677" t="inlineStr">
        <is>
          <t>Cost / Finances</t>
        </is>
      </c>
      <c r="G677" t="inlineStr">
        <is>
          <t>Cost / Finances</t>
        </is>
      </c>
      <c r="H677" t="inlineStr"/>
      <c r="I677" t="inlineStr">
        <is>
          <t>HXP Can Directly Fix</t>
        </is>
      </c>
      <c r="J677" t="b">
        <v>0</v>
      </c>
      <c r="K677" t="n">
        <v>1</v>
      </c>
      <c r="L677" t="inlineStr"/>
      <c r="M677" t="inlineStr"/>
    </row>
    <row r="678">
      <c r="A678" t="inlineStr">
        <is>
          <t>No</t>
        </is>
      </c>
      <c r="B678" t="inlineStr"/>
      <c r="C678" t="inlineStr"/>
      <c r="D678" t="inlineStr"/>
      <c r="E678" t="inlineStr">
        <is>
          <t>Cost</t>
        </is>
      </c>
      <c r="F678" t="inlineStr">
        <is>
          <t>Cost / Finances</t>
        </is>
      </c>
      <c r="G678" t="inlineStr">
        <is>
          <t>Cost / Finances</t>
        </is>
      </c>
      <c r="H678" t="inlineStr"/>
      <c r="I678" t="inlineStr">
        <is>
          <t>HXP Can Directly Fix</t>
        </is>
      </c>
      <c r="J678" t="b">
        <v>0</v>
      </c>
      <c r="K678" t="n">
        <v>1</v>
      </c>
      <c r="L678" t="inlineStr"/>
      <c r="M678" t="inlineStr"/>
    </row>
    <row r="679">
      <c r="A679" t="inlineStr">
        <is>
          <t>No</t>
        </is>
      </c>
      <c r="B679" t="inlineStr"/>
      <c r="C679" t="inlineStr"/>
      <c r="D679" t="inlineStr"/>
      <c r="E679" t="inlineStr">
        <is>
          <t>time off work, family obligations</t>
        </is>
      </c>
      <c r="F679" t="inlineStr">
        <is>
          <t>Work Schedule / Time Off</t>
        </is>
      </c>
      <c r="G679" t="inlineStr">
        <is>
          <t>Work Schedule / Time Off</t>
        </is>
      </c>
      <c r="H679" t="inlineStr"/>
      <c r="I679" t="inlineStr">
        <is>
          <t>HXP Can Influence</t>
        </is>
      </c>
      <c r="J679" t="b">
        <v>0</v>
      </c>
      <c r="K679" t="n">
        <v>1</v>
      </c>
      <c r="L679" t="inlineStr"/>
      <c r="M679" t="inlineStr"/>
    </row>
    <row r="680">
      <c r="A680" t="inlineStr">
        <is>
          <t>No</t>
        </is>
      </c>
      <c r="B680" t="inlineStr"/>
      <c r="C680" t="inlineStr"/>
      <c r="D680" t="inlineStr"/>
      <c r="E680" t="inlineStr">
        <is>
          <t>Work</t>
        </is>
      </c>
      <c r="F680" t="inlineStr">
        <is>
          <t>Work Schedule / Time Off</t>
        </is>
      </c>
      <c r="G680" t="inlineStr">
        <is>
          <t>Work Schedule / Time Off</t>
        </is>
      </c>
      <c r="H680" t="inlineStr"/>
      <c r="I680" t="inlineStr">
        <is>
          <t>HXP Can Influence</t>
        </is>
      </c>
      <c r="J680" t="b">
        <v>0</v>
      </c>
      <c r="K680" t="n">
        <v>1</v>
      </c>
      <c r="L680" t="inlineStr"/>
      <c r="M680" t="inlineStr"/>
    </row>
    <row r="681">
      <c r="A681" t="inlineStr">
        <is>
          <t>No</t>
        </is>
      </c>
      <c r="B681" t="inlineStr"/>
      <c r="C681" t="inlineStr"/>
      <c r="D681" t="inlineStr"/>
      <c r="E681" t="inlineStr">
        <is>
          <t>I really wanted to go and kind of begged my daughter. But she has never traveled alone and wanted to do this one by herself. CRYING FACE EMOJI!!</t>
        </is>
      </c>
      <c r="F681" t="inlineStr">
        <is>
          <t>Child Didn't Want Parent to Come</t>
        </is>
      </c>
      <c r="G681" t="inlineStr">
        <is>
          <t>Child Didn't Want Parent to Come; Wants Child to Have Independent Experience</t>
        </is>
      </c>
      <c r="H681" t="inlineStr"/>
      <c r="I681" t="inlineStr">
        <is>
          <t>Family's Own Choice</t>
        </is>
      </c>
      <c r="J681" t="b">
        <v>0</v>
      </c>
      <c r="K681" t="n">
        <v>2</v>
      </c>
      <c r="L681" t="inlineStr"/>
      <c r="M681" t="inlineStr"/>
    </row>
    <row r="682">
      <c r="A682" t="inlineStr">
        <is>
          <t>No</t>
        </is>
      </c>
      <c r="B682" t="inlineStr"/>
      <c r="C682" t="inlineStr"/>
      <c r="D682" t="inlineStr"/>
      <c r="E682" t="inlineStr">
        <is>
          <t>I have a 12 year old son who is staying with me at home</t>
        </is>
      </c>
      <c r="F682" t="inlineStr">
        <is>
          <t>Other Kids / Family at Home</t>
        </is>
      </c>
      <c r="G682" t="inlineStr">
        <is>
          <t>Other Kids / Family at Home</t>
        </is>
      </c>
      <c r="H682" t="inlineStr"/>
      <c r="I682" t="inlineStr">
        <is>
          <t>Family's Own Choice</t>
        </is>
      </c>
      <c r="J682" t="b">
        <v>0</v>
      </c>
      <c r="K682" t="n">
        <v>1</v>
      </c>
      <c r="L682" t="inlineStr"/>
      <c r="M682" t="inlineStr"/>
    </row>
    <row r="683">
      <c r="A683" t="inlineStr">
        <is>
          <t>No</t>
        </is>
      </c>
      <c r="B683" t="inlineStr"/>
      <c r="C683" t="inlineStr"/>
      <c r="D683" t="inlineStr"/>
      <c r="E683" t="inlineStr">
        <is>
          <t>Unavailable due to other children's schedules</t>
        </is>
      </c>
      <c r="F683" t="inlineStr">
        <is>
          <t>Work Schedule / Time Off</t>
        </is>
      </c>
      <c r="G683" t="inlineStr">
        <is>
          <t>Work Schedule / Time Off; Other Kids / Family at Home</t>
        </is>
      </c>
      <c r="H683" t="inlineStr"/>
      <c r="I683" t="inlineStr">
        <is>
          <t>HXP Can Influence</t>
        </is>
      </c>
      <c r="J683" t="b">
        <v>0</v>
      </c>
      <c r="K683" t="n">
        <v>2</v>
      </c>
      <c r="L683" t="inlineStr"/>
      <c r="M683" t="inlineStr"/>
    </row>
    <row r="684">
      <c r="A684" t="inlineStr">
        <is>
          <t>No</t>
        </is>
      </c>
      <c r="B684" t="inlineStr"/>
      <c r="C684" t="inlineStr"/>
      <c r="D684" t="inlineStr"/>
      <c r="E684" t="inlineStr">
        <is>
          <t>younger kids at home</t>
        </is>
      </c>
      <c r="F684" t="inlineStr">
        <is>
          <t>Other Kids / Family at Home</t>
        </is>
      </c>
      <c r="G684" t="inlineStr">
        <is>
          <t>Other Kids / Family at Home</t>
        </is>
      </c>
      <c r="H684" t="inlineStr"/>
      <c r="I684" t="inlineStr">
        <is>
          <t>Family's Own Choice</t>
        </is>
      </c>
      <c r="J684" t="b">
        <v>0</v>
      </c>
      <c r="K684" t="n">
        <v>1</v>
      </c>
      <c r="L684" t="inlineStr"/>
      <c r="M684" t="inlineStr"/>
    </row>
    <row r="685">
      <c r="A685" t="inlineStr">
        <is>
          <t>No</t>
        </is>
      </c>
      <c r="B685" t="inlineStr"/>
      <c r="C685" t="inlineStr"/>
      <c r="D685" t="inlineStr"/>
      <c r="E685" t="inlineStr">
        <is>
          <t>My daughter wanted to go alone so she could experience it as a mini-mission growing experience.</t>
        </is>
      </c>
      <c r="F685" t="inlineStr">
        <is>
          <t>Wants Child to Have Independent Experience</t>
        </is>
      </c>
      <c r="G685" t="inlineStr">
        <is>
          <t>Wants Child to Have Independent Experience; Other Life Commitment</t>
        </is>
      </c>
      <c r="H685" t="inlineStr"/>
      <c r="I685" t="inlineStr">
        <is>
          <t>Family's Own Choice</t>
        </is>
      </c>
      <c r="J685" t="b">
        <v>0</v>
      </c>
      <c r="K685" t="n">
        <v>2</v>
      </c>
      <c r="L685" t="inlineStr"/>
      <c r="M685" t="inlineStr"/>
    </row>
    <row r="686">
      <c r="A686" t="inlineStr">
        <is>
          <t>Maybe</t>
        </is>
      </c>
      <c r="B686" t="inlineStr"/>
      <c r="C686" t="inlineStr"/>
      <c r="D686" t="inlineStr"/>
      <c r="E686" t="inlineStr"/>
      <c r="F686" t="inlineStr"/>
      <c r="G686" t="inlineStr"/>
      <c r="H686" t="inlineStr">
        <is>
          <t>Funds and next child's desire to go</t>
        </is>
      </c>
      <c r="I686" t="inlineStr"/>
      <c r="J686" t="b">
        <v>0</v>
      </c>
      <c r="K686" t="n">
        <v>0</v>
      </c>
      <c r="L686" t="inlineStr">
        <is>
          <t>Cost / Financial Assistance</t>
        </is>
      </c>
      <c r="M686" t="inlineStr">
        <is>
          <t>Cost / Financial Assistance</t>
        </is>
      </c>
    </row>
    <row r="687">
      <c r="A687" t="inlineStr">
        <is>
          <t>No</t>
        </is>
      </c>
      <c r="B687" t="inlineStr"/>
      <c r="C687" t="inlineStr"/>
      <c r="D687" t="inlineStr"/>
      <c r="E687" t="inlineStr">
        <is>
          <t>Funds</t>
        </is>
      </c>
      <c r="F687" t="inlineStr">
        <is>
          <t>Cost / Finances</t>
        </is>
      </c>
      <c r="G687" t="inlineStr">
        <is>
          <t>Cost / Finances</t>
        </is>
      </c>
      <c r="H687" t="inlineStr"/>
      <c r="I687" t="inlineStr">
        <is>
          <t>HXP Can Directly Fix</t>
        </is>
      </c>
      <c r="J687" t="b">
        <v>0</v>
      </c>
      <c r="K687" t="n">
        <v>1</v>
      </c>
      <c r="L687" t="inlineStr"/>
      <c r="M687" t="inlineStr"/>
    </row>
    <row r="688">
      <c r="A688" t="inlineStr">
        <is>
          <t>No</t>
        </is>
      </c>
      <c r="B688" t="inlineStr"/>
      <c r="C688" t="inlineStr"/>
      <c r="D688" t="inlineStr"/>
      <c r="E688" t="inlineStr">
        <is>
          <t>Time and Cost</t>
        </is>
      </c>
      <c r="F688" t="inlineStr">
        <is>
          <t>Cost / Finances</t>
        </is>
      </c>
      <c r="G688" t="inlineStr">
        <is>
          <t>Cost / Finances; Work Schedule / Time Off</t>
        </is>
      </c>
      <c r="H688" t="inlineStr"/>
      <c r="I688" t="inlineStr">
        <is>
          <t>HXP Can Directly Fix</t>
        </is>
      </c>
      <c r="J688" t="b">
        <v>0</v>
      </c>
      <c r="K688" t="n">
        <v>2</v>
      </c>
      <c r="L688" t="inlineStr"/>
      <c r="M688" t="inlineStr"/>
    </row>
    <row r="689">
      <c r="A689" t="inlineStr">
        <is>
          <t>No</t>
        </is>
      </c>
      <c r="B689" t="inlineStr"/>
      <c r="C689" t="inlineStr"/>
      <c r="D689" t="inlineStr"/>
      <c r="E689" t="inlineStr">
        <is>
          <t>Other children at home.</t>
        </is>
      </c>
      <c r="F689" t="inlineStr">
        <is>
          <t>Other Kids / Family at Home</t>
        </is>
      </c>
      <c r="G689" t="inlineStr">
        <is>
          <t>Other Kids / Family at Home</t>
        </is>
      </c>
      <c r="H689" t="inlineStr"/>
      <c r="I689" t="inlineStr">
        <is>
          <t>Family's Own Choice</t>
        </is>
      </c>
      <c r="J689" t="b">
        <v>0</v>
      </c>
      <c r="K689" t="n">
        <v>1</v>
      </c>
      <c r="L689" t="inlineStr"/>
      <c r="M689" t="inlineStr"/>
    </row>
    <row r="690">
      <c r="A690" t="inlineStr">
        <is>
          <t>No</t>
        </is>
      </c>
      <c r="B690" t="inlineStr"/>
      <c r="C690" t="inlineStr"/>
      <c r="D690" t="inlineStr"/>
      <c r="E690" t="inlineStr">
        <is>
          <t>money, could only afford to send my kid.</t>
        </is>
      </c>
      <c r="F690" t="inlineStr">
        <is>
          <t>Cost / Finances</t>
        </is>
      </c>
      <c r="G690" t="inlineStr">
        <is>
          <t>Cost / Finances</t>
        </is>
      </c>
      <c r="H690" t="inlineStr"/>
      <c r="I690" t="inlineStr">
        <is>
          <t>HXP Can Directly Fix</t>
        </is>
      </c>
      <c r="J690" t="b">
        <v>0</v>
      </c>
      <c r="K690" t="n">
        <v>1</v>
      </c>
      <c r="L690" t="inlineStr"/>
      <c r="M690" t="inlineStr"/>
    </row>
    <row r="691">
      <c r="A691" t="inlineStr">
        <is>
          <t>No</t>
        </is>
      </c>
      <c r="B691" t="inlineStr"/>
      <c r="C691" t="inlineStr"/>
      <c r="D691" t="inlineStr"/>
      <c r="E691" t="inlineStr">
        <is>
          <t>Younger kids at home that need me</t>
        </is>
      </c>
      <c r="F691" t="inlineStr">
        <is>
          <t>Other Kids / Family at Home</t>
        </is>
      </c>
      <c r="G691" t="inlineStr">
        <is>
          <t>Other Kids / Family at Home</t>
        </is>
      </c>
      <c r="H691" t="inlineStr"/>
      <c r="I691" t="inlineStr">
        <is>
          <t>Family's Own Choice</t>
        </is>
      </c>
      <c r="J691" t="b">
        <v>0</v>
      </c>
      <c r="K691" t="n">
        <v>1</v>
      </c>
      <c r="L691" t="inlineStr"/>
      <c r="M691" t="inlineStr"/>
    </row>
    <row r="692">
      <c r="A692" t="inlineStr">
        <is>
          <t>No</t>
        </is>
      </c>
      <c r="B692" t="inlineStr"/>
      <c r="C692" t="inlineStr"/>
      <c r="D692" t="inlineStr"/>
      <c r="E692" t="inlineStr">
        <is>
          <t>It's a good experience for my son without me there</t>
        </is>
      </c>
      <c r="F692" t="inlineStr">
        <is>
          <t>Wants Child to Have Independent Experience</t>
        </is>
      </c>
      <c r="G692" t="inlineStr">
        <is>
          <t>Wants Child to Have Independent Experience</t>
        </is>
      </c>
      <c r="H692" t="inlineStr"/>
      <c r="I692" t="inlineStr">
        <is>
          <t>Family's Own Choice</t>
        </is>
      </c>
      <c r="J692" t="b">
        <v>0</v>
      </c>
      <c r="K692" t="n">
        <v>1</v>
      </c>
      <c r="L692" t="inlineStr"/>
      <c r="M692" t="inlineStr"/>
    </row>
    <row r="693">
      <c r="A693" t="inlineStr">
        <is>
          <t>No</t>
        </is>
      </c>
      <c r="B693" t="inlineStr"/>
      <c r="C693" t="inlineStr"/>
      <c r="D693" t="inlineStr"/>
      <c r="E693" t="inlineStr">
        <is>
          <t>I don't have time and didn't want to pay for myself.</t>
        </is>
      </c>
      <c r="F693" t="inlineStr">
        <is>
          <t>Work Schedule / Time Off</t>
        </is>
      </c>
      <c r="G693" t="inlineStr">
        <is>
          <t>Work Schedule / Time Off</t>
        </is>
      </c>
      <c r="H693" t="inlineStr"/>
      <c r="I693" t="inlineStr">
        <is>
          <t>HXP Can Influence</t>
        </is>
      </c>
      <c r="J693" t="b">
        <v>0</v>
      </c>
      <c r="K693" t="n">
        <v>1</v>
      </c>
      <c r="L693" t="inlineStr"/>
      <c r="M693" t="inlineStr"/>
    </row>
    <row r="694">
      <c r="A694" t="inlineStr">
        <is>
          <t>No</t>
        </is>
      </c>
      <c r="B694" t="inlineStr"/>
      <c r="C694" t="inlineStr"/>
      <c r="D694" t="inlineStr"/>
      <c r="E694" t="inlineStr">
        <is>
          <t>Time</t>
        </is>
      </c>
      <c r="F694" t="inlineStr">
        <is>
          <t>Work Schedule / Time Off</t>
        </is>
      </c>
      <c r="G694" t="inlineStr">
        <is>
          <t>Work Schedule / Time Off</t>
        </is>
      </c>
      <c r="H694" t="inlineStr"/>
      <c r="I694" t="inlineStr">
        <is>
          <t>HXP Can Influence</t>
        </is>
      </c>
      <c r="J694" t="b">
        <v>0</v>
      </c>
      <c r="K694" t="n">
        <v>1</v>
      </c>
      <c r="L694" t="inlineStr"/>
      <c r="M694" t="inlineStr"/>
    </row>
    <row r="695">
      <c r="A695" t="inlineStr">
        <is>
          <t>No</t>
        </is>
      </c>
      <c r="B695" t="inlineStr"/>
      <c r="C695" t="inlineStr"/>
      <c r="D695" t="inlineStr"/>
      <c r="E695" t="inlineStr">
        <is>
          <t>My son doesn't want me to</t>
        </is>
      </c>
      <c r="F695" t="inlineStr">
        <is>
          <t>Child Didn't Want Parent to Come</t>
        </is>
      </c>
      <c r="G695" t="inlineStr">
        <is>
          <t>Child Didn't Want Parent to Come</t>
        </is>
      </c>
      <c r="H695" t="inlineStr"/>
      <c r="I695" t="inlineStr">
        <is>
          <t>Family's Own Choice</t>
        </is>
      </c>
      <c r="J695" t="b">
        <v>0</v>
      </c>
      <c r="K695" t="n">
        <v>1</v>
      </c>
      <c r="L695" t="inlineStr"/>
      <c r="M695" t="inlineStr"/>
    </row>
    <row r="696">
      <c r="A696" t="inlineStr">
        <is>
          <t>No</t>
        </is>
      </c>
      <c r="B696" t="inlineStr"/>
      <c r="C696" t="inlineStr"/>
      <c r="D696" t="inlineStr"/>
      <c r="E696" t="inlineStr">
        <is>
          <t>Child care</t>
        </is>
      </c>
      <c r="F696" t="inlineStr">
        <is>
          <t>Other Kids / Family at Home</t>
        </is>
      </c>
      <c r="G696" t="inlineStr">
        <is>
          <t>Other Kids / Family at Home</t>
        </is>
      </c>
      <c r="H696" t="inlineStr"/>
      <c r="I696" t="inlineStr">
        <is>
          <t>Family's Own Choice</t>
        </is>
      </c>
      <c r="J696" t="b">
        <v>0</v>
      </c>
      <c r="K696" t="n">
        <v>1</v>
      </c>
      <c r="L696" t="inlineStr"/>
      <c r="M696" t="inlineStr"/>
    </row>
    <row r="697">
      <c r="A697" t="inlineStr">
        <is>
          <t>Yes</t>
        </is>
      </c>
      <c r="B697" t="inlineStr">
        <is>
          <t>Spending time with my child</t>
        </is>
      </c>
      <c r="C697" t="inlineStr">
        <is>
          <t>Wanted Shared Experience with Child</t>
        </is>
      </c>
      <c r="D697" t="inlineStr">
        <is>
          <t>Wanted Shared Experience with Child</t>
        </is>
      </c>
      <c r="E697" t="inlineStr"/>
      <c r="F697" t="inlineStr"/>
      <c r="G697" t="inlineStr"/>
      <c r="H697" t="inlineStr"/>
      <c r="I697" t="inlineStr"/>
      <c r="J697" t="b">
        <v>0</v>
      </c>
      <c r="K697" t="n">
        <v>0</v>
      </c>
      <c r="L697" t="inlineStr"/>
      <c r="M697" t="inlineStr"/>
    </row>
    <row r="698">
      <c r="A698" t="inlineStr">
        <is>
          <t>Yes</t>
        </is>
      </c>
      <c r="B698" t="inlineStr">
        <is>
          <t>We've gone previously and have had a great experience with it.</t>
        </is>
      </c>
      <c r="C698" t="inlineStr">
        <is>
          <t>Wanted Shared Experience with Child</t>
        </is>
      </c>
      <c r="D698" t="inlineStr">
        <is>
          <t>Wanted Shared Experience with Child; Previous Positive Experience</t>
        </is>
      </c>
      <c r="E698" t="inlineStr"/>
      <c r="F698" t="inlineStr"/>
      <c r="G698" t="inlineStr"/>
      <c r="H698" t="inlineStr"/>
      <c r="I698" t="inlineStr"/>
      <c r="J698" t="b">
        <v>0</v>
      </c>
      <c r="K698" t="n">
        <v>0</v>
      </c>
      <c r="L698" t="inlineStr"/>
      <c r="M698" t="inlineStr"/>
    </row>
    <row r="699">
      <c r="A699" t="inlineStr">
        <is>
          <t>No</t>
        </is>
      </c>
      <c r="B699" t="inlineStr"/>
      <c r="C699" t="inlineStr"/>
      <c r="D699" t="inlineStr"/>
      <c r="E699" t="inlineStr">
        <is>
          <t>I have other children to care for, but plan to go next year!</t>
        </is>
      </c>
      <c r="F699" t="inlineStr">
        <is>
          <t>Other Kids / Family at Home</t>
        </is>
      </c>
      <c r="G699" t="inlineStr">
        <is>
          <t>Other Kids / Family at Home</t>
        </is>
      </c>
      <c r="H699" t="inlineStr"/>
      <c r="I699" t="inlineStr">
        <is>
          <t>Family's Own Choice</t>
        </is>
      </c>
      <c r="J699" t="b">
        <v>1</v>
      </c>
      <c r="K699" t="n">
        <v>1</v>
      </c>
      <c r="L699" t="inlineStr"/>
      <c r="M699" t="inlineStr"/>
    </row>
    <row r="700">
      <c r="A700" t="inlineStr">
        <is>
          <t>No</t>
        </is>
      </c>
      <c r="B700" t="inlineStr"/>
      <c r="C700" t="inlineStr"/>
      <c r="D700" t="inlineStr"/>
      <c r="E700" t="inlineStr">
        <is>
          <t>She's a mommas girl so I decided it would be better for her to experience it on her own, if for sure go with my son in a few years though</t>
        </is>
      </c>
      <c r="F700" t="inlineStr">
        <is>
          <t>Wants Child to Have Independent Experience</t>
        </is>
      </c>
      <c r="G700" t="inlineStr">
        <is>
          <t>Wants Child to Have Independent Experience</t>
        </is>
      </c>
      <c r="H700" t="inlineStr"/>
      <c r="I700" t="inlineStr">
        <is>
          <t>Family's Own Choice</t>
        </is>
      </c>
      <c r="J700" t="b">
        <v>0</v>
      </c>
      <c r="K700" t="n">
        <v>1</v>
      </c>
      <c r="L700" t="inlineStr"/>
      <c r="M700" t="inlineStr"/>
    </row>
    <row r="701">
      <c r="A701" t="inlineStr">
        <is>
          <t>No</t>
        </is>
      </c>
      <c r="B701" t="inlineStr"/>
      <c r="C701" t="inlineStr"/>
      <c r="D701" t="inlineStr"/>
      <c r="E701" t="inlineStr">
        <is>
          <t>My daughter/builder wanted this experience on her own.</t>
        </is>
      </c>
      <c r="F701" t="inlineStr">
        <is>
          <t>Wants Child to Have Independent Experience</t>
        </is>
      </c>
      <c r="G701" t="inlineStr">
        <is>
          <t>Wants Child to Have Independent Experience</t>
        </is>
      </c>
      <c r="H701" t="inlineStr"/>
      <c r="I701" t="inlineStr">
        <is>
          <t>Family's Own Choice</t>
        </is>
      </c>
      <c r="J701" t="b">
        <v>0</v>
      </c>
      <c r="K701" t="n">
        <v>1</v>
      </c>
      <c r="L701" t="inlineStr"/>
      <c r="M701" t="inlineStr"/>
    </row>
    <row r="702">
      <c r="A702" t="inlineStr">
        <is>
          <t>No</t>
        </is>
      </c>
      <c r="B702" t="inlineStr"/>
      <c r="C702" t="inlineStr"/>
      <c r="D702" t="inlineStr"/>
      <c r="E702" t="inlineStr">
        <is>
          <t>cost</t>
        </is>
      </c>
      <c r="F702" t="inlineStr">
        <is>
          <t>Cost / Finances</t>
        </is>
      </c>
      <c r="G702" t="inlineStr">
        <is>
          <t>Cost / Finances</t>
        </is>
      </c>
      <c r="H702" t="inlineStr"/>
      <c r="I702" t="inlineStr">
        <is>
          <t>HXP Can Directly Fix</t>
        </is>
      </c>
      <c r="J702" t="b">
        <v>0</v>
      </c>
      <c r="K702" t="n">
        <v>1</v>
      </c>
      <c r="L702" t="inlineStr"/>
      <c r="M702" t="inlineStr"/>
    </row>
    <row r="703">
      <c r="A703" t="inlineStr">
        <is>
          <t>No</t>
        </is>
      </c>
      <c r="B703" t="inlineStr"/>
      <c r="C703" t="inlineStr"/>
      <c r="D703" t="inlineStr"/>
      <c r="E703" t="inlineStr">
        <is>
          <t>Money</t>
        </is>
      </c>
      <c r="F703" t="inlineStr">
        <is>
          <t>Cost / Finances</t>
        </is>
      </c>
      <c r="G703" t="inlineStr">
        <is>
          <t>Cost / Finances</t>
        </is>
      </c>
      <c r="H703" t="inlineStr"/>
      <c r="I703" t="inlineStr">
        <is>
          <t>HXP Can Directly Fix</t>
        </is>
      </c>
      <c r="J703" t="b">
        <v>0</v>
      </c>
      <c r="K703" t="n">
        <v>1</v>
      </c>
      <c r="L703" t="inlineStr"/>
      <c r="M703" t="inlineStr"/>
    </row>
    <row r="704">
      <c r="A704" t="inlineStr">
        <is>
          <t>No</t>
        </is>
      </c>
      <c r="B704" t="inlineStr"/>
      <c r="C704" t="inlineStr"/>
      <c r="D704" t="inlineStr"/>
      <c r="E704" t="inlineStr">
        <is>
          <t>Wanted my son to have his own experience. although I'd love to go as a parent builder with a different group</t>
        </is>
      </c>
      <c r="F704" t="inlineStr">
        <is>
          <t>Wants Child to Have Independent Experience</t>
        </is>
      </c>
      <c r="G704" t="inlineStr">
        <is>
          <t>Wants Child to Have Independent Experience</t>
        </is>
      </c>
      <c r="H704" t="inlineStr"/>
      <c r="I704" t="inlineStr">
        <is>
          <t>Family's Own Choice</t>
        </is>
      </c>
      <c r="J704" t="b">
        <v>0</v>
      </c>
      <c r="K704" t="n">
        <v>1</v>
      </c>
      <c r="L704" t="inlineStr"/>
      <c r="M704" t="inlineStr"/>
    </row>
    <row r="705">
      <c r="A705" t="inlineStr">
        <is>
          <t>No</t>
        </is>
      </c>
      <c r="B705" t="inlineStr"/>
      <c r="C705" t="inlineStr"/>
      <c r="D705" t="inlineStr"/>
      <c r="E705" t="inlineStr">
        <is>
          <t>Time away from other kids and cost of trip</t>
        </is>
      </c>
      <c r="F705" t="inlineStr">
        <is>
          <t>Cost / Finances</t>
        </is>
      </c>
      <c r="G705" t="inlineStr">
        <is>
          <t>Cost / Finances; Work Schedule / Time Off; Other Kids / Family at Home</t>
        </is>
      </c>
      <c r="H705" t="inlineStr"/>
      <c r="I705" t="inlineStr">
        <is>
          <t>HXP Can Directly Fix</t>
        </is>
      </c>
      <c r="J705" t="b">
        <v>0</v>
      </c>
      <c r="K705" t="n">
        <v>3</v>
      </c>
      <c r="L705" t="inlineStr"/>
      <c r="M705" t="inlineStr"/>
    </row>
    <row r="706">
      <c r="A706" t="inlineStr">
        <is>
          <t>No</t>
        </is>
      </c>
      <c r="B706" t="inlineStr"/>
      <c r="C706" t="inlineStr"/>
      <c r="D706" t="inlineStr"/>
      <c r="E706" t="inlineStr">
        <is>
          <t>Not in the budget right now.</t>
        </is>
      </c>
      <c r="F706" t="inlineStr">
        <is>
          <t>Cost / Finances</t>
        </is>
      </c>
      <c r="G706" t="inlineStr">
        <is>
          <t>Cost / Finances</t>
        </is>
      </c>
      <c r="H706" t="inlineStr"/>
      <c r="I706" t="inlineStr">
        <is>
          <t>HXP Can Directly Fix</t>
        </is>
      </c>
      <c r="J706" t="b">
        <v>0</v>
      </c>
      <c r="K706" t="n">
        <v>1</v>
      </c>
      <c r="L706" t="inlineStr"/>
      <c r="M706" t="inlineStr"/>
    </row>
    <row r="707">
      <c r="A707" t="inlineStr">
        <is>
          <t>No</t>
        </is>
      </c>
      <c r="B707" t="inlineStr"/>
      <c r="C707" t="inlineStr"/>
      <c r="D707" t="inlineStr"/>
      <c r="E707" t="inlineStr">
        <is>
          <t>I'm not comfortable in positions like that</t>
        </is>
      </c>
      <c r="F707" t="inlineStr">
        <is>
          <t>Not a Traveler / Personal Preference</t>
        </is>
      </c>
      <c r="G707" t="inlineStr">
        <is>
          <t>Not a Traveler / Personal Preference</t>
        </is>
      </c>
      <c r="H707" t="inlineStr"/>
      <c r="I707" t="inlineStr">
        <is>
          <t>HXP Can Influence</t>
        </is>
      </c>
      <c r="J707" t="b">
        <v>0</v>
      </c>
      <c r="K707" t="n">
        <v>1</v>
      </c>
      <c r="L707" t="inlineStr"/>
      <c r="M707" t="inlineStr"/>
    </row>
    <row r="708">
      <c r="A708" t="inlineStr">
        <is>
          <t>Yes</t>
        </is>
      </c>
      <c r="B708" t="inlineStr">
        <is>
          <t>We've tried to do something like this with our older 3 kids and I wanted to go to this with Addie.</t>
        </is>
      </c>
      <c r="C708" t="inlineStr">
        <is>
          <t>Other / Uncategorized</t>
        </is>
      </c>
      <c r="D708" t="inlineStr"/>
      <c r="E708" t="inlineStr"/>
      <c r="F708" t="inlineStr"/>
      <c r="G708" t="inlineStr"/>
      <c r="H708" t="inlineStr"/>
      <c r="I708" t="inlineStr"/>
      <c r="J708" t="b">
        <v>0</v>
      </c>
      <c r="K708" t="n">
        <v>0</v>
      </c>
      <c r="L708" t="inlineStr"/>
      <c r="M708" t="inlineStr"/>
    </row>
    <row r="709">
      <c r="A709" t="inlineStr">
        <is>
          <t>No</t>
        </is>
      </c>
      <c r="B709" t="inlineStr"/>
      <c r="C709" t="inlineStr"/>
      <c r="D709" t="inlineStr"/>
      <c r="E709" t="inlineStr">
        <is>
          <t>The cost.</t>
        </is>
      </c>
      <c r="F709" t="inlineStr">
        <is>
          <t>Cost / Finances</t>
        </is>
      </c>
      <c r="G709" t="inlineStr">
        <is>
          <t>Cost / Finances</t>
        </is>
      </c>
      <c r="H709" t="inlineStr"/>
      <c r="I709" t="inlineStr">
        <is>
          <t>HXP Can Directly Fix</t>
        </is>
      </c>
      <c r="J709" t="b">
        <v>0</v>
      </c>
      <c r="K709" t="n">
        <v>1</v>
      </c>
      <c r="L709" t="inlineStr"/>
      <c r="M709" t="inlineStr"/>
    </row>
    <row r="710">
      <c r="A710" t="inlineStr">
        <is>
          <t>No</t>
        </is>
      </c>
      <c r="B710" t="inlineStr"/>
      <c r="C710" t="inlineStr"/>
      <c r="D710" t="inlineStr"/>
      <c r="E710" t="inlineStr">
        <is>
          <t>My son will open up more when I'm not there.</t>
        </is>
      </c>
      <c r="F710" t="inlineStr">
        <is>
          <t>Wants Child to Have Independent Experience</t>
        </is>
      </c>
      <c r="G710" t="inlineStr">
        <is>
          <t>Wants Child to Have Independent Experience</t>
        </is>
      </c>
      <c r="H710" t="inlineStr"/>
      <c r="I710" t="inlineStr">
        <is>
          <t>Family's Own Choice</t>
        </is>
      </c>
      <c r="J710" t="b">
        <v>0</v>
      </c>
      <c r="K710" t="n">
        <v>1</v>
      </c>
      <c r="L710" t="inlineStr"/>
      <c r="M710" t="inlineStr"/>
    </row>
    <row r="711">
      <c r="A711" t="inlineStr">
        <is>
          <t>No</t>
        </is>
      </c>
      <c r="B711" t="inlineStr"/>
      <c r="C711" t="inlineStr"/>
      <c r="D711" t="inlineStr"/>
      <c r="E711" t="inlineStr">
        <is>
          <t>I want my son to have this spiritual experience on his own. But I'm so jealous. I'd love to be there.</t>
        </is>
      </c>
      <c r="F711" t="inlineStr">
        <is>
          <t>Wants Child to Have Independent Experience</t>
        </is>
      </c>
      <c r="G711" t="inlineStr">
        <is>
          <t>Wants Child to Have Independent Experience</t>
        </is>
      </c>
      <c r="H711" t="inlineStr"/>
      <c r="I711" t="inlineStr">
        <is>
          <t>Family's Own Choice</t>
        </is>
      </c>
      <c r="J711" t="b">
        <v>0</v>
      </c>
      <c r="K711" t="n">
        <v>1</v>
      </c>
      <c r="L711" t="inlineStr"/>
      <c r="M711" t="inlineStr"/>
    </row>
    <row r="712">
      <c r="A712" t="inlineStr">
        <is>
          <t>No</t>
        </is>
      </c>
      <c r="B712" t="inlineStr"/>
      <c r="C712" t="inlineStr"/>
      <c r="D712" t="inlineStr"/>
      <c r="E712" t="inlineStr">
        <is>
          <t>Give my kid independence</t>
        </is>
      </c>
      <c r="F712" t="inlineStr">
        <is>
          <t>Wants Child to Have Independent Experience</t>
        </is>
      </c>
      <c r="G712" t="inlineStr">
        <is>
          <t>Wants Child to Have Independent Experience</t>
        </is>
      </c>
      <c r="H712" t="inlineStr"/>
      <c r="I712" t="inlineStr">
        <is>
          <t>Family's Own Choice</t>
        </is>
      </c>
      <c r="J712" t="b">
        <v>0</v>
      </c>
      <c r="K712" t="n">
        <v>1</v>
      </c>
      <c r="L712" t="inlineStr"/>
      <c r="M712" t="inlineStr"/>
    </row>
    <row r="713">
      <c r="A713" t="inlineStr">
        <is>
          <t>Yes</t>
        </is>
      </c>
      <c r="B713" t="inlineStr">
        <is>
          <t>Getting my daughter to go &amp; just overall experience.</t>
        </is>
      </c>
      <c r="C713" t="inlineStr">
        <is>
          <t>Wanted Shared Experience with Child</t>
        </is>
      </c>
      <c r="D713" t="inlineStr">
        <is>
          <t>Wanted Shared Experience with Child</t>
        </is>
      </c>
      <c r="E713" t="inlineStr"/>
      <c r="F713" t="inlineStr"/>
      <c r="G713" t="inlineStr"/>
      <c r="H713" t="inlineStr"/>
      <c r="I713" t="inlineStr"/>
      <c r="J713" t="b">
        <v>0</v>
      </c>
      <c r="K713" t="n">
        <v>0</v>
      </c>
      <c r="L713" t="inlineStr"/>
      <c r="M713" t="inlineStr"/>
    </row>
    <row r="714">
      <c r="A714" t="inlineStr">
        <is>
          <t>No</t>
        </is>
      </c>
      <c r="B714" t="inlineStr"/>
      <c r="C714" t="inlineStr"/>
      <c r="D714" t="inlineStr"/>
      <c r="E714" t="inlineStr">
        <is>
          <t>Can't miss 3 weeks of work</t>
        </is>
      </c>
      <c r="F714" t="inlineStr">
        <is>
          <t>Work Schedule / Time Off</t>
        </is>
      </c>
      <c r="G714" t="inlineStr">
        <is>
          <t>Work Schedule / Time Off</t>
        </is>
      </c>
      <c r="H714" t="inlineStr"/>
      <c r="I714" t="inlineStr">
        <is>
          <t>HXP Can Influence</t>
        </is>
      </c>
      <c r="J714" t="b">
        <v>0</v>
      </c>
      <c r="K714" t="n">
        <v>1</v>
      </c>
      <c r="L714" t="inlineStr"/>
      <c r="M714" t="inlineStr"/>
    </row>
    <row r="715">
      <c r="A715" t="inlineStr">
        <is>
          <t>Yes</t>
        </is>
      </c>
      <c r="B715" t="inlineStr">
        <is>
          <t>The videos I watched on youtube from other Parent builders about their experience, one video they shared how the trip made them closer together and to know each other more than just a mom and son but as an individual. those videos trully influenced my decision</t>
        </is>
      </c>
      <c r="C715" t="inlineStr">
        <is>
          <t>Wanted Shared Experience with Child</t>
        </is>
      </c>
      <c r="D715" t="inlineStr">
        <is>
          <t>Wanted Shared Experience with Child</t>
        </is>
      </c>
      <c r="E715" t="inlineStr"/>
      <c r="F715" t="inlineStr"/>
      <c r="G715" t="inlineStr"/>
      <c r="H715" t="inlineStr"/>
      <c r="I715" t="inlineStr"/>
      <c r="J715" t="b">
        <v>0</v>
      </c>
      <c r="K715" t="n">
        <v>0</v>
      </c>
      <c r="L715" t="inlineStr"/>
      <c r="M715" t="inlineStr"/>
    </row>
    <row r="716">
      <c r="A716" t="inlineStr">
        <is>
          <t>No</t>
        </is>
      </c>
      <c r="B716" t="inlineStr"/>
      <c r="C716" t="inlineStr"/>
      <c r="D716" t="inlineStr"/>
      <c r="E716" t="inlineStr">
        <is>
          <t>No PTO available</t>
        </is>
      </c>
      <c r="F716" t="inlineStr">
        <is>
          <t>Work Schedule / Time Off</t>
        </is>
      </c>
      <c r="G716" t="inlineStr">
        <is>
          <t>Work Schedule / Time Off</t>
        </is>
      </c>
      <c r="H716" t="inlineStr"/>
      <c r="I716" t="inlineStr">
        <is>
          <t>HXP Can Influence</t>
        </is>
      </c>
      <c r="J716" t="b">
        <v>0</v>
      </c>
      <c r="K716" t="n">
        <v>1</v>
      </c>
      <c r="L716" t="inlineStr"/>
      <c r="M716" t="inlineStr"/>
    </row>
    <row r="717">
      <c r="A717" t="inlineStr">
        <is>
          <t>No</t>
        </is>
      </c>
      <c r="B717" t="inlineStr"/>
      <c r="C717" t="inlineStr"/>
      <c r="D717" t="inlineStr"/>
      <c r="E717" t="inlineStr">
        <is>
          <t>Cost. I want my kids to be independent</t>
        </is>
      </c>
      <c r="F717" t="inlineStr">
        <is>
          <t>Cost / Finances</t>
        </is>
      </c>
      <c r="G717" t="inlineStr">
        <is>
          <t>Cost / Finances; Wants Child to Have Independent Experience</t>
        </is>
      </c>
      <c r="H717" t="inlineStr"/>
      <c r="I717" t="inlineStr">
        <is>
          <t>HXP Can Directly Fix</t>
        </is>
      </c>
      <c r="J717" t="b">
        <v>0</v>
      </c>
      <c r="K717" t="n">
        <v>2</v>
      </c>
      <c r="L717" t="inlineStr"/>
      <c r="M717" t="inlineStr"/>
    </row>
    <row r="718">
      <c r="A718" t="inlineStr">
        <is>
          <t>No</t>
        </is>
      </c>
      <c r="B718" t="inlineStr"/>
      <c r="C718" t="inlineStr"/>
      <c r="D718" t="inlineStr"/>
      <c r="E718" t="inlineStr">
        <is>
          <t>Cost and duration of the trip is too long to leave younger children at home</t>
        </is>
      </c>
      <c r="F718" t="inlineStr">
        <is>
          <t>Cost / Finances</t>
        </is>
      </c>
      <c r="G718" t="inlineStr">
        <is>
          <t>Cost / Finances; Other Kids / Family at Home</t>
        </is>
      </c>
      <c r="H718" t="inlineStr"/>
      <c r="I718" t="inlineStr">
        <is>
          <t>HXP Can Directly Fix</t>
        </is>
      </c>
      <c r="J718" t="b">
        <v>0</v>
      </c>
      <c r="K718" t="n">
        <v>2</v>
      </c>
      <c r="L718" t="inlineStr"/>
      <c r="M718" t="inlineStr"/>
    </row>
    <row r="719">
      <c r="A719" t="inlineStr">
        <is>
          <t>No</t>
        </is>
      </c>
      <c r="B719" t="inlineStr"/>
      <c r="C719" t="inlineStr"/>
      <c r="D719" t="inlineStr"/>
      <c r="E719" t="inlineStr">
        <is>
          <t>My other kids at home and money</t>
        </is>
      </c>
      <c r="F719" t="inlineStr">
        <is>
          <t>Cost / Finances</t>
        </is>
      </c>
      <c r="G719" t="inlineStr">
        <is>
          <t>Cost / Finances; Other Kids / Family at Home</t>
        </is>
      </c>
      <c r="H719" t="inlineStr"/>
      <c r="I719" t="inlineStr">
        <is>
          <t>HXP Can Directly Fix</t>
        </is>
      </c>
      <c r="J719" t="b">
        <v>0</v>
      </c>
      <c r="K719" t="n">
        <v>2</v>
      </c>
      <c r="L719" t="inlineStr"/>
      <c r="M719" t="inlineStr"/>
    </row>
    <row r="720">
      <c r="A720" t="inlineStr">
        <is>
          <t>No</t>
        </is>
      </c>
      <c r="B720" t="inlineStr"/>
      <c r="C720" t="inlineStr"/>
      <c r="D720" t="inlineStr"/>
      <c r="E720" t="inlineStr">
        <is>
          <t>Single parent with a little at home</t>
        </is>
      </c>
      <c r="F720" t="inlineStr">
        <is>
          <t>Other Kids / Family at Home</t>
        </is>
      </c>
      <c r="G720" t="inlineStr">
        <is>
          <t>Other Kids / Family at Home</t>
        </is>
      </c>
      <c r="H720" t="inlineStr"/>
      <c r="I720" t="inlineStr">
        <is>
          <t>Family's Own Choice</t>
        </is>
      </c>
      <c r="J720" t="b">
        <v>0</v>
      </c>
      <c r="K720" t="n">
        <v>1</v>
      </c>
      <c r="L720" t="inlineStr"/>
      <c r="M720" t="inlineStr"/>
    </row>
    <row r="721">
      <c r="A721" t="inlineStr">
        <is>
          <t>No</t>
        </is>
      </c>
      <c r="B721" t="inlineStr"/>
      <c r="C721" t="inlineStr"/>
      <c r="D721" t="inlineStr"/>
      <c r="E721" t="inlineStr"/>
      <c r="F721" t="inlineStr"/>
      <c r="G721" t="inlineStr"/>
      <c r="H721" t="inlineStr"/>
      <c r="I721" t="inlineStr"/>
      <c r="J721" t="b">
        <v>0</v>
      </c>
      <c r="K721" t="n">
        <v>0</v>
      </c>
      <c r="L721" t="inlineStr"/>
      <c r="M721" t="inlineStr"/>
    </row>
    <row r="722">
      <c r="A722" t="inlineStr">
        <is>
          <t>No</t>
        </is>
      </c>
      <c r="B722" t="inlineStr"/>
      <c r="C722" t="inlineStr"/>
      <c r="D722" t="inlineStr"/>
      <c r="E722" t="inlineStr">
        <is>
          <t>Wanted child to have the privilege of independence.</t>
        </is>
      </c>
      <c r="F722" t="inlineStr">
        <is>
          <t>Wants Child to Have Independent Experience</t>
        </is>
      </c>
      <c r="G722" t="inlineStr">
        <is>
          <t>Wants Child to Have Independent Experience</t>
        </is>
      </c>
      <c r="H722" t="inlineStr"/>
      <c r="I722" t="inlineStr">
        <is>
          <t>Family's Own Choice</t>
        </is>
      </c>
      <c r="J722" t="b">
        <v>0</v>
      </c>
      <c r="K722" t="n">
        <v>1</v>
      </c>
      <c r="L722" t="inlineStr"/>
      <c r="M722" t="inlineStr"/>
    </row>
    <row r="723">
      <c r="A723" t="inlineStr">
        <is>
          <t>No</t>
        </is>
      </c>
      <c r="B723" t="inlineStr"/>
      <c r="C723" t="inlineStr"/>
      <c r="D723" t="inlineStr"/>
      <c r="E723" t="inlineStr">
        <is>
          <t>too much money for the parent builder</t>
        </is>
      </c>
      <c r="F723" t="inlineStr">
        <is>
          <t>Cost / Finances</t>
        </is>
      </c>
      <c r="G723" t="inlineStr">
        <is>
          <t>Cost / Finances</t>
        </is>
      </c>
      <c r="H723" t="inlineStr"/>
      <c r="I723" t="inlineStr">
        <is>
          <t>HXP Can Directly Fix</t>
        </is>
      </c>
      <c r="J723" t="b">
        <v>0</v>
      </c>
      <c r="K723" t="n">
        <v>1</v>
      </c>
      <c r="L723" t="inlineStr"/>
      <c r="M723" t="inlineStr"/>
    </row>
    <row r="724">
      <c r="A724" t="inlineStr">
        <is>
          <t>No</t>
        </is>
      </c>
      <c r="B724" t="inlineStr"/>
      <c r="C724" t="inlineStr"/>
      <c r="D724" t="inlineStr"/>
      <c r="E724" t="inlineStr">
        <is>
          <t>Finances</t>
        </is>
      </c>
      <c r="F724" t="inlineStr">
        <is>
          <t>Cost / Finances</t>
        </is>
      </c>
      <c r="G724" t="inlineStr">
        <is>
          <t>Cost / Finances</t>
        </is>
      </c>
      <c r="H724" t="inlineStr"/>
      <c r="I724" t="inlineStr">
        <is>
          <t>HXP Can Directly Fix</t>
        </is>
      </c>
      <c r="J724" t="b">
        <v>0</v>
      </c>
      <c r="K724" t="n">
        <v>1</v>
      </c>
      <c r="L724" t="inlineStr"/>
      <c r="M724" t="inlineStr"/>
    </row>
    <row r="725">
      <c r="A725" t="inlineStr">
        <is>
          <t>No</t>
        </is>
      </c>
      <c r="B725" t="inlineStr"/>
      <c r="C725" t="inlineStr"/>
      <c r="D725" t="inlineStr"/>
      <c r="E725" t="inlineStr">
        <is>
          <t>scheduling conlicts</t>
        </is>
      </c>
      <c r="F725" t="inlineStr">
        <is>
          <t>Work Schedule / Time Off</t>
        </is>
      </c>
      <c r="G725" t="inlineStr">
        <is>
          <t>Work Schedule / Time Off</t>
        </is>
      </c>
      <c r="H725" t="inlineStr"/>
      <c r="I725" t="inlineStr">
        <is>
          <t>HXP Can Influence</t>
        </is>
      </c>
      <c r="J725" t="b">
        <v>0</v>
      </c>
      <c r="K725" t="n">
        <v>1</v>
      </c>
      <c r="L725" t="inlineStr"/>
      <c r="M725" t="inlineStr"/>
    </row>
    <row r="726">
      <c r="A726" t="inlineStr">
        <is>
          <t>No</t>
        </is>
      </c>
      <c r="B726" t="inlineStr"/>
      <c r="C726" t="inlineStr"/>
      <c r="D726" t="inlineStr"/>
      <c r="E726" t="inlineStr">
        <is>
          <t>work conflicts</t>
        </is>
      </c>
      <c r="F726" t="inlineStr">
        <is>
          <t>Work Schedule / Time Off</t>
        </is>
      </c>
      <c r="G726" t="inlineStr">
        <is>
          <t>Work Schedule / Time Off</t>
        </is>
      </c>
      <c r="H726" t="inlineStr"/>
      <c r="I726" t="inlineStr">
        <is>
          <t>HXP Can Influence</t>
        </is>
      </c>
      <c r="J726" t="b">
        <v>0</v>
      </c>
      <c r="K726" t="n">
        <v>1</v>
      </c>
      <c r="L726" t="inlineStr"/>
      <c r="M726" t="inlineStr"/>
    </row>
    <row r="727">
      <c r="A727" t="inlineStr">
        <is>
          <t>No</t>
        </is>
      </c>
      <c r="B727" t="inlineStr"/>
      <c r="C727" t="inlineStr"/>
      <c r="D727" t="inlineStr"/>
      <c r="E727" t="inlineStr">
        <is>
          <t>My work won't allow for it.</t>
        </is>
      </c>
      <c r="F727" t="inlineStr">
        <is>
          <t>Work Schedule / Time Off</t>
        </is>
      </c>
      <c r="G727" t="inlineStr">
        <is>
          <t>Work Schedule / Time Off</t>
        </is>
      </c>
      <c r="H727" t="inlineStr"/>
      <c r="I727" t="inlineStr">
        <is>
          <t>HXP Can Influence</t>
        </is>
      </c>
      <c r="J727" t="b">
        <v>0</v>
      </c>
      <c r="K727" t="n">
        <v>1</v>
      </c>
      <c r="L727" t="inlineStr"/>
      <c r="M727" t="inlineStr"/>
    </row>
    <row r="728">
      <c r="A728" t="inlineStr">
        <is>
          <t>No</t>
        </is>
      </c>
      <c r="B728" t="inlineStr"/>
      <c r="C728" t="inlineStr"/>
      <c r="D728" t="inlineStr"/>
      <c r="E728" t="inlineStr">
        <is>
          <t>Price and time off</t>
        </is>
      </c>
      <c r="F728" t="inlineStr">
        <is>
          <t>Cost / Finances</t>
        </is>
      </c>
      <c r="G728" t="inlineStr">
        <is>
          <t>Cost / Finances; Work Schedule / Time Off</t>
        </is>
      </c>
      <c r="H728" t="inlineStr"/>
      <c r="I728" t="inlineStr">
        <is>
          <t>HXP Can Directly Fix</t>
        </is>
      </c>
      <c r="J728" t="b">
        <v>0</v>
      </c>
      <c r="K728" t="n">
        <v>2</v>
      </c>
      <c r="L728" t="inlineStr"/>
      <c r="M728" t="inlineStr"/>
    </row>
    <row r="729">
      <c r="A729" t="inlineStr">
        <is>
          <t>No</t>
        </is>
      </c>
      <c r="B729" t="inlineStr"/>
      <c r="C729" t="inlineStr"/>
      <c r="D729" t="inlineStr"/>
      <c r="E729" t="inlineStr">
        <is>
          <t>Price</t>
        </is>
      </c>
      <c r="F729" t="inlineStr">
        <is>
          <t>Cost / Finances</t>
        </is>
      </c>
      <c r="G729" t="inlineStr">
        <is>
          <t>Cost / Finances</t>
        </is>
      </c>
      <c r="H729" t="inlineStr"/>
      <c r="I729" t="inlineStr">
        <is>
          <t>HXP Can Directly Fix</t>
        </is>
      </c>
      <c r="J729" t="b">
        <v>0</v>
      </c>
      <c r="K729" t="n">
        <v>1</v>
      </c>
      <c r="L729" t="inlineStr"/>
      <c r="M729" t="inlineStr"/>
    </row>
    <row r="730">
      <c r="A730" t="inlineStr">
        <is>
          <t>No</t>
        </is>
      </c>
      <c r="B730" t="inlineStr"/>
      <c r="C730" t="inlineStr"/>
      <c r="D730" t="inlineStr"/>
      <c r="E730" t="inlineStr">
        <is>
          <t>Sister went and looking for a testimony builder for my son</t>
        </is>
      </c>
      <c r="F730" t="inlineStr">
        <is>
          <t>Another Family Member Going Instead</t>
        </is>
      </c>
      <c r="G730" t="inlineStr">
        <is>
          <t>Another Family Member Going Instead</t>
        </is>
      </c>
      <c r="H730" t="inlineStr"/>
      <c r="I730" t="inlineStr">
        <is>
          <t>Family's Own Choice</t>
        </is>
      </c>
      <c r="J730" t="b">
        <v>0</v>
      </c>
      <c r="K730" t="n">
        <v>1</v>
      </c>
      <c r="L730" t="inlineStr"/>
      <c r="M730" t="inlineStr"/>
    </row>
    <row r="731">
      <c r="A731" t="inlineStr">
        <is>
          <t>No</t>
        </is>
      </c>
      <c r="B731" t="inlineStr"/>
      <c r="C731" t="inlineStr"/>
      <c r="D731" t="inlineStr"/>
      <c r="E731" t="inlineStr">
        <is>
          <t>Money, time and my son needed experiences indépendant of me.</t>
        </is>
      </c>
      <c r="F731" t="inlineStr">
        <is>
          <t>Cost / Finances</t>
        </is>
      </c>
      <c r="G731" t="inlineStr">
        <is>
          <t>Cost / Finances; Work Schedule / Time Off</t>
        </is>
      </c>
      <c r="H731" t="inlineStr"/>
      <c r="I731" t="inlineStr">
        <is>
          <t>HXP Can Directly Fix</t>
        </is>
      </c>
      <c r="J731" t="b">
        <v>0</v>
      </c>
      <c r="K731" t="n">
        <v>2</v>
      </c>
      <c r="L731" t="inlineStr"/>
      <c r="M731" t="inlineStr"/>
    </row>
    <row r="732">
      <c r="A732" t="inlineStr">
        <is>
          <t>No</t>
        </is>
      </c>
      <c r="B732" t="inlineStr"/>
      <c r="C732" t="inlineStr"/>
      <c r="D732" t="inlineStr"/>
      <c r="E732" t="inlineStr">
        <is>
          <t>Money, 3 of my kids are doing hxp trips and I can't afford to go too, although I would love to!!</t>
        </is>
      </c>
      <c r="F732" t="inlineStr">
        <is>
          <t>Cost / Finances</t>
        </is>
      </c>
      <c r="G732" t="inlineStr">
        <is>
          <t>Cost / Finances</t>
        </is>
      </c>
      <c r="H732" t="inlineStr"/>
      <c r="I732" t="inlineStr">
        <is>
          <t>HXP Can Directly Fix</t>
        </is>
      </c>
      <c r="J732" t="b">
        <v>1</v>
      </c>
      <c r="K732" t="n">
        <v>1</v>
      </c>
      <c r="L732" t="inlineStr"/>
      <c r="M732" t="inlineStr"/>
    </row>
    <row r="733">
      <c r="A733" t="inlineStr">
        <is>
          <t>Yes</t>
        </is>
      </c>
      <c r="B733" t="inlineStr">
        <is>
          <t>They were in need of a female parent builder and it sounded like a great experience</t>
        </is>
      </c>
      <c r="C733" t="inlineStr">
        <is>
          <t>Wanted Shared Experience with Child</t>
        </is>
      </c>
      <c r="D733" t="inlineStr">
        <is>
          <t>Wanted Shared Experience with Child</t>
        </is>
      </c>
      <c r="E733" t="inlineStr"/>
      <c r="F733" t="inlineStr"/>
      <c r="G733" t="inlineStr"/>
      <c r="H733" t="inlineStr"/>
      <c r="I733" t="inlineStr"/>
      <c r="J733" t="b">
        <v>0</v>
      </c>
      <c r="K733" t="n">
        <v>0</v>
      </c>
      <c r="L733" t="inlineStr"/>
      <c r="M733" t="inlineStr"/>
    </row>
    <row r="734">
      <c r="A734" t="inlineStr">
        <is>
          <t>No</t>
        </is>
      </c>
      <c r="B734" t="inlineStr"/>
      <c r="C734" t="inlineStr"/>
      <c r="D734" t="inlineStr"/>
      <c r="E734" t="inlineStr">
        <is>
          <t>money and time</t>
        </is>
      </c>
      <c r="F734" t="inlineStr">
        <is>
          <t>Cost / Finances</t>
        </is>
      </c>
      <c r="G734" t="inlineStr">
        <is>
          <t>Cost / Finances; Work Schedule / Time Off</t>
        </is>
      </c>
      <c r="H734" t="inlineStr"/>
      <c r="I734" t="inlineStr">
        <is>
          <t>HXP Can Directly Fix</t>
        </is>
      </c>
      <c r="J734" t="b">
        <v>0</v>
      </c>
      <c r="K734" t="n">
        <v>2</v>
      </c>
      <c r="L734" t="inlineStr"/>
      <c r="M734" t="inlineStr"/>
    </row>
    <row r="735">
      <c r="A735" t="inlineStr">
        <is>
          <t>No</t>
        </is>
      </c>
      <c r="B735" t="inlineStr"/>
      <c r="C735" t="inlineStr"/>
      <c r="D735" t="inlineStr"/>
      <c r="E735" t="inlineStr">
        <is>
          <t>My husband is going :)</t>
        </is>
      </c>
      <c r="F735" t="inlineStr">
        <is>
          <t>Another Family Member Going Instead</t>
        </is>
      </c>
      <c r="G735" t="inlineStr">
        <is>
          <t>Another Family Member Going Instead</t>
        </is>
      </c>
      <c r="H735" t="inlineStr"/>
      <c r="I735" t="inlineStr">
        <is>
          <t>Family's Own Choice</t>
        </is>
      </c>
      <c r="J735" t="b">
        <v>0</v>
      </c>
      <c r="K735" t="n">
        <v>1</v>
      </c>
      <c r="L735" t="inlineStr"/>
      <c r="M735" t="inlineStr"/>
    </row>
    <row r="736">
      <c r="A736" t="inlineStr">
        <is>
          <t>Yes</t>
        </is>
      </c>
      <c r="B736" t="inlineStr">
        <is>
          <t>I had a great experience last year in Ghana</t>
        </is>
      </c>
      <c r="C736" t="inlineStr">
        <is>
          <t>Wanted Shared Experience with Child</t>
        </is>
      </c>
      <c r="D736" t="inlineStr">
        <is>
          <t>Wanted Shared Experience with Child; Previous Positive Experience</t>
        </is>
      </c>
      <c r="E736" t="inlineStr"/>
      <c r="F736" t="inlineStr"/>
      <c r="G736" t="inlineStr"/>
      <c r="H736" t="inlineStr"/>
      <c r="I736" t="inlineStr"/>
      <c r="J736" t="b">
        <v>0</v>
      </c>
      <c r="K736" t="n">
        <v>0</v>
      </c>
      <c r="L736" t="inlineStr"/>
      <c r="M736" t="inlineStr"/>
    </row>
    <row r="737">
      <c r="A737" t="inlineStr">
        <is>
          <t>No</t>
        </is>
      </c>
      <c r="B737" t="inlineStr"/>
      <c r="C737" t="inlineStr"/>
      <c r="D737" t="inlineStr"/>
      <c r="E737" t="inlineStr">
        <is>
          <t>I want my child to have this experience separate from us. I actually really want to go!!!</t>
        </is>
      </c>
      <c r="F737" t="inlineStr">
        <is>
          <t>Wants Child to Have Independent Experience</t>
        </is>
      </c>
      <c r="G737" t="inlineStr">
        <is>
          <t>Wants Child to Have Independent Experience</t>
        </is>
      </c>
      <c r="H737" t="inlineStr"/>
      <c r="I737" t="inlineStr">
        <is>
          <t>Family's Own Choice</t>
        </is>
      </c>
      <c r="J737" t="b">
        <v>0</v>
      </c>
      <c r="K737" t="n">
        <v>1</v>
      </c>
      <c r="L737" t="inlineStr"/>
      <c r="M737" t="inlineStr"/>
    </row>
    <row r="738">
      <c r="A738" t="inlineStr">
        <is>
          <t>No</t>
        </is>
      </c>
      <c r="B738" t="inlineStr"/>
      <c r="C738" t="inlineStr"/>
      <c r="D738" t="inlineStr"/>
      <c r="E738" t="inlineStr">
        <is>
          <t>Work</t>
        </is>
      </c>
      <c r="F738" t="inlineStr">
        <is>
          <t>Work Schedule / Time Off</t>
        </is>
      </c>
      <c r="G738" t="inlineStr">
        <is>
          <t>Work Schedule / Time Off</t>
        </is>
      </c>
      <c r="H738" t="inlineStr"/>
      <c r="I738" t="inlineStr">
        <is>
          <t>HXP Can Influence</t>
        </is>
      </c>
      <c r="J738" t="b">
        <v>0</v>
      </c>
      <c r="K738" t="n">
        <v>1</v>
      </c>
      <c r="L738" t="inlineStr"/>
      <c r="M738" t="inlineStr"/>
    </row>
    <row r="739">
      <c r="A739" t="inlineStr">
        <is>
          <t>No</t>
        </is>
      </c>
      <c r="B739" t="inlineStr"/>
      <c r="C739" t="inlineStr"/>
      <c r="D739" t="inlineStr"/>
      <c r="E739" t="inlineStr">
        <is>
          <t>Too busy with other kids and life</t>
        </is>
      </c>
      <c r="F739" t="inlineStr">
        <is>
          <t>Work Schedule / Time Off</t>
        </is>
      </c>
      <c r="G739" t="inlineStr">
        <is>
          <t>Work Schedule / Time Off; Other Kids / Family at Home</t>
        </is>
      </c>
      <c r="H739" t="inlineStr"/>
      <c r="I739" t="inlineStr">
        <is>
          <t>HXP Can Influence</t>
        </is>
      </c>
      <c r="J739" t="b">
        <v>0</v>
      </c>
      <c r="K739" t="n">
        <v>2</v>
      </c>
      <c r="L739" t="inlineStr"/>
      <c r="M739" t="inlineStr"/>
    </row>
    <row r="740">
      <c r="A740" t="inlineStr">
        <is>
          <t>No</t>
        </is>
      </c>
      <c r="B740" t="inlineStr"/>
      <c r="C740" t="inlineStr"/>
      <c r="D740" t="inlineStr"/>
      <c r="E740" t="inlineStr">
        <is>
          <t>Want my builder to have that time for just her</t>
        </is>
      </c>
      <c r="F740" t="inlineStr">
        <is>
          <t>Work Schedule / Time Off</t>
        </is>
      </c>
      <c r="G740" t="inlineStr">
        <is>
          <t>Work Schedule / Time Off</t>
        </is>
      </c>
      <c r="H740" t="inlineStr"/>
      <c r="I740" t="inlineStr">
        <is>
          <t>HXP Can Influence</t>
        </is>
      </c>
      <c r="J740" t="b">
        <v>0</v>
      </c>
      <c r="K740" t="n">
        <v>1</v>
      </c>
      <c r="L740" t="inlineStr"/>
      <c r="M740" t="inlineStr"/>
    </row>
    <row r="741">
      <c r="A741" t="inlineStr">
        <is>
          <t>No</t>
        </is>
      </c>
      <c r="B741" t="inlineStr"/>
      <c r="C741" t="inlineStr"/>
      <c r="D741" t="inlineStr"/>
      <c r="E741" t="inlineStr">
        <is>
          <t>Our son wanted to go on his own.</t>
        </is>
      </c>
      <c r="F741" t="inlineStr">
        <is>
          <t>Wants Child to Have Independent Experience</t>
        </is>
      </c>
      <c r="G741" t="inlineStr">
        <is>
          <t>Wants Child to Have Independent Experience</t>
        </is>
      </c>
      <c r="H741" t="inlineStr"/>
      <c r="I741" t="inlineStr">
        <is>
          <t>Family's Own Choice</t>
        </is>
      </c>
      <c r="J741" t="b">
        <v>0</v>
      </c>
      <c r="K741" t="n">
        <v>1</v>
      </c>
      <c r="L741" t="inlineStr"/>
      <c r="M741" t="inlineStr"/>
    </row>
    <row r="742">
      <c r="A742" t="inlineStr">
        <is>
          <t>No</t>
        </is>
      </c>
      <c r="B742" t="inlineStr"/>
      <c r="C742" t="inlineStr"/>
      <c r="D742" t="inlineStr"/>
      <c r="E742" t="inlineStr">
        <is>
          <t>Cost prohibitive and the length of time away from other younger kids</t>
        </is>
      </c>
      <c r="F742" t="inlineStr">
        <is>
          <t>Cost / Finances</t>
        </is>
      </c>
      <c r="G742" t="inlineStr">
        <is>
          <t>Cost / Finances; Work Schedule / Time Off; Other Kids / Family at Home</t>
        </is>
      </c>
      <c r="H742" t="inlineStr"/>
      <c r="I742" t="inlineStr">
        <is>
          <t>HXP Can Directly Fix</t>
        </is>
      </c>
      <c r="J742" t="b">
        <v>0</v>
      </c>
      <c r="K742" t="n">
        <v>3</v>
      </c>
      <c r="L742" t="inlineStr"/>
      <c r="M742" t="inlineStr"/>
    </row>
    <row r="743">
      <c r="A743" t="inlineStr">
        <is>
          <t>No</t>
        </is>
      </c>
      <c r="B743" t="inlineStr"/>
      <c r="C743" t="inlineStr"/>
      <c r="D743" t="inlineStr"/>
      <c r="E743" t="inlineStr">
        <is>
          <t>My spouse is going with our daughter</t>
        </is>
      </c>
      <c r="F743" t="inlineStr">
        <is>
          <t>Another Family Member Going Instead</t>
        </is>
      </c>
      <c r="G743" t="inlineStr">
        <is>
          <t>Another Family Member Going Instead</t>
        </is>
      </c>
      <c r="H743" t="inlineStr"/>
      <c r="I743" t="inlineStr">
        <is>
          <t>Family's Own Choice</t>
        </is>
      </c>
      <c r="J743" t="b">
        <v>0</v>
      </c>
      <c r="K743" t="n">
        <v>1</v>
      </c>
      <c r="L743" t="inlineStr"/>
      <c r="M743" t="inlineStr"/>
    </row>
    <row r="744">
      <c r="A744" t="inlineStr">
        <is>
          <t>Yes</t>
        </is>
      </c>
      <c r="B744" t="inlineStr">
        <is>
          <t>My daughter asked me to accompany her on her first international trip.</t>
        </is>
      </c>
      <c r="C744" t="inlineStr">
        <is>
          <t>Child/Spouse Asked Them to Go</t>
        </is>
      </c>
      <c r="D744" t="inlineStr">
        <is>
          <t>Child/Spouse Asked Them to Go</t>
        </is>
      </c>
      <c r="E744" t="inlineStr"/>
      <c r="F744" t="inlineStr"/>
      <c r="G744" t="inlineStr"/>
      <c r="H744" t="inlineStr"/>
      <c r="I744" t="inlineStr"/>
      <c r="J744" t="b">
        <v>0</v>
      </c>
      <c r="K744" t="n">
        <v>0</v>
      </c>
      <c r="L744" t="inlineStr"/>
      <c r="M744" t="inlineStr"/>
    </row>
    <row r="745">
      <c r="A745" t="inlineStr">
        <is>
          <t>No</t>
        </is>
      </c>
      <c r="B745" t="inlineStr"/>
      <c r="C745" t="inlineStr"/>
      <c r="D745" t="inlineStr"/>
      <c r="E745" t="inlineStr">
        <is>
          <t>Too many young children at home</t>
        </is>
      </c>
      <c r="F745" t="inlineStr">
        <is>
          <t>Other Kids / Family at Home</t>
        </is>
      </c>
      <c r="G745" t="inlineStr">
        <is>
          <t>Other Kids / Family at Home</t>
        </is>
      </c>
      <c r="H745" t="inlineStr"/>
      <c r="I745" t="inlineStr">
        <is>
          <t>Family's Own Choice</t>
        </is>
      </c>
      <c r="J745" t="b">
        <v>0</v>
      </c>
      <c r="K745" t="n">
        <v>1</v>
      </c>
      <c r="L745" t="inlineStr"/>
      <c r="M745" t="inlineStr"/>
    </row>
    <row r="746">
      <c r="A746" t="inlineStr">
        <is>
          <t>No</t>
        </is>
      </c>
      <c r="B746" t="inlineStr"/>
      <c r="C746" t="inlineStr"/>
      <c r="D746" t="inlineStr"/>
      <c r="E746" t="inlineStr">
        <is>
          <t>I felt like it would be good for my daughter to go on her own.</t>
        </is>
      </c>
      <c r="F746" t="inlineStr">
        <is>
          <t>Wants Child to Have Independent Experience</t>
        </is>
      </c>
      <c r="G746" t="inlineStr">
        <is>
          <t>Wants Child to Have Independent Experience</t>
        </is>
      </c>
      <c r="H746" t="inlineStr"/>
      <c r="I746" t="inlineStr">
        <is>
          <t>Family's Own Choice</t>
        </is>
      </c>
      <c r="J746" t="b">
        <v>0</v>
      </c>
      <c r="K746" t="n">
        <v>1</v>
      </c>
      <c r="L746" t="inlineStr"/>
      <c r="M746" t="inlineStr"/>
    </row>
    <row r="747">
      <c r="A747" t="inlineStr">
        <is>
          <t>No</t>
        </is>
      </c>
      <c r="B747" t="inlineStr"/>
      <c r="C747" t="inlineStr"/>
      <c r="D747" t="inlineStr"/>
      <c r="E747" t="inlineStr"/>
      <c r="F747" t="inlineStr"/>
      <c r="G747" t="inlineStr"/>
      <c r="H747" t="inlineStr"/>
      <c r="I747" t="inlineStr"/>
      <c r="J747" t="b">
        <v>0</v>
      </c>
      <c r="K747" t="n">
        <v>0</v>
      </c>
      <c r="L747" t="inlineStr"/>
      <c r="M747" t="inlineStr"/>
    </row>
    <row r="748">
      <c r="A748" t="inlineStr">
        <is>
          <t>No</t>
        </is>
      </c>
      <c r="B748" t="inlineStr"/>
      <c r="C748" t="inlineStr"/>
      <c r="D748" t="inlineStr"/>
      <c r="E748" t="inlineStr">
        <is>
          <t>I have 6 younger kids at home.</t>
        </is>
      </c>
      <c r="F748" t="inlineStr">
        <is>
          <t>Other Kids / Family at Home</t>
        </is>
      </c>
      <c r="G748" t="inlineStr">
        <is>
          <t>Other Kids / Family at Home</t>
        </is>
      </c>
      <c r="H748" t="inlineStr"/>
      <c r="I748" t="inlineStr">
        <is>
          <t>Family's Own Choice</t>
        </is>
      </c>
      <c r="J748" t="b">
        <v>0</v>
      </c>
      <c r="K748" t="n">
        <v>1</v>
      </c>
      <c r="L748" t="inlineStr"/>
      <c r="M748" t="inlineStr"/>
    </row>
    <row r="749">
      <c r="A749" t="inlineStr">
        <is>
          <t>No</t>
        </is>
      </c>
      <c r="B749" t="inlineStr"/>
      <c r="C749" t="inlineStr"/>
      <c r="D749" t="inlineStr"/>
      <c r="E749" t="inlineStr">
        <is>
          <t>My child needing to be on their own- and cost</t>
        </is>
      </c>
      <c r="F749" t="inlineStr">
        <is>
          <t>Cost / Finances</t>
        </is>
      </c>
      <c r="G749" t="inlineStr">
        <is>
          <t>Cost / Finances; Wants Child to Have Independent Experience</t>
        </is>
      </c>
      <c r="H749" t="inlineStr"/>
      <c r="I749" t="inlineStr">
        <is>
          <t>HXP Can Directly Fix</t>
        </is>
      </c>
      <c r="J749" t="b">
        <v>0</v>
      </c>
      <c r="K749" t="n">
        <v>2</v>
      </c>
      <c r="L749" t="inlineStr"/>
      <c r="M749" t="inlineStr"/>
    </row>
    <row r="750">
      <c r="A750" t="inlineStr">
        <is>
          <t>Yes</t>
        </is>
      </c>
      <c r="B750" t="inlineStr">
        <is>
          <t>To be with my son, opportunity to serve</t>
        </is>
      </c>
      <c r="C750" t="inlineStr">
        <is>
          <t>Faith / Service Motivation</t>
        </is>
      </c>
      <c r="D750" t="inlineStr">
        <is>
          <t>Faith / Service Motivation</t>
        </is>
      </c>
      <c r="E750" t="inlineStr"/>
      <c r="F750" t="inlineStr"/>
      <c r="G750" t="inlineStr"/>
      <c r="H750" t="inlineStr"/>
      <c r="I750" t="inlineStr"/>
      <c r="J750" t="b">
        <v>0</v>
      </c>
      <c r="K750" t="n">
        <v>0</v>
      </c>
      <c r="L750" t="inlineStr"/>
      <c r="M750" t="inlineStr"/>
    </row>
    <row r="751">
      <c r="A751" t="inlineStr">
        <is>
          <t>No</t>
        </is>
      </c>
      <c r="B751" t="inlineStr"/>
      <c r="C751" t="inlineStr"/>
      <c r="D751" t="inlineStr"/>
      <c r="E751" t="inlineStr">
        <is>
          <t>Money</t>
        </is>
      </c>
      <c r="F751" t="inlineStr">
        <is>
          <t>Cost / Finances</t>
        </is>
      </c>
      <c r="G751" t="inlineStr">
        <is>
          <t>Cost / Finances</t>
        </is>
      </c>
      <c r="H751" t="inlineStr"/>
      <c r="I751" t="inlineStr">
        <is>
          <t>HXP Can Directly Fix</t>
        </is>
      </c>
      <c r="J751" t="b">
        <v>0</v>
      </c>
      <c r="K751" t="n">
        <v>1</v>
      </c>
      <c r="L751" t="inlineStr"/>
      <c r="M751" t="inlineStr"/>
    </row>
    <row r="752">
      <c r="A752" t="inlineStr">
        <is>
          <t>No</t>
        </is>
      </c>
      <c r="B752" t="inlineStr"/>
      <c r="C752" t="inlineStr"/>
      <c r="D752" t="inlineStr"/>
      <c r="E752" t="inlineStr"/>
      <c r="F752" t="inlineStr"/>
      <c r="G752" t="inlineStr"/>
      <c r="H752" t="inlineStr"/>
      <c r="I752" t="inlineStr"/>
      <c r="J752" t="b">
        <v>0</v>
      </c>
      <c r="K752" t="n">
        <v>0</v>
      </c>
      <c r="L752" t="inlineStr"/>
      <c r="M752" t="inlineStr"/>
    </row>
    <row r="753">
      <c r="A753" t="inlineStr">
        <is>
          <t>No</t>
        </is>
      </c>
      <c r="B753" t="inlineStr"/>
      <c r="C753" t="inlineStr"/>
      <c r="D753" t="inlineStr"/>
      <c r="E753" t="inlineStr">
        <is>
          <t>My husband is going.</t>
        </is>
      </c>
      <c r="F753" t="inlineStr">
        <is>
          <t>Another Family Member Going Instead</t>
        </is>
      </c>
      <c r="G753" t="inlineStr">
        <is>
          <t>Another Family Member Going Instead</t>
        </is>
      </c>
      <c r="H753" t="inlineStr"/>
      <c r="I753" t="inlineStr">
        <is>
          <t>Family's Own Choice</t>
        </is>
      </c>
      <c r="J753" t="b">
        <v>0</v>
      </c>
      <c r="K753" t="n">
        <v>1</v>
      </c>
      <c r="L753" t="inlineStr"/>
      <c r="M753" t="inlineStr"/>
    </row>
    <row r="754">
      <c r="A754" t="inlineStr">
        <is>
          <t>No</t>
        </is>
      </c>
      <c r="B754" t="inlineStr"/>
      <c r="C754" t="inlineStr"/>
      <c r="D754" t="inlineStr"/>
      <c r="E754" t="inlineStr">
        <is>
          <t>Too busy</t>
        </is>
      </c>
      <c r="F754" t="inlineStr">
        <is>
          <t>Work Schedule / Time Off</t>
        </is>
      </c>
      <c r="G754" t="inlineStr">
        <is>
          <t>Work Schedule / Time Off</t>
        </is>
      </c>
      <c r="H754" t="inlineStr"/>
      <c r="I754" t="inlineStr">
        <is>
          <t>HXP Can Influence</t>
        </is>
      </c>
      <c r="J754" t="b">
        <v>0</v>
      </c>
      <c r="K754" t="n">
        <v>1</v>
      </c>
      <c r="L754" t="inlineStr"/>
      <c r="M754" t="inlineStr"/>
    </row>
    <row r="755">
      <c r="A755" t="inlineStr">
        <is>
          <t>Maybe</t>
        </is>
      </c>
      <c r="B755" t="inlineStr"/>
      <c r="C755" t="inlineStr"/>
      <c r="D755" t="inlineStr"/>
      <c r="E755" t="inlineStr"/>
      <c r="F755" t="inlineStr"/>
      <c r="G755" t="inlineStr"/>
      <c r="H755" t="inlineStr">
        <is>
          <t>Cost timing</t>
        </is>
      </c>
      <c r="I755" t="inlineStr"/>
      <c r="J755" t="b">
        <v>0</v>
      </c>
      <c r="K755" t="n">
        <v>0</v>
      </c>
      <c r="L755" t="inlineStr">
        <is>
          <t>Cost / Financial Assistance</t>
        </is>
      </c>
      <c r="M755" t="inlineStr">
        <is>
          <t>Cost / Financial Assistance</t>
        </is>
      </c>
    </row>
    <row r="756">
      <c r="A756" t="inlineStr">
        <is>
          <t>No</t>
        </is>
      </c>
      <c r="B756" t="inlineStr"/>
      <c r="C756" t="inlineStr"/>
      <c r="D756" t="inlineStr"/>
      <c r="E756" t="inlineStr">
        <is>
          <t>I want my kid to have his own personal experience without me there. This is his adventure.</t>
        </is>
      </c>
      <c r="F756" t="inlineStr">
        <is>
          <t>Wants Child to Have Independent Experience</t>
        </is>
      </c>
      <c r="G756" t="inlineStr">
        <is>
          <t>Wants Child to Have Independent Experience</t>
        </is>
      </c>
      <c r="H756" t="inlineStr"/>
      <c r="I756" t="inlineStr">
        <is>
          <t>Family's Own Choice</t>
        </is>
      </c>
      <c r="J756" t="b">
        <v>0</v>
      </c>
      <c r="K756" t="n">
        <v>1</v>
      </c>
      <c r="L756" t="inlineStr"/>
      <c r="M756" t="inlineStr"/>
    </row>
    <row r="757">
      <c r="A757" t="inlineStr">
        <is>
          <t>No</t>
        </is>
      </c>
      <c r="B757" t="inlineStr"/>
      <c r="C757" t="inlineStr"/>
      <c r="D757" t="inlineStr"/>
      <c r="E757" t="inlineStr"/>
      <c r="F757" t="inlineStr"/>
      <c r="G757" t="inlineStr"/>
      <c r="H757" t="inlineStr"/>
      <c r="I757" t="inlineStr"/>
      <c r="J757" t="b">
        <v>0</v>
      </c>
      <c r="K757" t="n">
        <v>0</v>
      </c>
      <c r="L757" t="inlineStr"/>
      <c r="M757" t="inlineStr"/>
    </row>
    <row r="758">
      <c r="A758" t="inlineStr">
        <is>
          <t>No</t>
        </is>
      </c>
      <c r="B758" t="inlineStr"/>
      <c r="C758" t="inlineStr"/>
      <c r="D758" t="inlineStr"/>
      <c r="E758" t="inlineStr">
        <is>
          <t>Work</t>
        </is>
      </c>
      <c r="F758" t="inlineStr">
        <is>
          <t>Work Schedule / Time Off</t>
        </is>
      </c>
      <c r="G758" t="inlineStr">
        <is>
          <t>Work Schedule / Time Off</t>
        </is>
      </c>
      <c r="H758" t="inlineStr"/>
      <c r="I758" t="inlineStr">
        <is>
          <t>HXP Can Influence</t>
        </is>
      </c>
      <c r="J758" t="b">
        <v>0</v>
      </c>
      <c r="K758" t="n">
        <v>1</v>
      </c>
      <c r="L758" t="inlineStr"/>
      <c r="M758" t="inlineStr"/>
    </row>
    <row r="759">
      <c r="A759" t="inlineStr">
        <is>
          <t>No</t>
        </is>
      </c>
      <c r="B759" t="inlineStr"/>
      <c r="C759" t="inlineStr"/>
      <c r="D759" t="inlineStr"/>
      <c r="E759" t="inlineStr">
        <is>
          <t>My daughter said I couldn't</t>
        </is>
      </c>
      <c r="F759" t="inlineStr">
        <is>
          <t>Child Didn't Want Parent to Come</t>
        </is>
      </c>
      <c r="G759" t="inlineStr">
        <is>
          <t>Child Didn't Want Parent to Come</t>
        </is>
      </c>
      <c r="H759" t="inlineStr"/>
      <c r="I759" t="inlineStr">
        <is>
          <t>Family's Own Choice</t>
        </is>
      </c>
      <c r="J759" t="b">
        <v>0</v>
      </c>
      <c r="K759" t="n">
        <v>1</v>
      </c>
      <c r="L759" t="inlineStr"/>
      <c r="M759" t="inlineStr"/>
    </row>
    <row r="760">
      <c r="A760" t="inlineStr">
        <is>
          <t>No</t>
        </is>
      </c>
      <c r="B760" t="inlineStr"/>
      <c r="C760" t="inlineStr"/>
      <c r="D760" t="inlineStr"/>
      <c r="E760" t="inlineStr">
        <is>
          <t>I have young ones at home.</t>
        </is>
      </c>
      <c r="F760" t="inlineStr">
        <is>
          <t>Other Kids / Family at Home</t>
        </is>
      </c>
      <c r="G760" t="inlineStr">
        <is>
          <t>Other Kids / Family at Home</t>
        </is>
      </c>
      <c r="H760" t="inlineStr"/>
      <c r="I760" t="inlineStr">
        <is>
          <t>Family's Own Choice</t>
        </is>
      </c>
      <c r="J760" t="b">
        <v>0</v>
      </c>
      <c r="K760" t="n">
        <v>1</v>
      </c>
      <c r="L760" t="inlineStr"/>
      <c r="M760" t="inlineStr"/>
    </row>
    <row r="761">
      <c r="A761" t="inlineStr">
        <is>
          <t>No</t>
        </is>
      </c>
      <c r="B761" t="inlineStr"/>
      <c r="C761" t="inlineStr"/>
      <c r="D761" t="inlineStr"/>
      <c r="E761" t="inlineStr">
        <is>
          <t>My son didn't want me to go, lol. I really wanted to go.</t>
        </is>
      </c>
      <c r="F761" t="inlineStr">
        <is>
          <t>Child Didn't Want Parent to Come</t>
        </is>
      </c>
      <c r="G761" t="inlineStr">
        <is>
          <t>Child Didn't Want Parent to Come</t>
        </is>
      </c>
      <c r="H761" t="inlineStr"/>
      <c r="I761" t="inlineStr">
        <is>
          <t>Family's Own Choice</t>
        </is>
      </c>
      <c r="J761" t="b">
        <v>0</v>
      </c>
      <c r="K761" t="n">
        <v>1</v>
      </c>
      <c r="L761" t="inlineStr"/>
      <c r="M761" t="inlineStr"/>
    </row>
    <row r="762">
      <c r="A762" t="inlineStr">
        <is>
          <t>No</t>
        </is>
      </c>
      <c r="B762" t="inlineStr"/>
      <c r="C762" t="inlineStr"/>
      <c r="D762" t="inlineStr"/>
      <c r="E762" t="inlineStr">
        <is>
          <t>To busy</t>
        </is>
      </c>
      <c r="F762" t="inlineStr">
        <is>
          <t>Work Schedule / Time Off</t>
        </is>
      </c>
      <c r="G762" t="inlineStr">
        <is>
          <t>Work Schedule / Time Off</t>
        </is>
      </c>
      <c r="H762" t="inlineStr"/>
      <c r="I762" t="inlineStr">
        <is>
          <t>HXP Can Influence</t>
        </is>
      </c>
      <c r="J762" t="b">
        <v>0</v>
      </c>
      <c r="K762" t="n">
        <v>1</v>
      </c>
      <c r="L762" t="inlineStr"/>
      <c r="M762" t="inlineStr"/>
    </row>
    <row r="763">
      <c r="A763" t="inlineStr">
        <is>
          <t>No</t>
        </is>
      </c>
      <c r="B763" t="inlineStr"/>
      <c r="C763" t="inlineStr"/>
      <c r="D763" t="inlineStr"/>
      <c r="E763" t="inlineStr">
        <is>
          <t>My child needed this time away from home to grow</t>
        </is>
      </c>
      <c r="F763" t="inlineStr">
        <is>
          <t>Work Schedule / Time Off</t>
        </is>
      </c>
      <c r="G763" t="inlineStr">
        <is>
          <t>Work Schedule / Time Off; Other Kids / Family at Home; Wants Child to Have Independent Experience</t>
        </is>
      </c>
      <c r="H763" t="inlineStr"/>
      <c r="I763" t="inlineStr">
        <is>
          <t>HXP Can Influence</t>
        </is>
      </c>
      <c r="J763" t="b">
        <v>0</v>
      </c>
      <c r="K763" t="n">
        <v>3</v>
      </c>
      <c r="L763" t="inlineStr"/>
      <c r="M763" t="inlineStr"/>
    </row>
    <row r="764">
      <c r="A764" t="inlineStr">
        <is>
          <t>No</t>
        </is>
      </c>
      <c r="B764" t="inlineStr"/>
      <c r="C764" t="inlineStr"/>
      <c r="D764" t="inlineStr"/>
      <c r="E764" t="inlineStr">
        <is>
          <t>Younger Children at Home</t>
        </is>
      </c>
      <c r="F764" t="inlineStr">
        <is>
          <t>Other Kids / Family at Home</t>
        </is>
      </c>
      <c r="G764" t="inlineStr">
        <is>
          <t>Other Kids / Family at Home</t>
        </is>
      </c>
      <c r="H764" t="inlineStr"/>
      <c r="I764" t="inlineStr">
        <is>
          <t>Family's Own Choice</t>
        </is>
      </c>
      <c r="J764" t="b">
        <v>0</v>
      </c>
      <c r="K764" t="n">
        <v>1</v>
      </c>
      <c r="L764" t="inlineStr"/>
      <c r="M764" t="inlineStr"/>
    </row>
    <row r="765">
      <c r="A765" t="inlineStr">
        <is>
          <t>No</t>
        </is>
      </c>
      <c r="B765" t="inlineStr"/>
      <c r="C765" t="inlineStr"/>
      <c r="D765" t="inlineStr"/>
      <c r="E765" t="inlineStr">
        <is>
          <t>independence for my daughter being away from us</t>
        </is>
      </c>
      <c r="F765" t="inlineStr">
        <is>
          <t>Wants Child to Have Independent Experience</t>
        </is>
      </c>
      <c r="G765" t="inlineStr">
        <is>
          <t>Wants Child to Have Independent Experience</t>
        </is>
      </c>
      <c r="H765" t="inlineStr"/>
      <c r="I765" t="inlineStr">
        <is>
          <t>Family's Own Choice</t>
        </is>
      </c>
      <c r="J765" t="b">
        <v>0</v>
      </c>
      <c r="K765" t="n">
        <v>1</v>
      </c>
      <c r="L765" t="inlineStr"/>
      <c r="M765" t="inlineStr"/>
    </row>
    <row r="766">
      <c r="A766" t="inlineStr">
        <is>
          <t>No</t>
        </is>
      </c>
      <c r="B766" t="inlineStr"/>
      <c r="C766" t="inlineStr"/>
      <c r="D766" t="inlineStr"/>
      <c r="E766" t="inlineStr">
        <is>
          <t>I have other kids at home and I felt that this would be a good experience for my daughter without her parents.</t>
        </is>
      </c>
      <c r="F766" t="inlineStr">
        <is>
          <t>Other Kids / Family at Home</t>
        </is>
      </c>
      <c r="G766" t="inlineStr">
        <is>
          <t>Other Kids / Family at Home; Wants Child to Have Independent Experience</t>
        </is>
      </c>
      <c r="H766" t="inlineStr"/>
      <c r="I766" t="inlineStr">
        <is>
          <t>Family's Own Choice</t>
        </is>
      </c>
      <c r="J766" t="b">
        <v>0</v>
      </c>
      <c r="K766" t="n">
        <v>2</v>
      </c>
      <c r="L766" t="inlineStr"/>
      <c r="M766" t="inlineStr"/>
    </row>
    <row r="767">
      <c r="A767" t="inlineStr">
        <is>
          <t>No</t>
        </is>
      </c>
      <c r="B767" t="inlineStr"/>
      <c r="C767" t="inlineStr"/>
      <c r="D767" t="inlineStr"/>
      <c r="E767" t="inlineStr"/>
      <c r="F767" t="inlineStr"/>
      <c r="G767" t="inlineStr"/>
      <c r="H767" t="inlineStr"/>
      <c r="I767" t="inlineStr"/>
      <c r="J767" t="b">
        <v>0</v>
      </c>
      <c r="K767" t="n">
        <v>0</v>
      </c>
      <c r="L767" t="inlineStr"/>
      <c r="M767" t="inlineStr"/>
    </row>
    <row r="768">
      <c r="A768" t="inlineStr">
        <is>
          <t>No</t>
        </is>
      </c>
      <c r="B768" t="inlineStr"/>
      <c r="C768" t="inlineStr"/>
      <c r="D768" t="inlineStr"/>
      <c r="E768" t="inlineStr">
        <is>
          <t>The desire to serve</t>
        </is>
      </c>
      <c r="F768" t="inlineStr">
        <is>
          <t>Other / Uncategorized</t>
        </is>
      </c>
      <c r="G768" t="inlineStr"/>
      <c r="H768" t="inlineStr"/>
      <c r="I768" t="inlineStr">
        <is>
          <t>Unknown</t>
        </is>
      </c>
      <c r="J768" t="b">
        <v>0</v>
      </c>
      <c r="K768" t="n">
        <v>0</v>
      </c>
      <c r="L768" t="inlineStr"/>
      <c r="M768" t="inlineStr"/>
    </row>
    <row r="769">
      <c r="A769" t="inlineStr">
        <is>
          <t>No</t>
        </is>
      </c>
      <c r="B769" t="inlineStr"/>
      <c r="C769" t="inlineStr"/>
      <c r="D769" t="inlineStr"/>
      <c r="E769" t="inlineStr">
        <is>
          <t>Time / work</t>
        </is>
      </c>
      <c r="F769" t="inlineStr">
        <is>
          <t>Work Schedule / Time Off</t>
        </is>
      </c>
      <c r="G769" t="inlineStr">
        <is>
          <t>Work Schedule / Time Off</t>
        </is>
      </c>
      <c r="H769" t="inlineStr"/>
      <c r="I769" t="inlineStr">
        <is>
          <t>HXP Can Influence</t>
        </is>
      </c>
      <c r="J769" t="b">
        <v>0</v>
      </c>
      <c r="K769" t="n">
        <v>1</v>
      </c>
      <c r="L769" t="inlineStr"/>
      <c r="M769" t="inlineStr"/>
    </row>
    <row r="770">
      <c r="A770" t="inlineStr">
        <is>
          <t>No</t>
        </is>
      </c>
      <c r="B770" t="inlineStr"/>
      <c r="C770" t="inlineStr"/>
      <c r="D770" t="inlineStr"/>
      <c r="E770" t="inlineStr">
        <is>
          <t>We have a lot of kids and responsibilities at home. Hard to step away even though we'd have loved to have gone.</t>
        </is>
      </c>
      <c r="F770" t="inlineStr">
        <is>
          <t>Work Schedule / Time Off</t>
        </is>
      </c>
      <c r="G770" t="inlineStr">
        <is>
          <t>Work Schedule / Time Off; Other Kids / Family at Home</t>
        </is>
      </c>
      <c r="H770" t="inlineStr"/>
      <c r="I770" t="inlineStr">
        <is>
          <t>HXP Can Influence</t>
        </is>
      </c>
      <c r="J770" t="b">
        <v>0</v>
      </c>
      <c r="K770" t="n">
        <v>2</v>
      </c>
      <c r="L770" t="inlineStr"/>
      <c r="M770" t="inlineStr"/>
    </row>
    <row r="771">
      <c r="A771" t="inlineStr">
        <is>
          <t>No</t>
        </is>
      </c>
      <c r="B771" t="inlineStr"/>
      <c r="C771" t="inlineStr"/>
      <c r="D771" t="inlineStr"/>
      <c r="E771" t="inlineStr">
        <is>
          <t>I might go when my you gear son goes.</t>
        </is>
      </c>
      <c r="F771" t="inlineStr">
        <is>
          <t>Other / Uncategorized</t>
        </is>
      </c>
      <c r="G771" t="inlineStr"/>
      <c r="H771" t="inlineStr"/>
      <c r="I771" t="inlineStr">
        <is>
          <t>Unknown</t>
        </is>
      </c>
      <c r="J771" t="b">
        <v>1</v>
      </c>
      <c r="K771" t="n">
        <v>0</v>
      </c>
      <c r="L771" t="inlineStr"/>
      <c r="M771" t="inlineStr"/>
    </row>
    <row r="772">
      <c r="A772" t="inlineStr">
        <is>
          <t>No</t>
        </is>
      </c>
      <c r="B772" t="inlineStr"/>
      <c r="C772" t="inlineStr"/>
      <c r="D772" t="inlineStr"/>
      <c r="E772" t="inlineStr">
        <is>
          <t>My son asked me not to</t>
        </is>
      </c>
      <c r="F772" t="inlineStr">
        <is>
          <t>Child Didn't Want Parent to Come</t>
        </is>
      </c>
      <c r="G772" t="inlineStr">
        <is>
          <t>Child Didn't Want Parent to Come</t>
        </is>
      </c>
      <c r="H772" t="inlineStr"/>
      <c r="I772" t="inlineStr">
        <is>
          <t>Family's Own Choice</t>
        </is>
      </c>
      <c r="J772" t="b">
        <v>0</v>
      </c>
      <c r="K772" t="n">
        <v>1</v>
      </c>
      <c r="L772" t="inlineStr"/>
      <c r="M772" t="inlineStr"/>
    </row>
    <row r="773">
      <c r="A773" t="inlineStr">
        <is>
          <t>No</t>
        </is>
      </c>
      <c r="B773" t="inlineStr"/>
      <c r="C773" t="inlineStr"/>
      <c r="D773" t="inlineStr"/>
      <c r="E773" t="inlineStr">
        <is>
          <t>I do't have the time to take off of work and leave my younger children</t>
        </is>
      </c>
      <c r="F773" t="inlineStr">
        <is>
          <t>Work Schedule / Time Off</t>
        </is>
      </c>
      <c r="G773" t="inlineStr">
        <is>
          <t>Work Schedule / Time Off; Other Kids / Family at Home</t>
        </is>
      </c>
      <c r="H773" t="inlineStr"/>
      <c r="I773" t="inlineStr">
        <is>
          <t>HXP Can Influence</t>
        </is>
      </c>
      <c r="J773" t="b">
        <v>0</v>
      </c>
      <c r="K773" t="n">
        <v>2</v>
      </c>
      <c r="L773" t="inlineStr"/>
      <c r="M773" t="inlineStr"/>
    </row>
    <row r="774">
      <c r="A774" t="inlineStr">
        <is>
          <t>No</t>
        </is>
      </c>
      <c r="B774" t="inlineStr"/>
      <c r="C774" t="inlineStr"/>
      <c r="D774" t="inlineStr"/>
      <c r="E774" t="inlineStr">
        <is>
          <t>I want my son to have influences outside of his parents</t>
        </is>
      </c>
      <c r="F774" t="inlineStr">
        <is>
          <t>Wants Child to Have Independent Experience</t>
        </is>
      </c>
      <c r="G774" t="inlineStr">
        <is>
          <t>Wants Child to Have Independent Experience</t>
        </is>
      </c>
      <c r="H774" t="inlineStr"/>
      <c r="I774" t="inlineStr">
        <is>
          <t>Family's Own Choice</t>
        </is>
      </c>
      <c r="J774" t="b">
        <v>0</v>
      </c>
      <c r="K774" t="n">
        <v>1</v>
      </c>
      <c r="L774" t="inlineStr"/>
      <c r="M774" t="inlineStr"/>
    </row>
    <row r="775">
      <c r="A775" t="inlineStr">
        <is>
          <t>No</t>
        </is>
      </c>
      <c r="B775" t="inlineStr"/>
      <c r="C775" t="inlineStr"/>
      <c r="D775" t="inlineStr"/>
      <c r="E775" t="inlineStr">
        <is>
          <t>Money</t>
        </is>
      </c>
      <c r="F775" t="inlineStr">
        <is>
          <t>Cost / Finances</t>
        </is>
      </c>
      <c r="G775" t="inlineStr">
        <is>
          <t>Cost / Finances</t>
        </is>
      </c>
      <c r="H775" t="inlineStr"/>
      <c r="I775" t="inlineStr">
        <is>
          <t>HXP Can Directly Fix</t>
        </is>
      </c>
      <c r="J775" t="b">
        <v>0</v>
      </c>
      <c r="K775" t="n">
        <v>1</v>
      </c>
      <c r="L775" t="inlineStr"/>
      <c r="M775" t="inlineStr"/>
    </row>
    <row r="776">
      <c r="A776" t="inlineStr">
        <is>
          <t>No</t>
        </is>
      </c>
      <c r="B776" t="inlineStr"/>
      <c r="C776" t="inlineStr"/>
      <c r="D776" t="inlineStr"/>
      <c r="E776" t="inlineStr">
        <is>
          <t>Cost and time</t>
        </is>
      </c>
      <c r="F776" t="inlineStr">
        <is>
          <t>Cost / Finances</t>
        </is>
      </c>
      <c r="G776" t="inlineStr">
        <is>
          <t>Cost / Finances; Work Schedule / Time Off</t>
        </is>
      </c>
      <c r="H776" t="inlineStr"/>
      <c r="I776" t="inlineStr">
        <is>
          <t>HXP Can Directly Fix</t>
        </is>
      </c>
      <c r="J776" t="b">
        <v>0</v>
      </c>
      <c r="K776" t="n">
        <v>2</v>
      </c>
      <c r="L776" t="inlineStr"/>
      <c r="M776" t="inlineStr"/>
    </row>
    <row r="777">
      <c r="A777" t="inlineStr">
        <is>
          <t>Yes</t>
        </is>
      </c>
      <c r="B777" t="inlineStr">
        <is>
          <t>The opportunity to travel and serve</t>
        </is>
      </c>
      <c r="C777" t="inlineStr">
        <is>
          <t>Love of Travel / Culture</t>
        </is>
      </c>
      <c r="D777" t="inlineStr">
        <is>
          <t>Love of Travel / Culture; Faith / Service Motivation</t>
        </is>
      </c>
      <c r="E777" t="inlineStr"/>
      <c r="F777" t="inlineStr"/>
      <c r="G777" t="inlineStr"/>
      <c r="H777" t="inlineStr"/>
      <c r="I777" t="inlineStr"/>
      <c r="J777" t="b">
        <v>0</v>
      </c>
      <c r="K777" t="n">
        <v>0</v>
      </c>
      <c r="L777" t="inlineStr"/>
      <c r="M777" t="inlineStr"/>
    </row>
    <row r="778">
      <c r="A778" t="inlineStr">
        <is>
          <t>No</t>
        </is>
      </c>
      <c r="B778" t="inlineStr"/>
      <c r="C778" t="inlineStr"/>
      <c r="D778" t="inlineStr"/>
      <c r="E778" t="inlineStr">
        <is>
          <t>Time, other children</t>
        </is>
      </c>
      <c r="F778" t="inlineStr">
        <is>
          <t>Work Schedule / Time Off</t>
        </is>
      </c>
      <c r="G778" t="inlineStr">
        <is>
          <t>Work Schedule / Time Off; Other Kids / Family at Home</t>
        </is>
      </c>
      <c r="H778" t="inlineStr"/>
      <c r="I778" t="inlineStr">
        <is>
          <t>HXP Can Influence</t>
        </is>
      </c>
      <c r="J778" t="b">
        <v>0</v>
      </c>
      <c r="K778" t="n">
        <v>2</v>
      </c>
      <c r="L778" t="inlineStr"/>
      <c r="M778" t="inlineStr"/>
    </row>
    <row r="779">
      <c r="A779" t="inlineStr">
        <is>
          <t>No</t>
        </is>
      </c>
      <c r="B779" t="inlineStr"/>
      <c r="C779" t="inlineStr"/>
      <c r="D779" t="inlineStr"/>
      <c r="E779" t="inlineStr">
        <is>
          <t>I don't have time, I have other kids at home</t>
        </is>
      </c>
      <c r="F779" t="inlineStr">
        <is>
          <t>Work Schedule / Time Off</t>
        </is>
      </c>
      <c r="G779" t="inlineStr">
        <is>
          <t>Work Schedule / Time Off; Other Kids / Family at Home</t>
        </is>
      </c>
      <c r="H779" t="inlineStr"/>
      <c r="I779" t="inlineStr">
        <is>
          <t>HXP Can Influence</t>
        </is>
      </c>
      <c r="J779" t="b">
        <v>0</v>
      </c>
      <c r="K779" t="n">
        <v>2</v>
      </c>
      <c r="L779" t="inlineStr"/>
      <c r="M779" t="inlineStr"/>
    </row>
    <row r="780">
      <c r="A780" t="inlineStr">
        <is>
          <t>Yes</t>
        </is>
      </c>
      <c r="B780" t="inlineStr">
        <is>
          <t>Spend time with my son</t>
        </is>
      </c>
      <c r="C780" t="inlineStr">
        <is>
          <t>Wanted Shared Experience with Child</t>
        </is>
      </c>
      <c r="D780" t="inlineStr">
        <is>
          <t>Wanted Shared Experience with Child</t>
        </is>
      </c>
      <c r="E780" t="inlineStr"/>
      <c r="F780" t="inlineStr"/>
      <c r="G780" t="inlineStr"/>
      <c r="H780" t="inlineStr"/>
      <c r="I780" t="inlineStr"/>
      <c r="J780" t="b">
        <v>0</v>
      </c>
      <c r="K780" t="n">
        <v>0</v>
      </c>
      <c r="L780" t="inlineStr"/>
      <c r="M780" t="inlineStr"/>
    </row>
    <row r="781">
      <c r="A781" t="inlineStr">
        <is>
          <t>No</t>
        </is>
      </c>
      <c r="B781" t="inlineStr"/>
      <c r="C781" t="inlineStr"/>
      <c r="D781" t="inlineStr"/>
      <c r="E781" t="inlineStr">
        <is>
          <t>I wanted this to be my daughters experience, not mine.</t>
        </is>
      </c>
      <c r="F781" t="inlineStr">
        <is>
          <t>Wants Child to Have Independent Experience</t>
        </is>
      </c>
      <c r="G781" t="inlineStr">
        <is>
          <t>Wants Child to Have Independent Experience</t>
        </is>
      </c>
      <c r="H781" t="inlineStr"/>
      <c r="I781" t="inlineStr">
        <is>
          <t>Family's Own Choice</t>
        </is>
      </c>
      <c r="J781" t="b">
        <v>0</v>
      </c>
      <c r="K781" t="n">
        <v>1</v>
      </c>
      <c r="L781" t="inlineStr"/>
      <c r="M781" t="inlineStr"/>
    </row>
    <row r="782">
      <c r="A782" t="inlineStr">
        <is>
          <t>No</t>
        </is>
      </c>
      <c r="B782" t="inlineStr"/>
      <c r="C782" t="inlineStr"/>
      <c r="D782" t="inlineStr"/>
      <c r="E782" t="inlineStr"/>
      <c r="F782" t="inlineStr"/>
      <c r="G782" t="inlineStr"/>
      <c r="H782" t="inlineStr"/>
      <c r="I782" t="inlineStr"/>
      <c r="J782" t="b">
        <v>0</v>
      </c>
      <c r="K782" t="n">
        <v>0</v>
      </c>
      <c r="L782" t="inlineStr"/>
      <c r="M782" t="inlineStr"/>
    </row>
    <row r="783">
      <c r="A783" t="inlineStr">
        <is>
          <t>Yes</t>
        </is>
      </c>
      <c r="B783" t="inlineStr">
        <is>
          <t>wanting to share an experience with my daughter</t>
        </is>
      </c>
      <c r="C783" t="inlineStr">
        <is>
          <t>Wanted Shared Experience with Child</t>
        </is>
      </c>
      <c r="D783" t="inlineStr">
        <is>
          <t>Wanted Shared Experience with Child</t>
        </is>
      </c>
      <c r="E783" t="inlineStr"/>
      <c r="F783" t="inlineStr"/>
      <c r="G783" t="inlineStr"/>
      <c r="H783" t="inlineStr"/>
      <c r="I783" t="inlineStr"/>
      <c r="J783" t="b">
        <v>0</v>
      </c>
      <c r="K783" t="n">
        <v>0</v>
      </c>
      <c r="L783" t="inlineStr"/>
      <c r="M783" t="inlineStr"/>
    </row>
    <row r="784">
      <c r="A784" t="inlineStr">
        <is>
          <t>No</t>
        </is>
      </c>
      <c r="B784" t="inlineStr"/>
      <c r="C784" t="inlineStr"/>
      <c r="D784" t="inlineStr"/>
      <c r="E784" t="inlineStr">
        <is>
          <t>originally a friend recommendation, this trip though was because other siblings have gone and loved it.</t>
        </is>
      </c>
      <c r="F784" t="inlineStr">
        <is>
          <t>Other Kids / Family at Home</t>
        </is>
      </c>
      <c r="G784" t="inlineStr">
        <is>
          <t>Other Kids / Family at Home</t>
        </is>
      </c>
      <c r="H784" t="inlineStr"/>
      <c r="I784" t="inlineStr">
        <is>
          <t>Family's Own Choice</t>
        </is>
      </c>
      <c r="J784" t="b">
        <v>0</v>
      </c>
      <c r="K784" t="n">
        <v>1</v>
      </c>
      <c r="L784" t="inlineStr"/>
      <c r="M784" t="inlineStr"/>
    </row>
    <row r="785">
      <c r="A785" t="inlineStr">
        <is>
          <t>No</t>
        </is>
      </c>
      <c r="B785" t="inlineStr"/>
      <c r="C785" t="inlineStr"/>
      <c r="D785" t="inlineStr"/>
      <c r="E785" t="inlineStr">
        <is>
          <t>I have other kids who need me. Daughter didn't want me to.</t>
        </is>
      </c>
      <c r="F785" t="inlineStr">
        <is>
          <t>Other Kids / Family at Home</t>
        </is>
      </c>
      <c r="G785" t="inlineStr">
        <is>
          <t>Other Kids / Family at Home; Child Didn't Want Parent to Come</t>
        </is>
      </c>
      <c r="H785" t="inlineStr"/>
      <c r="I785" t="inlineStr">
        <is>
          <t>Family's Own Choice</t>
        </is>
      </c>
      <c r="J785" t="b">
        <v>0</v>
      </c>
      <c r="K785" t="n">
        <v>2</v>
      </c>
      <c r="L785" t="inlineStr"/>
      <c r="M785" t="inlineStr"/>
    </row>
    <row r="786">
      <c r="A786" t="inlineStr">
        <is>
          <t>No</t>
        </is>
      </c>
      <c r="B786" t="inlineStr"/>
      <c r="C786" t="inlineStr"/>
      <c r="D786" t="inlineStr"/>
      <c r="E786" t="inlineStr">
        <is>
          <t>responsibilities at home</t>
        </is>
      </c>
      <c r="F786" t="inlineStr">
        <is>
          <t>Work Schedule / Time Off</t>
        </is>
      </c>
      <c r="G786" t="inlineStr">
        <is>
          <t>Work Schedule / Time Off</t>
        </is>
      </c>
      <c r="H786" t="inlineStr"/>
      <c r="I786" t="inlineStr">
        <is>
          <t>HXP Can Influence</t>
        </is>
      </c>
      <c r="J786" t="b">
        <v>0</v>
      </c>
      <c r="K786" t="n">
        <v>1</v>
      </c>
      <c r="L786" t="inlineStr"/>
      <c r="M786" t="inlineStr"/>
    </row>
    <row r="787">
      <c r="A787" t="inlineStr">
        <is>
          <t>No</t>
        </is>
      </c>
      <c r="B787" t="inlineStr"/>
      <c r="C787" t="inlineStr"/>
      <c r="D787" t="inlineStr"/>
      <c r="E787" t="inlineStr">
        <is>
          <t>Kids at home</t>
        </is>
      </c>
      <c r="F787" t="inlineStr">
        <is>
          <t>Other Kids / Family at Home</t>
        </is>
      </c>
      <c r="G787" t="inlineStr">
        <is>
          <t>Other Kids / Family at Home</t>
        </is>
      </c>
      <c r="H787" t="inlineStr"/>
      <c r="I787" t="inlineStr">
        <is>
          <t>Family's Own Choice</t>
        </is>
      </c>
      <c r="J787" t="b">
        <v>0</v>
      </c>
      <c r="K787" t="n">
        <v>1</v>
      </c>
      <c r="L787" t="inlineStr"/>
      <c r="M787" t="inlineStr"/>
    </row>
    <row r="788">
      <c r="A788" t="inlineStr">
        <is>
          <t>No</t>
        </is>
      </c>
      <c r="B788" t="inlineStr"/>
      <c r="C788" t="inlineStr"/>
      <c r="D788" t="inlineStr"/>
      <c r="E788" t="inlineStr">
        <is>
          <t>Work</t>
        </is>
      </c>
      <c r="F788" t="inlineStr">
        <is>
          <t>Work Schedule / Time Off</t>
        </is>
      </c>
      <c r="G788" t="inlineStr">
        <is>
          <t>Work Schedule / Time Off</t>
        </is>
      </c>
      <c r="H788" t="inlineStr"/>
      <c r="I788" t="inlineStr">
        <is>
          <t>HXP Can Influence</t>
        </is>
      </c>
      <c r="J788" t="b">
        <v>0</v>
      </c>
      <c r="K788" t="n">
        <v>1</v>
      </c>
      <c r="L788" t="inlineStr"/>
      <c r="M788" t="inlineStr"/>
    </row>
    <row r="789">
      <c r="A789" t="inlineStr">
        <is>
          <t>No</t>
        </is>
      </c>
      <c r="B789" t="inlineStr"/>
      <c r="C789" t="inlineStr"/>
      <c r="D789" t="inlineStr"/>
      <c r="E789" t="inlineStr">
        <is>
          <t>Other responsibilities at home</t>
        </is>
      </c>
      <c r="F789" t="inlineStr">
        <is>
          <t>Work Schedule / Time Off</t>
        </is>
      </c>
      <c r="G789" t="inlineStr">
        <is>
          <t>Work Schedule / Time Off</t>
        </is>
      </c>
      <c r="H789" t="inlineStr"/>
      <c r="I789" t="inlineStr">
        <is>
          <t>HXP Can Influence</t>
        </is>
      </c>
      <c r="J789" t="b">
        <v>0</v>
      </c>
      <c r="K789" t="n">
        <v>1</v>
      </c>
      <c r="L789" t="inlineStr"/>
      <c r="M789" t="inlineStr"/>
    </row>
    <row r="790">
      <c r="A790" t="inlineStr">
        <is>
          <t>No</t>
        </is>
      </c>
      <c r="B790" t="inlineStr"/>
      <c r="C790" t="inlineStr"/>
      <c r="D790" t="inlineStr"/>
      <c r="E790" t="inlineStr">
        <is>
          <t>Didn't get my head in the game soon enough. :)</t>
        </is>
      </c>
      <c r="F790" t="inlineStr">
        <is>
          <t>Other / Uncategorized</t>
        </is>
      </c>
      <c r="G790" t="inlineStr"/>
      <c r="H790" t="inlineStr"/>
      <c r="I790" t="inlineStr">
        <is>
          <t>Unknown</t>
        </is>
      </c>
      <c r="J790" t="b">
        <v>0</v>
      </c>
      <c r="K790" t="n">
        <v>0</v>
      </c>
      <c r="L790" t="inlineStr"/>
      <c r="M790" t="inlineStr"/>
    </row>
    <row r="791">
      <c r="A791" t="inlineStr">
        <is>
          <t>No</t>
        </is>
      </c>
      <c r="B791" t="inlineStr"/>
      <c r="C791" t="inlineStr"/>
      <c r="D791" t="inlineStr"/>
      <c r="E791" t="inlineStr">
        <is>
          <t>Time away from work</t>
        </is>
      </c>
      <c r="F791" t="inlineStr">
        <is>
          <t>Work Schedule / Time Off</t>
        </is>
      </c>
      <c r="G791" t="inlineStr">
        <is>
          <t>Work Schedule / Time Off</t>
        </is>
      </c>
      <c r="H791" t="inlineStr"/>
      <c r="I791" t="inlineStr">
        <is>
          <t>HXP Can Influence</t>
        </is>
      </c>
      <c r="J791" t="b">
        <v>0</v>
      </c>
      <c r="K791" t="n">
        <v>1</v>
      </c>
      <c r="L791" t="inlineStr"/>
      <c r="M791" t="inlineStr"/>
    </row>
    <row r="792">
      <c r="A792" t="inlineStr">
        <is>
          <t>No</t>
        </is>
      </c>
      <c r="B792" t="inlineStr"/>
      <c r="C792" t="inlineStr"/>
      <c r="D792" t="inlineStr"/>
      <c r="E792" t="inlineStr">
        <is>
          <t>Chronic illness (nothing to do with HXP)</t>
        </is>
      </c>
      <c r="F792" t="inlineStr">
        <is>
          <t>Health / Physical / Age</t>
        </is>
      </c>
      <c r="G792" t="inlineStr">
        <is>
          <t>Health / Physical / Age</t>
        </is>
      </c>
      <c r="H792" t="inlineStr"/>
      <c r="I792" t="inlineStr">
        <is>
          <t>HXP Can Influence</t>
        </is>
      </c>
      <c r="J792" t="b">
        <v>0</v>
      </c>
      <c r="K792" t="n">
        <v>1</v>
      </c>
      <c r="L792" t="inlineStr"/>
      <c r="M792" t="inlineStr"/>
    </row>
    <row r="793">
      <c r="A793" t="inlineStr">
        <is>
          <t>No</t>
        </is>
      </c>
      <c r="B793" t="inlineStr"/>
      <c r="C793" t="inlineStr"/>
      <c r="D793" t="inlineStr"/>
      <c r="E793" t="inlineStr">
        <is>
          <t>Health issues</t>
        </is>
      </c>
      <c r="F793" t="inlineStr">
        <is>
          <t>Health / Physical / Age</t>
        </is>
      </c>
      <c r="G793" t="inlineStr">
        <is>
          <t>Health / Physical / Age</t>
        </is>
      </c>
      <c r="H793" t="inlineStr"/>
      <c r="I793" t="inlineStr">
        <is>
          <t>HXP Can Influence</t>
        </is>
      </c>
      <c r="J793" t="b">
        <v>0</v>
      </c>
      <c r="K793" t="n">
        <v>1</v>
      </c>
      <c r="L793" t="inlineStr"/>
      <c r="M793" t="inlineStr"/>
    </row>
    <row r="794">
      <c r="A794" t="inlineStr">
        <is>
          <t>No</t>
        </is>
      </c>
      <c r="B794" t="inlineStr"/>
      <c r="C794" t="inlineStr"/>
      <c r="D794" t="inlineStr"/>
      <c r="E794" t="inlineStr">
        <is>
          <t>Time</t>
        </is>
      </c>
      <c r="F794" t="inlineStr">
        <is>
          <t>Work Schedule / Time Off</t>
        </is>
      </c>
      <c r="G794" t="inlineStr">
        <is>
          <t>Work Schedule / Time Off</t>
        </is>
      </c>
      <c r="H794" t="inlineStr"/>
      <c r="I794" t="inlineStr">
        <is>
          <t>HXP Can Influence</t>
        </is>
      </c>
      <c r="J794" t="b">
        <v>0</v>
      </c>
      <c r="K794" t="n">
        <v>1</v>
      </c>
      <c r="L794" t="inlineStr"/>
      <c r="M794" t="inlineStr"/>
    </row>
    <row r="795">
      <c r="A795" t="inlineStr">
        <is>
          <t>No</t>
        </is>
      </c>
      <c r="B795" t="inlineStr"/>
      <c r="C795" t="inlineStr"/>
      <c r="D795" t="inlineStr"/>
      <c r="E795" t="inlineStr">
        <is>
          <t>Cost and other vacations already planned.</t>
        </is>
      </c>
      <c r="F795" t="inlineStr">
        <is>
          <t>Cost / Finances</t>
        </is>
      </c>
      <c r="G795" t="inlineStr">
        <is>
          <t>Cost / Finances; Work Schedule / Time Off</t>
        </is>
      </c>
      <c r="H795" t="inlineStr"/>
      <c r="I795" t="inlineStr">
        <is>
          <t>HXP Can Directly Fix</t>
        </is>
      </c>
      <c r="J795" t="b">
        <v>0</v>
      </c>
      <c r="K795" t="n">
        <v>2</v>
      </c>
      <c r="L795" t="inlineStr"/>
      <c r="M795" t="inlineStr"/>
    </row>
    <row r="796">
      <c r="A796" t="inlineStr">
        <is>
          <t>No</t>
        </is>
      </c>
      <c r="B796" t="inlineStr"/>
      <c r="C796" t="inlineStr"/>
      <c r="D796" t="inlineStr"/>
      <c r="E796" t="inlineStr"/>
      <c r="F796" t="inlineStr"/>
      <c r="G796" t="inlineStr"/>
      <c r="H796" t="inlineStr"/>
      <c r="I796" t="inlineStr"/>
      <c r="J796" t="b">
        <v>0</v>
      </c>
      <c r="K796" t="n">
        <v>0</v>
      </c>
      <c r="L796" t="inlineStr"/>
      <c r="M796" t="inlineStr"/>
    </row>
    <row r="797">
      <c r="A797" t="inlineStr">
        <is>
          <t>Yes</t>
        </is>
      </c>
      <c r="B797" t="inlineStr">
        <is>
          <t>My wife</t>
        </is>
      </c>
      <c r="C797" t="inlineStr">
        <is>
          <t>Family Member Was the Reason (No Elaboration)</t>
        </is>
      </c>
      <c r="D797" t="inlineStr">
        <is>
          <t>Family Member Was the Reason (No Elaboration)</t>
        </is>
      </c>
      <c r="E797" t="inlineStr"/>
      <c r="F797" t="inlineStr"/>
      <c r="G797" t="inlineStr"/>
      <c r="H797" t="inlineStr"/>
      <c r="I797" t="inlineStr"/>
      <c r="J797" t="b">
        <v>0</v>
      </c>
      <c r="K797" t="n">
        <v>0</v>
      </c>
      <c r="L797" t="inlineStr"/>
      <c r="M797" t="inlineStr"/>
    </row>
    <row r="798">
      <c r="A798" t="inlineStr">
        <is>
          <t>No</t>
        </is>
      </c>
      <c r="B798" t="inlineStr"/>
      <c r="C798" t="inlineStr"/>
      <c r="D798" t="inlineStr"/>
      <c r="E798" t="inlineStr">
        <is>
          <t>Daughter wanted to be independent</t>
        </is>
      </c>
      <c r="F798" t="inlineStr">
        <is>
          <t>Wants Child to Have Independent Experience</t>
        </is>
      </c>
      <c r="G798" t="inlineStr">
        <is>
          <t>Wants Child to Have Independent Experience</t>
        </is>
      </c>
      <c r="H798" t="inlineStr"/>
      <c r="I798" t="inlineStr">
        <is>
          <t>Family's Own Choice</t>
        </is>
      </c>
      <c r="J798" t="b">
        <v>0</v>
      </c>
      <c r="K798" t="n">
        <v>1</v>
      </c>
      <c r="L798" t="inlineStr"/>
      <c r="M798" t="inlineStr"/>
    </row>
    <row r="799">
      <c r="A799" t="inlineStr">
        <is>
          <t>No</t>
        </is>
      </c>
      <c r="B799" t="inlineStr"/>
      <c r="C799" t="inlineStr"/>
      <c r="D799" t="inlineStr"/>
      <c r="E799" t="inlineStr">
        <is>
          <t>Various factors including cost, time away, other children at home and work obligations. As well as wanting my child to have her own experience.</t>
        </is>
      </c>
      <c r="F799" t="inlineStr">
        <is>
          <t>Cost / Finances</t>
        </is>
      </c>
      <c r="G799" t="inlineStr">
        <is>
          <t>Cost / Finances; Work Schedule / Time Off; Other Kids / Family at Home; Wants Child to Have Independent Experience</t>
        </is>
      </c>
      <c r="H799" t="inlineStr"/>
      <c r="I799" t="inlineStr">
        <is>
          <t>HXP Can Directly Fix</t>
        </is>
      </c>
      <c r="J799" t="b">
        <v>0</v>
      </c>
      <c r="K799" t="n">
        <v>4</v>
      </c>
      <c r="L799" t="inlineStr"/>
      <c r="M799" t="inlineStr"/>
    </row>
    <row r="800">
      <c r="A800" t="inlineStr">
        <is>
          <t>No</t>
        </is>
      </c>
      <c r="B800" t="inlineStr"/>
      <c r="C800" t="inlineStr"/>
      <c r="D800" t="inlineStr"/>
      <c r="E800" t="inlineStr">
        <is>
          <t>Our son wanted to go by himself</t>
        </is>
      </c>
      <c r="F800" t="inlineStr">
        <is>
          <t>Child Didn't Want Parent to Come</t>
        </is>
      </c>
      <c r="G800" t="inlineStr">
        <is>
          <t>Child Didn't Want Parent to Come</t>
        </is>
      </c>
      <c r="H800" t="inlineStr"/>
      <c r="I800" t="inlineStr">
        <is>
          <t>Family's Own Choice</t>
        </is>
      </c>
      <c r="J800" t="b">
        <v>0</v>
      </c>
      <c r="K800" t="n">
        <v>1</v>
      </c>
      <c r="L800" t="inlineStr"/>
      <c r="M800" t="inlineStr"/>
    </row>
    <row r="801">
      <c r="A801" t="inlineStr">
        <is>
          <t>No</t>
        </is>
      </c>
      <c r="B801" t="inlineStr"/>
      <c r="C801" t="inlineStr"/>
      <c r="D801" t="inlineStr"/>
      <c r="E801" t="inlineStr">
        <is>
          <t>Daughter didn't want me to go with her</t>
        </is>
      </c>
      <c r="F801" t="inlineStr">
        <is>
          <t>Child Didn't Want Parent to Come</t>
        </is>
      </c>
      <c r="G801" t="inlineStr">
        <is>
          <t>Child Didn't Want Parent to Come</t>
        </is>
      </c>
      <c r="H801" t="inlineStr"/>
      <c r="I801" t="inlineStr">
        <is>
          <t>Family's Own Choice</t>
        </is>
      </c>
      <c r="J801" t="b">
        <v>0</v>
      </c>
      <c r="K801" t="n">
        <v>1</v>
      </c>
      <c r="L801" t="inlineStr"/>
      <c r="M801" t="inlineStr"/>
    </row>
    <row r="802">
      <c r="A802" t="inlineStr">
        <is>
          <t>No</t>
        </is>
      </c>
      <c r="B802" t="inlineStr"/>
      <c r="C802" t="inlineStr"/>
      <c r="D802" t="inlineStr"/>
      <c r="E802" t="inlineStr">
        <is>
          <t>Want her to go with out me</t>
        </is>
      </c>
      <c r="F802" t="inlineStr">
        <is>
          <t>Wants Child to Have Independent Experience</t>
        </is>
      </c>
      <c r="G802" t="inlineStr">
        <is>
          <t>Wants Child to Have Independent Experience</t>
        </is>
      </c>
      <c r="H802" t="inlineStr"/>
      <c r="I802" t="inlineStr">
        <is>
          <t>Family's Own Choice</t>
        </is>
      </c>
      <c r="J802" t="b">
        <v>0</v>
      </c>
      <c r="K802" t="n">
        <v>1</v>
      </c>
      <c r="L802" t="inlineStr"/>
      <c r="M802" t="inlineStr"/>
    </row>
    <row r="803">
      <c r="A803" t="inlineStr">
        <is>
          <t>No</t>
        </is>
      </c>
      <c r="B803" t="inlineStr"/>
      <c r="C803" t="inlineStr"/>
      <c r="D803" t="inlineStr"/>
      <c r="E803" t="inlineStr">
        <is>
          <t>Two factors, cost and the need to go without a parent. 1- The cost-- I can barely afford to send one child and the bill for one of the parent's to attend would have not been in our budget. 2- This trip is to help prepare my child for serving a mission and having experiences away from family. The ability to send him on his own for an extended period of tine was important in our decision when choosing which experience for him.</t>
        </is>
      </c>
      <c r="F803" t="inlineStr">
        <is>
          <t>Cost / Finances</t>
        </is>
      </c>
      <c r="G803" t="inlineStr">
        <is>
          <t>Cost / Finances; Other Kids / Family at Home; Wants Child to Have Independent Experience; Other Life Commitment</t>
        </is>
      </c>
      <c r="H803" t="inlineStr"/>
      <c r="I803" t="inlineStr">
        <is>
          <t>HXP Can Directly Fix</t>
        </is>
      </c>
      <c r="J803" t="b">
        <v>0</v>
      </c>
      <c r="K803" t="n">
        <v>4</v>
      </c>
      <c r="L803" t="inlineStr"/>
      <c r="M803" t="inlineStr"/>
    </row>
    <row r="804">
      <c r="A804" t="inlineStr">
        <is>
          <t>No</t>
        </is>
      </c>
      <c r="B804" t="inlineStr"/>
      <c r="C804" t="inlineStr"/>
      <c r="D804" t="inlineStr"/>
      <c r="E804" t="inlineStr">
        <is>
          <t>Son didn't want me to go</t>
        </is>
      </c>
      <c r="F804" t="inlineStr">
        <is>
          <t>Child Didn't Want Parent to Come</t>
        </is>
      </c>
      <c r="G804" t="inlineStr">
        <is>
          <t>Child Didn't Want Parent to Come</t>
        </is>
      </c>
      <c r="H804" t="inlineStr"/>
      <c r="I804" t="inlineStr">
        <is>
          <t>Family's Own Choice</t>
        </is>
      </c>
      <c r="J804" t="b">
        <v>0</v>
      </c>
      <c r="K804" t="n">
        <v>1</v>
      </c>
      <c r="L804" t="inlineStr"/>
      <c r="M804" t="inlineStr"/>
    </row>
    <row r="805">
      <c r="A805" t="inlineStr">
        <is>
          <t>No</t>
        </is>
      </c>
      <c r="B805" t="inlineStr"/>
      <c r="C805" t="inlineStr"/>
      <c r="D805" t="inlineStr"/>
      <c r="E805" t="inlineStr">
        <is>
          <t>Time</t>
        </is>
      </c>
      <c r="F805" t="inlineStr">
        <is>
          <t>Work Schedule / Time Off</t>
        </is>
      </c>
      <c r="G805" t="inlineStr">
        <is>
          <t>Work Schedule / Time Off</t>
        </is>
      </c>
      <c r="H805" t="inlineStr"/>
      <c r="I805" t="inlineStr">
        <is>
          <t>HXP Can Influence</t>
        </is>
      </c>
      <c r="J805" t="b">
        <v>0</v>
      </c>
      <c r="K805" t="n">
        <v>1</v>
      </c>
      <c r="L805" t="inlineStr"/>
      <c r="M805" t="inlineStr"/>
    </row>
    <row r="806">
      <c r="A806" t="inlineStr">
        <is>
          <t>No</t>
        </is>
      </c>
      <c r="B806" t="inlineStr"/>
      <c r="C806" t="inlineStr"/>
      <c r="D806" t="inlineStr"/>
      <c r="E806" t="inlineStr">
        <is>
          <t>Give my son more opportunity for individual growth</t>
        </is>
      </c>
      <c r="F806" t="inlineStr">
        <is>
          <t>Wants Child to Have Independent Experience</t>
        </is>
      </c>
      <c r="G806" t="inlineStr">
        <is>
          <t>Wants Child to Have Independent Experience</t>
        </is>
      </c>
      <c r="H806" t="inlineStr"/>
      <c r="I806" t="inlineStr">
        <is>
          <t>Family's Own Choice</t>
        </is>
      </c>
      <c r="J806" t="b">
        <v>0</v>
      </c>
      <c r="K806" t="n">
        <v>1</v>
      </c>
      <c r="L806" t="inlineStr"/>
      <c r="M806" t="inlineStr"/>
    </row>
    <row r="807">
      <c r="A807" t="inlineStr">
        <is>
          <t>Yes</t>
        </is>
      </c>
      <c r="B807" t="inlineStr">
        <is>
          <t>Time with my daughter; opportunity to serve</t>
        </is>
      </c>
      <c r="C807" t="inlineStr">
        <is>
          <t>Wanted Shared Experience with Child</t>
        </is>
      </c>
      <c r="D807" t="inlineStr">
        <is>
          <t>Wanted Shared Experience with Child; Faith / Service Motivation</t>
        </is>
      </c>
      <c r="E807" t="inlineStr"/>
      <c r="F807" t="inlineStr"/>
      <c r="G807" t="inlineStr"/>
      <c r="H807" t="inlineStr"/>
      <c r="I807" t="inlineStr"/>
      <c r="J807" t="b">
        <v>0</v>
      </c>
      <c r="K807" t="n">
        <v>0</v>
      </c>
      <c r="L807" t="inlineStr"/>
      <c r="M807" t="inlineStr"/>
    </row>
    <row r="808">
      <c r="A808" t="inlineStr">
        <is>
          <t>No</t>
        </is>
      </c>
      <c r="B808" t="inlineStr"/>
      <c r="C808" t="inlineStr"/>
      <c r="D808" t="inlineStr"/>
      <c r="E808" t="inlineStr">
        <is>
          <t>I think its better for my daughter not to have me there as someone to lean ion. She will need to trust herself and those shes with</t>
        </is>
      </c>
      <c r="F808" t="inlineStr">
        <is>
          <t>Wants Child to Have Independent Experience</t>
        </is>
      </c>
      <c r="G808" t="inlineStr">
        <is>
          <t>Wants Child to Have Independent Experience</t>
        </is>
      </c>
      <c r="H808" t="inlineStr"/>
      <c r="I808" t="inlineStr">
        <is>
          <t>Family's Own Choice</t>
        </is>
      </c>
      <c r="J808" t="b">
        <v>0</v>
      </c>
      <c r="K808" t="n">
        <v>1</v>
      </c>
      <c r="L808" t="inlineStr"/>
      <c r="M808" t="inlineStr"/>
    </row>
    <row r="809">
      <c r="A809" t="inlineStr">
        <is>
          <t>No</t>
        </is>
      </c>
      <c r="B809" t="inlineStr"/>
      <c r="C809" t="inlineStr"/>
      <c r="D809" t="inlineStr"/>
      <c r="E809" t="inlineStr">
        <is>
          <t>work</t>
        </is>
      </c>
      <c r="F809" t="inlineStr">
        <is>
          <t>Work Schedule / Time Off</t>
        </is>
      </c>
      <c r="G809" t="inlineStr">
        <is>
          <t>Work Schedule / Time Off</t>
        </is>
      </c>
      <c r="H809" t="inlineStr"/>
      <c r="I809" t="inlineStr">
        <is>
          <t>HXP Can Influence</t>
        </is>
      </c>
      <c r="J809" t="b">
        <v>0</v>
      </c>
      <c r="K809" t="n">
        <v>1</v>
      </c>
      <c r="L809" t="inlineStr"/>
      <c r="M809" t="inlineStr"/>
    </row>
    <row r="810">
      <c r="A810" t="inlineStr">
        <is>
          <t>No</t>
        </is>
      </c>
      <c r="B810" t="inlineStr"/>
      <c r="C810" t="inlineStr"/>
      <c r="D810" t="inlineStr"/>
      <c r="E810" t="inlineStr">
        <is>
          <t>My husband is going, that's why.</t>
        </is>
      </c>
      <c r="F810" t="inlineStr">
        <is>
          <t>Another Family Member Going Instead</t>
        </is>
      </c>
      <c r="G810" t="inlineStr">
        <is>
          <t>Another Family Member Going Instead</t>
        </is>
      </c>
      <c r="H810" t="inlineStr"/>
      <c r="I810" t="inlineStr">
        <is>
          <t>Family's Own Choice</t>
        </is>
      </c>
      <c r="J810" t="b">
        <v>0</v>
      </c>
      <c r="K810" t="n">
        <v>1</v>
      </c>
      <c r="L810" t="inlineStr"/>
      <c r="M810" t="inlineStr"/>
    </row>
    <row r="811">
      <c r="A811" t="inlineStr">
        <is>
          <t>No</t>
        </is>
      </c>
      <c r="B811" t="inlineStr"/>
      <c r="C811" t="inlineStr"/>
      <c r="D811" t="inlineStr"/>
      <c r="E811" t="inlineStr">
        <is>
          <t>I would like to go as a parent builder in the future</t>
        </is>
      </c>
      <c r="F811" t="inlineStr">
        <is>
          <t>Other / Uncategorized</t>
        </is>
      </c>
      <c r="G811" t="inlineStr"/>
      <c r="H811" t="inlineStr"/>
      <c r="I811" t="inlineStr">
        <is>
          <t>Unknown</t>
        </is>
      </c>
      <c r="J811" t="b">
        <v>1</v>
      </c>
      <c r="K811" t="n">
        <v>0</v>
      </c>
      <c r="L811" t="inlineStr"/>
      <c r="M811" t="inlineStr"/>
    </row>
    <row r="812">
      <c r="A812" t="inlineStr">
        <is>
          <t>No</t>
        </is>
      </c>
      <c r="B812" t="inlineStr"/>
      <c r="C812" t="inlineStr"/>
      <c r="D812" t="inlineStr"/>
      <c r="E812" t="inlineStr"/>
      <c r="F812" t="inlineStr"/>
      <c r="G812" t="inlineStr"/>
      <c r="H812" t="inlineStr"/>
      <c r="I812" t="inlineStr"/>
      <c r="J812" t="b">
        <v>0</v>
      </c>
      <c r="K812" t="n">
        <v>0</v>
      </c>
      <c r="L812" t="inlineStr"/>
      <c r="M812" t="inlineStr"/>
    </row>
    <row r="813">
      <c r="A813" t="inlineStr">
        <is>
          <t>No</t>
        </is>
      </c>
      <c r="B813" t="inlineStr"/>
      <c r="C813" t="inlineStr"/>
      <c r="D813" t="inlineStr"/>
      <c r="E813" t="inlineStr">
        <is>
          <t>Heard positive report from someone else that went.</t>
        </is>
      </c>
      <c r="F813" t="inlineStr">
        <is>
          <t>Other / Uncategorized</t>
        </is>
      </c>
      <c r="G813" t="inlineStr"/>
      <c r="H813" t="inlineStr"/>
      <c r="I813" t="inlineStr">
        <is>
          <t>Unknown</t>
        </is>
      </c>
      <c r="J813" t="b">
        <v>0</v>
      </c>
      <c r="K813" t="n">
        <v>0</v>
      </c>
      <c r="L813" t="inlineStr"/>
      <c r="M813" t="inlineStr"/>
    </row>
    <row r="814">
      <c r="A814" t="inlineStr">
        <is>
          <t>No</t>
        </is>
      </c>
      <c r="B814" t="inlineStr"/>
      <c r="C814" t="inlineStr"/>
      <c r="D814" t="inlineStr"/>
      <c r="E814" t="inlineStr">
        <is>
          <t>How long the trip is, It's a long time to be away from the rest of my family</t>
        </is>
      </c>
      <c r="F814" t="inlineStr">
        <is>
          <t>Work Schedule / Time Off</t>
        </is>
      </c>
      <c r="G814" t="inlineStr">
        <is>
          <t>Work Schedule / Time Off</t>
        </is>
      </c>
      <c r="H814" t="inlineStr"/>
      <c r="I814" t="inlineStr">
        <is>
          <t>HXP Can Influence</t>
        </is>
      </c>
      <c r="J814" t="b">
        <v>0</v>
      </c>
      <c r="K814" t="n">
        <v>1</v>
      </c>
      <c r="L814" t="inlineStr"/>
      <c r="M814" t="inlineStr"/>
    </row>
    <row r="815">
      <c r="A815" t="inlineStr">
        <is>
          <t>No</t>
        </is>
      </c>
      <c r="B815" t="inlineStr"/>
      <c r="C815" t="inlineStr"/>
      <c r="D815" t="inlineStr"/>
      <c r="E815" t="inlineStr">
        <is>
          <t>Want child to have experience away from parent</t>
        </is>
      </c>
      <c r="F815" t="inlineStr">
        <is>
          <t>Wants Child to Have Independent Experience</t>
        </is>
      </c>
      <c r="G815" t="inlineStr">
        <is>
          <t>Wants Child to Have Independent Experience</t>
        </is>
      </c>
      <c r="H815" t="inlineStr"/>
      <c r="I815" t="inlineStr">
        <is>
          <t>Family's Own Choice</t>
        </is>
      </c>
      <c r="J815" t="b">
        <v>0</v>
      </c>
      <c r="K815" t="n">
        <v>1</v>
      </c>
      <c r="L815" t="inlineStr"/>
      <c r="M815" t="inlineStr"/>
    </row>
    <row r="816">
      <c r="A816" t="inlineStr">
        <is>
          <t>No</t>
        </is>
      </c>
      <c r="B816" t="inlineStr"/>
      <c r="C816" t="inlineStr"/>
      <c r="D816" t="inlineStr"/>
      <c r="E816" t="inlineStr">
        <is>
          <t>previous children have gone</t>
        </is>
      </c>
      <c r="F816" t="inlineStr">
        <is>
          <t>Another Family Member Going Instead</t>
        </is>
      </c>
      <c r="G816" t="inlineStr">
        <is>
          <t>Another Family Member Going Instead</t>
        </is>
      </c>
      <c r="H816" t="inlineStr"/>
      <c r="I816" t="inlineStr">
        <is>
          <t>Family's Own Choice</t>
        </is>
      </c>
      <c r="J816" t="b">
        <v>0</v>
      </c>
      <c r="K816" t="n">
        <v>1</v>
      </c>
      <c r="L816" t="inlineStr"/>
      <c r="M816" t="inlineStr"/>
    </row>
    <row r="817">
      <c r="A817" t="inlineStr">
        <is>
          <t>No</t>
        </is>
      </c>
      <c r="B817" t="inlineStr"/>
      <c r="C817" t="inlineStr"/>
      <c r="D817" t="inlineStr"/>
      <c r="E817" t="inlineStr">
        <is>
          <t>not interested</t>
        </is>
      </c>
      <c r="F817" t="inlineStr">
        <is>
          <t>Not a Traveler / Personal Preference</t>
        </is>
      </c>
      <c r="G817" t="inlineStr">
        <is>
          <t>Not a Traveler / Personal Preference</t>
        </is>
      </c>
      <c r="H817" t="inlineStr"/>
      <c r="I817" t="inlineStr">
        <is>
          <t>HXP Can Influence</t>
        </is>
      </c>
      <c r="J817" t="b">
        <v>0</v>
      </c>
      <c r="K817" t="n">
        <v>1</v>
      </c>
      <c r="L817" t="inlineStr"/>
      <c r="M817" t="inlineStr"/>
    </row>
    <row r="818">
      <c r="A818" t="inlineStr">
        <is>
          <t>No</t>
        </is>
      </c>
      <c r="B818" t="inlineStr"/>
      <c r="C818" t="inlineStr"/>
      <c r="D818" t="inlineStr"/>
      <c r="E818" t="inlineStr"/>
      <c r="F818" t="inlineStr"/>
      <c r="G818" t="inlineStr"/>
      <c r="H818" t="inlineStr"/>
      <c r="I818" t="inlineStr"/>
      <c r="J818" t="b">
        <v>0</v>
      </c>
      <c r="K818" t="n">
        <v>0</v>
      </c>
      <c r="L818" t="inlineStr"/>
      <c r="M818" t="inlineStr"/>
    </row>
    <row r="819">
      <c r="A819" t="inlineStr">
        <is>
          <t>No</t>
        </is>
      </c>
      <c r="B819" t="inlineStr"/>
      <c r="C819" t="inlineStr"/>
      <c r="D819" t="inlineStr"/>
      <c r="E819" t="inlineStr"/>
      <c r="F819" t="inlineStr"/>
      <c r="G819" t="inlineStr"/>
      <c r="H819" t="inlineStr"/>
      <c r="I819" t="inlineStr"/>
      <c r="J819" t="b">
        <v>0</v>
      </c>
      <c r="K819" t="n">
        <v>0</v>
      </c>
      <c r="L819" t="inlineStr"/>
      <c r="M819" t="inlineStr"/>
    </row>
    <row r="820">
      <c r="A820" t="inlineStr">
        <is>
          <t>No</t>
        </is>
      </c>
      <c r="B820" t="inlineStr"/>
      <c r="C820" t="inlineStr"/>
      <c r="D820" t="inlineStr"/>
      <c r="E820" t="inlineStr">
        <is>
          <t>I have 6 kids and a husband that works a busy job. Just not my season yet.</t>
        </is>
      </c>
      <c r="F820" t="inlineStr">
        <is>
          <t>Work Schedule / Time Off</t>
        </is>
      </c>
      <c r="G820" t="inlineStr">
        <is>
          <t>Work Schedule / Time Off; Other Kids / Family at Home</t>
        </is>
      </c>
      <c r="H820" t="inlineStr"/>
      <c r="I820" t="inlineStr">
        <is>
          <t>HXP Can Influence</t>
        </is>
      </c>
      <c r="J820" t="b">
        <v>0</v>
      </c>
      <c r="K820" t="n">
        <v>2</v>
      </c>
      <c r="L820" t="inlineStr"/>
      <c r="M820" t="inlineStr"/>
    </row>
    <row r="821">
      <c r="A821" t="inlineStr">
        <is>
          <t>No</t>
        </is>
      </c>
      <c r="B821" t="inlineStr"/>
      <c r="C821" t="inlineStr"/>
      <c r="D821" t="inlineStr"/>
      <c r="E821" t="inlineStr">
        <is>
          <t>Daughter wants to go alone</t>
        </is>
      </c>
      <c r="F821" t="inlineStr">
        <is>
          <t>Wants Child to Have Independent Experience</t>
        </is>
      </c>
      <c r="G821" t="inlineStr">
        <is>
          <t>Wants Child to Have Independent Experience</t>
        </is>
      </c>
      <c r="H821" t="inlineStr"/>
      <c r="I821" t="inlineStr">
        <is>
          <t>Family's Own Choice</t>
        </is>
      </c>
      <c r="J821" t="b">
        <v>0</v>
      </c>
      <c r="K821" t="n">
        <v>1</v>
      </c>
      <c r="L821" t="inlineStr"/>
      <c r="M821" t="inlineStr"/>
    </row>
    <row r="822">
      <c r="A822" t="inlineStr">
        <is>
          <t>No</t>
        </is>
      </c>
      <c r="B822" t="inlineStr"/>
      <c r="C822" t="inlineStr"/>
      <c r="D822" t="inlineStr"/>
      <c r="E822" t="inlineStr">
        <is>
          <t>My husband is going this year</t>
        </is>
      </c>
      <c r="F822" t="inlineStr">
        <is>
          <t>Another Family Member Going Instead</t>
        </is>
      </c>
      <c r="G822" t="inlineStr">
        <is>
          <t>Another Family Member Going Instead</t>
        </is>
      </c>
      <c r="H822" t="inlineStr"/>
      <c r="I822" t="inlineStr">
        <is>
          <t>Family's Own Choice</t>
        </is>
      </c>
      <c r="J822" t="b">
        <v>0</v>
      </c>
      <c r="K822" t="n">
        <v>1</v>
      </c>
      <c r="L822" t="inlineStr"/>
      <c r="M822" t="inlineStr"/>
    </row>
    <row r="823">
      <c r="A823" t="inlineStr">
        <is>
          <t>No</t>
        </is>
      </c>
      <c r="B823" t="inlineStr"/>
      <c r="C823" t="inlineStr"/>
      <c r="D823" t="inlineStr"/>
      <c r="E823" t="inlineStr">
        <is>
          <t>Already full and I have my most busy time at work in the summer.</t>
        </is>
      </c>
      <c r="F823" t="inlineStr">
        <is>
          <t>Work Schedule / Time Off</t>
        </is>
      </c>
      <c r="G823" t="inlineStr">
        <is>
          <t>Work Schedule / Time Off</t>
        </is>
      </c>
      <c r="H823" t="inlineStr"/>
      <c r="I823" t="inlineStr">
        <is>
          <t>HXP Can Influence</t>
        </is>
      </c>
      <c r="J823" t="b">
        <v>0</v>
      </c>
      <c r="K823" t="n">
        <v>1</v>
      </c>
      <c r="L823" t="inlineStr"/>
      <c r="M823" t="inlineStr"/>
    </row>
    <row r="824">
      <c r="A824" t="inlineStr">
        <is>
          <t>No</t>
        </is>
      </c>
      <c r="B824" t="inlineStr"/>
      <c r="C824" t="inlineStr"/>
      <c r="D824" t="inlineStr"/>
      <c r="E824" t="inlineStr">
        <is>
          <t>Couldn't leave my other kids home that long</t>
        </is>
      </c>
      <c r="F824" t="inlineStr">
        <is>
          <t>Other Kids / Family at Home</t>
        </is>
      </c>
      <c r="G824" t="inlineStr">
        <is>
          <t>Other Kids / Family at Home</t>
        </is>
      </c>
      <c r="H824" t="inlineStr"/>
      <c r="I824" t="inlineStr">
        <is>
          <t>Family's Own Choice</t>
        </is>
      </c>
      <c r="J824" t="b">
        <v>0</v>
      </c>
      <c r="K824" t="n">
        <v>1</v>
      </c>
      <c r="L824" t="inlineStr"/>
      <c r="M824" t="inlineStr"/>
    </row>
    <row r="825">
      <c r="A825" t="inlineStr">
        <is>
          <t>Maybe</t>
        </is>
      </c>
      <c r="B825" t="inlineStr"/>
      <c r="C825" t="inlineStr"/>
      <c r="D825" t="inlineStr"/>
      <c r="E825" t="inlineStr"/>
      <c r="F825" t="inlineStr"/>
      <c r="G825" t="inlineStr"/>
      <c r="H825" t="inlineStr"/>
      <c r="I825" t="inlineStr"/>
      <c r="J825" t="b">
        <v>0</v>
      </c>
      <c r="K825" t="n">
        <v>0</v>
      </c>
      <c r="L825" t="inlineStr"/>
      <c r="M825" t="inlineStr"/>
    </row>
    <row r="826">
      <c r="A826" t="inlineStr">
        <is>
          <t>No</t>
        </is>
      </c>
      <c r="B826" t="inlineStr"/>
      <c r="C826" t="inlineStr"/>
      <c r="D826" t="inlineStr"/>
      <c r="E826" t="inlineStr">
        <is>
          <t>I can't leave my kids.</t>
        </is>
      </c>
      <c r="F826" t="inlineStr">
        <is>
          <t>Other Kids / Family at Home</t>
        </is>
      </c>
      <c r="G826" t="inlineStr">
        <is>
          <t>Other Kids / Family at Home</t>
        </is>
      </c>
      <c r="H826" t="inlineStr"/>
      <c r="I826" t="inlineStr">
        <is>
          <t>Family's Own Choice</t>
        </is>
      </c>
      <c r="J826" t="b">
        <v>0</v>
      </c>
      <c r="K826" t="n">
        <v>1</v>
      </c>
      <c r="L826" t="inlineStr"/>
      <c r="M826" t="inlineStr"/>
    </row>
    <row r="827">
      <c r="A827" t="inlineStr">
        <is>
          <t>No</t>
        </is>
      </c>
      <c r="B827" t="inlineStr"/>
      <c r="C827" t="inlineStr"/>
      <c r="D827" t="inlineStr"/>
      <c r="E827" t="inlineStr">
        <is>
          <t>I never heard it as an option from my child (or as you call her “builder”)</t>
        </is>
      </c>
      <c r="F827" t="inlineStr">
        <is>
          <t>Not Aware It Was an Option</t>
        </is>
      </c>
      <c r="G827" t="inlineStr">
        <is>
          <t>Not Aware It Was an Option</t>
        </is>
      </c>
      <c r="H827" t="inlineStr"/>
      <c r="I827" t="inlineStr">
        <is>
          <t>HXP Can Directly Fix</t>
        </is>
      </c>
      <c r="J827" t="b">
        <v>0</v>
      </c>
      <c r="K827" t="n">
        <v>1</v>
      </c>
      <c r="L827" t="inlineStr"/>
      <c r="M827" t="inlineStr"/>
    </row>
    <row r="828">
      <c r="A828" t="inlineStr">
        <is>
          <t>No</t>
        </is>
      </c>
      <c r="B828" t="inlineStr"/>
      <c r="C828" t="inlineStr"/>
      <c r="D828" t="inlineStr"/>
      <c r="E828" t="inlineStr">
        <is>
          <t>have other kids to take care of</t>
        </is>
      </c>
      <c r="F828" t="inlineStr">
        <is>
          <t>Other Kids / Family at Home</t>
        </is>
      </c>
      <c r="G828" t="inlineStr">
        <is>
          <t>Other Kids / Family at Home</t>
        </is>
      </c>
      <c r="H828" t="inlineStr"/>
      <c r="I828" t="inlineStr">
        <is>
          <t>Family's Own Choice</t>
        </is>
      </c>
      <c r="J828" t="b">
        <v>0</v>
      </c>
      <c r="K828" t="n">
        <v>1</v>
      </c>
      <c r="L828" t="inlineStr"/>
      <c r="M828" t="inlineStr"/>
    </row>
    <row r="829">
      <c r="A829" t="inlineStr">
        <is>
          <t>Maybe</t>
        </is>
      </c>
      <c r="B829" t="inlineStr"/>
      <c r="C829" t="inlineStr"/>
      <c r="D829" t="inlineStr"/>
      <c r="E829" t="inlineStr"/>
      <c r="F829" t="inlineStr"/>
      <c r="G829" t="inlineStr"/>
      <c r="H829" t="inlineStr">
        <is>
          <t>cost</t>
        </is>
      </c>
      <c r="I829" t="inlineStr"/>
      <c r="J829" t="b">
        <v>0</v>
      </c>
      <c r="K829" t="n">
        <v>0</v>
      </c>
      <c r="L829" t="inlineStr">
        <is>
          <t>Cost / Financial Assistance</t>
        </is>
      </c>
      <c r="M829" t="inlineStr">
        <is>
          <t>Cost / Financial Assistance</t>
        </is>
      </c>
    </row>
    <row r="830">
      <c r="A830" t="inlineStr">
        <is>
          <t>Maybe</t>
        </is>
      </c>
      <c r="B830" t="inlineStr"/>
      <c r="C830" t="inlineStr"/>
      <c r="D830" t="inlineStr"/>
      <c r="E830" t="inlineStr"/>
      <c r="F830" t="inlineStr"/>
      <c r="G830" t="inlineStr"/>
      <c r="H830" t="inlineStr">
        <is>
          <t>I might go when my youngest is old enough so I don't have to worry about other kids being left unattended at home.</t>
        </is>
      </c>
      <c r="I830" t="inlineStr"/>
      <c r="J830" t="b">
        <v>0</v>
      </c>
      <c r="K830" t="n">
        <v>0</v>
      </c>
      <c r="L830" t="inlineStr">
        <is>
          <t>Childcare for Other Kids</t>
        </is>
      </c>
      <c r="M830" t="inlineStr">
        <is>
          <t>Childcare for Other Kids</t>
        </is>
      </c>
    </row>
    <row r="831">
      <c r="A831" t="inlineStr">
        <is>
          <t>No</t>
        </is>
      </c>
      <c r="B831" t="inlineStr"/>
      <c r="C831" t="inlineStr"/>
      <c r="D831" t="inlineStr"/>
      <c r="E831" t="inlineStr">
        <is>
          <t>Cost</t>
        </is>
      </c>
      <c r="F831" t="inlineStr">
        <is>
          <t>Cost / Finances</t>
        </is>
      </c>
      <c r="G831" t="inlineStr">
        <is>
          <t>Cost / Finances</t>
        </is>
      </c>
      <c r="H831" t="inlineStr"/>
      <c r="I831" t="inlineStr">
        <is>
          <t>HXP Can Directly Fix</t>
        </is>
      </c>
      <c r="J831" t="b">
        <v>0</v>
      </c>
      <c r="K831" t="n">
        <v>1</v>
      </c>
      <c r="L831" t="inlineStr"/>
      <c r="M831" t="inlineStr"/>
    </row>
    <row r="832">
      <c r="A832" t="inlineStr">
        <is>
          <t>No</t>
        </is>
      </c>
      <c r="B832" t="inlineStr"/>
      <c r="C832" t="inlineStr"/>
      <c r="D832" t="inlineStr"/>
      <c r="E832" t="inlineStr">
        <is>
          <t>💵</t>
        </is>
      </c>
      <c r="F832" t="inlineStr">
        <is>
          <t>Cost / Finances</t>
        </is>
      </c>
      <c r="G832" t="inlineStr">
        <is>
          <t>Cost / Finances</t>
        </is>
      </c>
      <c r="H832" t="inlineStr"/>
      <c r="I832" t="inlineStr">
        <is>
          <t>HXP Can Directly Fix</t>
        </is>
      </c>
      <c r="J832" t="b">
        <v>0</v>
      </c>
      <c r="K832" t="n">
        <v>1</v>
      </c>
      <c r="L832" t="inlineStr"/>
      <c r="M832" t="inlineStr"/>
    </row>
    <row r="833">
      <c r="A833" t="inlineStr">
        <is>
          <t>No</t>
        </is>
      </c>
      <c r="B833" t="inlineStr"/>
      <c r="C833" t="inlineStr"/>
      <c r="D833" t="inlineStr"/>
      <c r="E833" t="inlineStr"/>
      <c r="F833" t="inlineStr"/>
      <c r="G833" t="inlineStr"/>
      <c r="H833" t="inlineStr"/>
      <c r="I833" t="inlineStr"/>
      <c r="J833" t="b">
        <v>0</v>
      </c>
      <c r="K833" t="n">
        <v>0</v>
      </c>
      <c r="L833" t="inlineStr"/>
      <c r="M833" t="inlineStr"/>
    </row>
    <row r="834">
      <c r="A834" t="inlineStr">
        <is>
          <t>No</t>
        </is>
      </c>
      <c r="B834" t="inlineStr"/>
      <c r="C834" t="inlineStr"/>
      <c r="D834" t="inlineStr"/>
      <c r="E834" t="inlineStr">
        <is>
          <t>Daughter wanted own experience</t>
        </is>
      </c>
      <c r="F834" t="inlineStr">
        <is>
          <t>Wants Child to Have Independent Experience</t>
        </is>
      </c>
      <c r="G834" t="inlineStr">
        <is>
          <t>Wants Child to Have Independent Experience</t>
        </is>
      </c>
      <c r="H834" t="inlineStr"/>
      <c r="I834" t="inlineStr">
        <is>
          <t>Family's Own Choice</t>
        </is>
      </c>
      <c r="J834" t="b">
        <v>0</v>
      </c>
      <c r="K834" t="n">
        <v>1</v>
      </c>
      <c r="L834" t="inlineStr"/>
      <c r="M834" t="inlineStr"/>
    </row>
    <row r="835">
      <c r="A835" t="inlineStr">
        <is>
          <t>Yes</t>
        </is>
      </c>
      <c r="B835" t="inlineStr">
        <is>
          <t>I was asked to go by HXP. I've considered it for all of my kids' trips, but didn't want to negatively impact their experience. I only decided to go because my daughter agreed.</t>
        </is>
      </c>
      <c r="C835" t="inlineStr">
        <is>
          <t>Wanted Shared Experience with Child</t>
        </is>
      </c>
      <c r="D835" t="inlineStr">
        <is>
          <t>Wanted Shared Experience with Child</t>
        </is>
      </c>
      <c r="E835" t="inlineStr"/>
      <c r="F835" t="inlineStr"/>
      <c r="G835" t="inlineStr"/>
      <c r="H835" t="inlineStr"/>
      <c r="I835" t="inlineStr"/>
      <c r="J835" t="b">
        <v>0</v>
      </c>
      <c r="K835" t="n">
        <v>0</v>
      </c>
      <c r="L835" t="inlineStr"/>
      <c r="M835" t="inlineStr"/>
    </row>
    <row r="836">
      <c r="A836" t="inlineStr">
        <is>
          <t>No</t>
        </is>
      </c>
      <c r="B836" t="inlineStr"/>
      <c r="C836" t="inlineStr"/>
      <c r="D836" t="inlineStr"/>
      <c r="E836" t="inlineStr">
        <is>
          <t>Cost</t>
        </is>
      </c>
      <c r="F836" t="inlineStr">
        <is>
          <t>Cost / Finances</t>
        </is>
      </c>
      <c r="G836" t="inlineStr">
        <is>
          <t>Cost / Finances</t>
        </is>
      </c>
      <c r="H836" t="inlineStr"/>
      <c r="I836" t="inlineStr">
        <is>
          <t>HXP Can Directly Fix</t>
        </is>
      </c>
      <c r="J836" t="b">
        <v>0</v>
      </c>
      <c r="K836" t="n">
        <v>1</v>
      </c>
      <c r="L836" t="inlineStr"/>
      <c r="M836" t="inlineStr"/>
    </row>
    <row r="837">
      <c r="A837" t="inlineStr">
        <is>
          <t>No</t>
        </is>
      </c>
      <c r="B837" t="inlineStr"/>
      <c r="C837" t="inlineStr"/>
      <c r="D837" t="inlineStr"/>
      <c r="E837" t="inlineStr">
        <is>
          <t>I wanted to give my son a chance to have a trip all by himself.</t>
        </is>
      </c>
      <c r="F837" t="inlineStr">
        <is>
          <t>Child Didn't Want Parent to Come</t>
        </is>
      </c>
      <c r="G837" t="inlineStr">
        <is>
          <t>Child Didn't Want Parent to Come</t>
        </is>
      </c>
      <c r="H837" t="inlineStr"/>
      <c r="I837" t="inlineStr">
        <is>
          <t>Family's Own Choice</t>
        </is>
      </c>
      <c r="J837" t="b">
        <v>0</v>
      </c>
      <c r="K837" t="n">
        <v>1</v>
      </c>
      <c r="L837" t="inlineStr"/>
      <c r="M837" t="inlineStr"/>
    </row>
    <row r="838">
      <c r="A838" t="inlineStr">
        <is>
          <t>No</t>
        </is>
      </c>
      <c r="B838" t="inlineStr"/>
      <c r="C838" t="inlineStr"/>
      <c r="D838" t="inlineStr"/>
      <c r="E838" t="inlineStr">
        <is>
          <t>My husband is going, I'm excited for both him and my daughter!</t>
        </is>
      </c>
      <c r="F838" t="inlineStr">
        <is>
          <t>Another Family Member Going Instead</t>
        </is>
      </c>
      <c r="G838" t="inlineStr">
        <is>
          <t>Another Family Member Going Instead</t>
        </is>
      </c>
      <c r="H838" t="inlineStr"/>
      <c r="I838" t="inlineStr">
        <is>
          <t>Family's Own Choice</t>
        </is>
      </c>
      <c r="J838" t="b">
        <v>0</v>
      </c>
      <c r="K838" t="n">
        <v>1</v>
      </c>
      <c r="L838" t="inlineStr"/>
      <c r="M838" t="inlineStr"/>
    </row>
    <row r="839">
      <c r="A839" t="inlineStr">
        <is>
          <t>No</t>
        </is>
      </c>
      <c r="B839" t="inlineStr"/>
      <c r="C839" t="inlineStr"/>
      <c r="D839" t="inlineStr"/>
      <c r="E839" t="inlineStr">
        <is>
          <t>Work schedule</t>
        </is>
      </c>
      <c r="F839" t="inlineStr">
        <is>
          <t>Work Schedule / Time Off</t>
        </is>
      </c>
      <c r="G839" t="inlineStr">
        <is>
          <t>Work Schedule / Time Off</t>
        </is>
      </c>
      <c r="H839" t="inlineStr"/>
      <c r="I839" t="inlineStr">
        <is>
          <t>HXP Can Influence</t>
        </is>
      </c>
      <c r="J839" t="b">
        <v>0</v>
      </c>
      <c r="K839" t="n">
        <v>1</v>
      </c>
      <c r="L839" t="inlineStr"/>
      <c r="M839" t="inlineStr"/>
    </row>
    <row r="840">
      <c r="A840" t="inlineStr">
        <is>
          <t>No</t>
        </is>
      </c>
      <c r="B840" t="inlineStr"/>
      <c r="C840" t="inlineStr"/>
      <c r="D840" t="inlineStr"/>
      <c r="E840" t="inlineStr">
        <is>
          <t>Work</t>
        </is>
      </c>
      <c r="F840" t="inlineStr">
        <is>
          <t>Work Schedule / Time Off</t>
        </is>
      </c>
      <c r="G840" t="inlineStr">
        <is>
          <t>Work Schedule / Time Off</t>
        </is>
      </c>
      <c r="H840" t="inlineStr"/>
      <c r="I840" t="inlineStr">
        <is>
          <t>HXP Can Influence</t>
        </is>
      </c>
      <c r="J840" t="b">
        <v>0</v>
      </c>
      <c r="K840" t="n">
        <v>1</v>
      </c>
      <c r="L840" t="inlineStr"/>
      <c r="M840" t="inlineStr"/>
    </row>
    <row r="841">
      <c r="A841" t="inlineStr">
        <is>
          <t>No</t>
        </is>
      </c>
      <c r="B841" t="inlineStr"/>
      <c r="C841" t="inlineStr"/>
      <c r="D841" t="inlineStr"/>
      <c r="E841" t="inlineStr">
        <is>
          <t>Flight time</t>
        </is>
      </c>
      <c r="F841" t="inlineStr">
        <is>
          <t>Work Schedule / Time Off</t>
        </is>
      </c>
      <c r="G841" t="inlineStr">
        <is>
          <t>Work Schedule / Time Off</t>
        </is>
      </c>
      <c r="H841" t="inlineStr"/>
      <c r="I841" t="inlineStr">
        <is>
          <t>HXP Can Influence</t>
        </is>
      </c>
      <c r="J841" t="b">
        <v>0</v>
      </c>
      <c r="K841" t="n">
        <v>1</v>
      </c>
      <c r="L841" t="inlineStr"/>
      <c r="M841" t="inlineStr"/>
    </row>
    <row r="842">
      <c r="A842" t="inlineStr">
        <is>
          <t>No</t>
        </is>
      </c>
      <c r="B842" t="inlineStr"/>
      <c r="C842" t="inlineStr"/>
      <c r="D842" t="inlineStr"/>
      <c r="E842" t="inlineStr">
        <is>
          <t>Time and money</t>
        </is>
      </c>
      <c r="F842" t="inlineStr">
        <is>
          <t>Cost / Finances</t>
        </is>
      </c>
      <c r="G842" t="inlineStr">
        <is>
          <t>Cost / Finances; Work Schedule / Time Off</t>
        </is>
      </c>
      <c r="H842" t="inlineStr"/>
      <c r="I842" t="inlineStr">
        <is>
          <t>HXP Can Directly Fix</t>
        </is>
      </c>
      <c r="J842" t="b">
        <v>0</v>
      </c>
      <c r="K842" t="n">
        <v>2</v>
      </c>
      <c r="L842" t="inlineStr"/>
      <c r="M842" t="inlineStr"/>
    </row>
    <row r="843">
      <c r="A843" t="inlineStr">
        <is>
          <t>No</t>
        </is>
      </c>
      <c r="B843" t="inlineStr"/>
      <c r="C843" t="inlineStr"/>
      <c r="D843" t="inlineStr"/>
      <c r="E843" t="inlineStr">
        <is>
          <t>Cost and time off work</t>
        </is>
      </c>
      <c r="F843" t="inlineStr">
        <is>
          <t>Cost / Finances</t>
        </is>
      </c>
      <c r="G843" t="inlineStr">
        <is>
          <t>Cost / Finances; Work Schedule / Time Off</t>
        </is>
      </c>
      <c r="H843" t="inlineStr"/>
      <c r="I843" t="inlineStr">
        <is>
          <t>HXP Can Directly Fix</t>
        </is>
      </c>
      <c r="J843" t="b">
        <v>0</v>
      </c>
      <c r="K843" t="n">
        <v>2</v>
      </c>
      <c r="L843" t="inlineStr"/>
      <c r="M843" t="inlineStr"/>
    </row>
    <row r="844">
      <c r="A844" t="inlineStr">
        <is>
          <t>Yes</t>
        </is>
      </c>
      <c r="B844" t="inlineStr">
        <is>
          <t>Daughter</t>
        </is>
      </c>
      <c r="C844" t="inlineStr">
        <is>
          <t>Family Member Was the Reason (No Elaboration)</t>
        </is>
      </c>
      <c r="D844" t="inlineStr">
        <is>
          <t>Family Member Was the Reason (No Elaboration)</t>
        </is>
      </c>
      <c r="E844" t="inlineStr"/>
      <c r="F844" t="inlineStr"/>
      <c r="G844" t="inlineStr"/>
      <c r="H844" t="inlineStr"/>
      <c r="I844" t="inlineStr"/>
      <c r="J844" t="b">
        <v>0</v>
      </c>
      <c r="K844" t="n">
        <v>0</v>
      </c>
      <c r="L844" t="inlineStr"/>
      <c r="M844" t="inlineStr"/>
    </row>
    <row r="845">
      <c r="A845" t="inlineStr">
        <is>
          <t>Yes</t>
        </is>
      </c>
      <c r="B845" t="inlineStr">
        <is>
          <t>My daughter</t>
        </is>
      </c>
      <c r="C845" t="inlineStr">
        <is>
          <t>Family Member Was the Reason (No Elaboration)</t>
        </is>
      </c>
      <c r="D845" t="inlineStr">
        <is>
          <t>Family Member Was the Reason (No Elaboration)</t>
        </is>
      </c>
      <c r="E845" t="inlineStr"/>
      <c r="F845" t="inlineStr"/>
      <c r="G845" t="inlineStr"/>
      <c r="H845" t="inlineStr"/>
      <c r="I845" t="inlineStr"/>
      <c r="J845" t="b">
        <v>0</v>
      </c>
      <c r="K845" t="n">
        <v>0</v>
      </c>
      <c r="L845" t="inlineStr"/>
      <c r="M845" t="inlineStr"/>
    </row>
    <row r="846">
      <c r="A846" t="inlineStr">
        <is>
          <t>No</t>
        </is>
      </c>
      <c r="B846" t="inlineStr"/>
      <c r="C846" t="inlineStr"/>
      <c r="D846" t="inlineStr"/>
      <c r="E846" t="inlineStr"/>
      <c r="F846" t="inlineStr"/>
      <c r="G846" t="inlineStr"/>
      <c r="H846" t="inlineStr"/>
      <c r="I846" t="inlineStr"/>
      <c r="J846" t="b">
        <v>0</v>
      </c>
      <c r="K846" t="n">
        <v>0</v>
      </c>
      <c r="L846" t="inlineStr"/>
      <c r="M846" t="inlineStr"/>
    </row>
    <row r="847">
      <c r="A847" t="inlineStr">
        <is>
          <t>No</t>
        </is>
      </c>
      <c r="B847" t="inlineStr"/>
      <c r="C847" t="inlineStr"/>
      <c r="D847" t="inlineStr"/>
      <c r="E847" t="inlineStr">
        <is>
          <t>My daughter didn't want me to :)</t>
        </is>
      </c>
      <c r="F847" t="inlineStr">
        <is>
          <t>Child Didn't Want Parent to Come</t>
        </is>
      </c>
      <c r="G847" t="inlineStr">
        <is>
          <t>Child Didn't Want Parent to Come</t>
        </is>
      </c>
      <c r="H847" t="inlineStr"/>
      <c r="I847" t="inlineStr">
        <is>
          <t>Family's Own Choice</t>
        </is>
      </c>
      <c r="J847" t="b">
        <v>0</v>
      </c>
      <c r="K847" t="n">
        <v>1</v>
      </c>
      <c r="L847" t="inlineStr"/>
      <c r="M847" t="inlineStr"/>
    </row>
    <row r="848">
      <c r="A848" t="inlineStr">
        <is>
          <t>No</t>
        </is>
      </c>
      <c r="B848" t="inlineStr"/>
      <c r="C848" t="inlineStr"/>
      <c r="D848" t="inlineStr"/>
      <c r="E848" t="inlineStr"/>
      <c r="F848" t="inlineStr"/>
      <c r="G848" t="inlineStr"/>
      <c r="H848" t="inlineStr"/>
      <c r="I848" t="inlineStr"/>
      <c r="J848" t="b">
        <v>0</v>
      </c>
      <c r="K848" t="n">
        <v>0</v>
      </c>
      <c r="L848" t="inlineStr"/>
      <c r="M848" t="inlineStr"/>
    </row>
    <row r="849">
      <c r="A849" t="inlineStr">
        <is>
          <t>No</t>
        </is>
      </c>
      <c r="B849" t="inlineStr"/>
      <c r="C849" t="inlineStr"/>
      <c r="D849" t="inlineStr"/>
      <c r="E849" t="inlineStr">
        <is>
          <t>The cost. I would have loved to go.</t>
        </is>
      </c>
      <c r="F849" t="inlineStr">
        <is>
          <t>Cost / Finances</t>
        </is>
      </c>
      <c r="G849" t="inlineStr">
        <is>
          <t>Cost / Finances</t>
        </is>
      </c>
      <c r="H849" t="inlineStr"/>
      <c r="I849" t="inlineStr">
        <is>
          <t>HXP Can Directly Fix</t>
        </is>
      </c>
      <c r="J849" t="b">
        <v>0</v>
      </c>
      <c r="K849" t="n">
        <v>1</v>
      </c>
      <c r="L849" t="inlineStr"/>
      <c r="M849" t="inlineStr"/>
    </row>
    <row r="850">
      <c r="A850" t="inlineStr">
        <is>
          <t>No</t>
        </is>
      </c>
      <c r="B850" t="inlineStr"/>
      <c r="C850" t="inlineStr"/>
      <c r="D850" t="inlineStr"/>
      <c r="E850" t="inlineStr">
        <is>
          <t>My daughter went to West Virginia last summer and had an amazing experience!</t>
        </is>
      </c>
      <c r="F850" t="inlineStr">
        <is>
          <t>Wants Child to Have Independent Experience</t>
        </is>
      </c>
      <c r="G850" t="inlineStr">
        <is>
          <t>Wants Child to Have Independent Experience</t>
        </is>
      </c>
      <c r="H850" t="inlineStr"/>
      <c r="I850" t="inlineStr">
        <is>
          <t>Family's Own Choice</t>
        </is>
      </c>
      <c r="J850" t="b">
        <v>0</v>
      </c>
      <c r="K850" t="n">
        <v>1</v>
      </c>
      <c r="L850" t="inlineStr"/>
      <c r="M850" t="inlineStr"/>
    </row>
    <row r="851">
      <c r="A851" t="inlineStr">
        <is>
          <t>No</t>
        </is>
      </c>
      <c r="B851" t="inlineStr"/>
      <c r="C851" t="inlineStr"/>
      <c r="D851" t="inlineStr"/>
      <c r="E851" t="inlineStr">
        <is>
          <t>Time and money</t>
        </is>
      </c>
      <c r="F851" t="inlineStr">
        <is>
          <t>Cost / Finances</t>
        </is>
      </c>
      <c r="G851" t="inlineStr">
        <is>
          <t>Cost / Finances; Work Schedule / Time Off</t>
        </is>
      </c>
      <c r="H851" t="inlineStr"/>
      <c r="I851" t="inlineStr">
        <is>
          <t>HXP Can Directly Fix</t>
        </is>
      </c>
      <c r="J851" t="b">
        <v>0</v>
      </c>
      <c r="K851" t="n">
        <v>2</v>
      </c>
      <c r="L851" t="inlineStr"/>
      <c r="M851" t="inlineStr"/>
    </row>
    <row r="852">
      <c r="A852" t="inlineStr">
        <is>
          <t>No</t>
        </is>
      </c>
      <c r="B852" t="inlineStr"/>
      <c r="C852" t="inlineStr"/>
      <c r="D852" t="inlineStr"/>
      <c r="E852" t="inlineStr">
        <is>
          <t>Too busy and my child wants to go on her own</t>
        </is>
      </c>
      <c r="F852" t="inlineStr">
        <is>
          <t>Work Schedule / Time Off</t>
        </is>
      </c>
      <c r="G852" t="inlineStr">
        <is>
          <t>Work Schedule / Time Off; Wants Child to Have Independent Experience</t>
        </is>
      </c>
      <c r="H852" t="inlineStr"/>
      <c r="I852" t="inlineStr">
        <is>
          <t>HXP Can Influence</t>
        </is>
      </c>
      <c r="J852" t="b">
        <v>0</v>
      </c>
      <c r="K852" t="n">
        <v>2</v>
      </c>
      <c r="L852" t="inlineStr"/>
      <c r="M852" t="inlineStr"/>
    </row>
    <row r="853">
      <c r="A853" t="inlineStr">
        <is>
          <t>No</t>
        </is>
      </c>
      <c r="B853" t="inlineStr"/>
      <c r="C853" t="inlineStr"/>
      <c r="D853" t="inlineStr"/>
      <c r="E853" t="inlineStr">
        <is>
          <t>Builder did not want me to go</t>
        </is>
      </c>
      <c r="F853" t="inlineStr">
        <is>
          <t>Child Didn't Want Parent to Come</t>
        </is>
      </c>
      <c r="G853" t="inlineStr">
        <is>
          <t>Child Didn't Want Parent to Come</t>
        </is>
      </c>
      <c r="H853" t="inlineStr"/>
      <c r="I853" t="inlineStr">
        <is>
          <t>Family's Own Choice</t>
        </is>
      </c>
      <c r="J853" t="b">
        <v>0</v>
      </c>
      <c r="K853" t="n">
        <v>1</v>
      </c>
      <c r="L853" t="inlineStr"/>
      <c r="M853" t="inlineStr"/>
    </row>
    <row r="854">
      <c r="A854" t="inlineStr">
        <is>
          <t>No</t>
        </is>
      </c>
      <c r="B854" t="inlineStr"/>
      <c r="C854" t="inlineStr"/>
      <c r="D854" t="inlineStr"/>
      <c r="E854" t="inlineStr"/>
      <c r="F854" t="inlineStr"/>
      <c r="G854" t="inlineStr"/>
      <c r="H854" t="inlineStr"/>
      <c r="I854" t="inlineStr"/>
      <c r="J854" t="b">
        <v>0</v>
      </c>
      <c r="K854" t="n">
        <v>0</v>
      </c>
      <c r="L854" t="inlineStr"/>
      <c r="M854" t="inlineStr"/>
    </row>
    <row r="855">
      <c r="A855" t="inlineStr">
        <is>
          <t>No</t>
        </is>
      </c>
      <c r="B855" t="inlineStr"/>
      <c r="C855" t="inlineStr"/>
      <c r="D855" t="inlineStr"/>
      <c r="E855" t="inlineStr">
        <is>
          <t>Younger children still at home</t>
        </is>
      </c>
      <c r="F855" t="inlineStr">
        <is>
          <t>Other Kids / Family at Home</t>
        </is>
      </c>
      <c r="G855" t="inlineStr">
        <is>
          <t>Other Kids / Family at Home</t>
        </is>
      </c>
      <c r="H855" t="inlineStr"/>
      <c r="I855" t="inlineStr">
        <is>
          <t>Family's Own Choice</t>
        </is>
      </c>
      <c r="J855" t="b">
        <v>0</v>
      </c>
      <c r="K855" t="n">
        <v>1</v>
      </c>
      <c r="L855" t="inlineStr"/>
      <c r="M855" t="inlineStr"/>
    </row>
    <row r="856">
      <c r="A856" t="inlineStr">
        <is>
          <t>No</t>
        </is>
      </c>
      <c r="B856" t="inlineStr"/>
      <c r="C856" t="inlineStr"/>
      <c r="D856" t="inlineStr"/>
      <c r="E856" t="inlineStr">
        <is>
          <t>I wanted my child to have his own experience.</t>
        </is>
      </c>
      <c r="F856" t="inlineStr">
        <is>
          <t>Wants Child to Have Independent Experience</t>
        </is>
      </c>
      <c r="G856" t="inlineStr">
        <is>
          <t>Wants Child to Have Independent Experience</t>
        </is>
      </c>
      <c r="H856" t="inlineStr"/>
      <c r="I856" t="inlineStr">
        <is>
          <t>Family's Own Choice</t>
        </is>
      </c>
      <c r="J856" t="b">
        <v>0</v>
      </c>
      <c r="K856" t="n">
        <v>1</v>
      </c>
      <c r="L856" t="inlineStr"/>
      <c r="M856" t="inlineStr"/>
    </row>
    <row r="857">
      <c r="A857" t="inlineStr">
        <is>
          <t>No</t>
        </is>
      </c>
      <c r="B857" t="inlineStr"/>
      <c r="C857" t="inlineStr"/>
      <c r="D857" t="inlineStr"/>
      <c r="E857" t="inlineStr">
        <is>
          <t>Already went, it was awesome</t>
        </is>
      </c>
      <c r="F857" t="inlineStr">
        <is>
          <t>Other / Uncategorized</t>
        </is>
      </c>
      <c r="G857" t="inlineStr"/>
      <c r="H857" t="inlineStr"/>
      <c r="I857" t="inlineStr">
        <is>
          <t>Unknown</t>
        </is>
      </c>
      <c r="J857" t="b">
        <v>0</v>
      </c>
      <c r="K857" t="n">
        <v>0</v>
      </c>
      <c r="L857" t="inlineStr"/>
      <c r="M857" t="inlineStr"/>
    </row>
    <row r="858">
      <c r="A858" t="inlineStr">
        <is>
          <t>Maybe</t>
        </is>
      </c>
      <c r="B858" t="inlineStr"/>
      <c r="C858" t="inlineStr"/>
      <c r="D858" t="inlineStr"/>
      <c r="E858" t="inlineStr"/>
      <c r="F858" t="inlineStr"/>
      <c r="G858" t="inlineStr"/>
      <c r="H858" t="inlineStr">
        <is>
          <t>Less expensive.</t>
        </is>
      </c>
      <c r="I858" t="inlineStr"/>
      <c r="J858" t="b">
        <v>0</v>
      </c>
      <c r="K858" t="n">
        <v>0</v>
      </c>
      <c r="L858" t="inlineStr">
        <is>
          <t>Cost / Financial Assistance</t>
        </is>
      </c>
      <c r="M858" t="inlineStr">
        <is>
          <t>Cost / Financial Assistance</t>
        </is>
      </c>
    </row>
    <row r="859">
      <c r="A859" t="inlineStr">
        <is>
          <t>No</t>
        </is>
      </c>
      <c r="B859" t="inlineStr"/>
      <c r="C859" t="inlineStr"/>
      <c r="D859" t="inlineStr"/>
      <c r="E859" t="inlineStr">
        <is>
          <t>Trying to let my kids experience trust in themselves to go.</t>
        </is>
      </c>
      <c r="F859" t="inlineStr">
        <is>
          <t>Wants Child to Have Independent Experience</t>
        </is>
      </c>
      <c r="G859" t="inlineStr">
        <is>
          <t>Wants Child to Have Independent Experience</t>
        </is>
      </c>
      <c r="H859" t="inlineStr"/>
      <c r="I859" t="inlineStr">
        <is>
          <t>Family's Own Choice</t>
        </is>
      </c>
      <c r="J859" t="b">
        <v>0</v>
      </c>
      <c r="K859" t="n">
        <v>1</v>
      </c>
      <c r="L859" t="inlineStr"/>
      <c r="M859" t="inlineStr"/>
    </row>
    <row r="860">
      <c r="A860" t="inlineStr">
        <is>
          <t>Yes</t>
        </is>
      </c>
      <c r="B860" t="inlineStr">
        <is>
          <t>I wanted my kid and I to be closer together and close to Jesus together</t>
        </is>
      </c>
      <c r="C860" t="inlineStr">
        <is>
          <t>Wanted Shared Experience with Child</t>
        </is>
      </c>
      <c r="D860" t="inlineStr">
        <is>
          <t>Wanted Shared Experience with Child</t>
        </is>
      </c>
      <c r="E860" t="inlineStr"/>
      <c r="F860" t="inlineStr"/>
      <c r="G860" t="inlineStr"/>
      <c r="H860" t="inlineStr"/>
      <c r="I860" t="inlineStr"/>
      <c r="J860" t="b">
        <v>0</v>
      </c>
      <c r="K860" t="n">
        <v>0</v>
      </c>
      <c r="L860" t="inlineStr"/>
      <c r="M860" t="inlineStr"/>
    </row>
    <row r="861">
      <c r="A861" t="inlineStr">
        <is>
          <t>No</t>
        </is>
      </c>
      <c r="B861" t="inlineStr"/>
      <c r="C861" t="inlineStr"/>
      <c r="D861" t="inlineStr"/>
      <c r="E861" t="inlineStr">
        <is>
          <t>Husband travels and I still have a son at home</t>
        </is>
      </c>
      <c r="F861" t="inlineStr">
        <is>
          <t>Other Kids / Family at Home</t>
        </is>
      </c>
      <c r="G861" t="inlineStr">
        <is>
          <t>Other Kids / Family at Home</t>
        </is>
      </c>
      <c r="H861" t="inlineStr"/>
      <c r="I861" t="inlineStr">
        <is>
          <t>Family's Own Choice</t>
        </is>
      </c>
      <c r="J861" t="b">
        <v>0</v>
      </c>
      <c r="K861" t="n">
        <v>1</v>
      </c>
      <c r="L861" t="inlineStr"/>
      <c r="M861" t="inlineStr"/>
    </row>
    <row r="862">
      <c r="A862" t="inlineStr">
        <is>
          <t>No</t>
        </is>
      </c>
      <c r="B862" t="inlineStr"/>
      <c r="C862" t="inlineStr"/>
      <c r="D862" t="inlineStr"/>
      <c r="E862" t="inlineStr">
        <is>
          <t>Our builder wanted to go solo</t>
        </is>
      </c>
      <c r="F862" t="inlineStr">
        <is>
          <t>Wants Child to Have Independent Experience</t>
        </is>
      </c>
      <c r="G862" t="inlineStr">
        <is>
          <t>Wants Child to Have Independent Experience</t>
        </is>
      </c>
      <c r="H862" t="inlineStr"/>
      <c r="I862" t="inlineStr">
        <is>
          <t>Family's Own Choice</t>
        </is>
      </c>
      <c r="J862" t="b">
        <v>0</v>
      </c>
      <c r="K862" t="n">
        <v>1</v>
      </c>
      <c r="L862" t="inlineStr"/>
      <c r="M862" t="inlineStr"/>
    </row>
    <row r="863">
      <c r="A863" t="inlineStr">
        <is>
          <t>No</t>
        </is>
      </c>
      <c r="B863" t="inlineStr"/>
      <c r="C863" t="inlineStr"/>
      <c r="D863" t="inlineStr"/>
      <c r="E863" t="inlineStr">
        <is>
          <t>Sibling went 2 years ago and loves it.</t>
        </is>
      </c>
      <c r="F863" t="inlineStr">
        <is>
          <t>Other Kids / Family at Home</t>
        </is>
      </c>
      <c r="G863" t="inlineStr">
        <is>
          <t>Other Kids / Family at Home</t>
        </is>
      </c>
      <c r="H863" t="inlineStr"/>
      <c r="I863" t="inlineStr">
        <is>
          <t>Family's Own Choice</t>
        </is>
      </c>
      <c r="J863" t="b">
        <v>0</v>
      </c>
      <c r="K863" t="n">
        <v>1</v>
      </c>
      <c r="L863" t="inlineStr"/>
      <c r="M863" t="inlineStr"/>
    </row>
    <row r="864">
      <c r="A864" t="inlineStr">
        <is>
          <t>Maybe</t>
        </is>
      </c>
      <c r="B864" t="inlineStr"/>
      <c r="C864" t="inlineStr"/>
      <c r="D864" t="inlineStr"/>
      <c r="E864" t="inlineStr"/>
      <c r="F864" t="inlineStr"/>
      <c r="G864" t="inlineStr"/>
      <c r="H864" t="inlineStr">
        <is>
          <t>Mostly not going as my child is wanting to experience things on his own and grow without mom or dad, however we have another one going next year who would love our company so next year is an option. Also, cost, which is a necessary unavoidable, priority trip options prior to the older age group.</t>
        </is>
      </c>
      <c r="I864" t="inlineStr"/>
      <c r="J864" t="b">
        <v>0</v>
      </c>
      <c r="K864" t="n">
        <v>0</v>
      </c>
      <c r="L864" t="inlineStr">
        <is>
          <t>Cost / Financial Assistance</t>
        </is>
      </c>
      <c r="M864" t="inlineStr">
        <is>
          <t>Cost / Financial Assistance; Waiting for Right Timing (kids' ages)</t>
        </is>
      </c>
    </row>
    <row r="865">
      <c r="A865" t="inlineStr">
        <is>
          <t>No</t>
        </is>
      </c>
      <c r="B865" t="inlineStr"/>
      <c r="C865" t="inlineStr"/>
      <c r="D865" t="inlineStr"/>
      <c r="E865" t="inlineStr">
        <is>
          <t>Kids at home</t>
        </is>
      </c>
      <c r="F865" t="inlineStr">
        <is>
          <t>Other Kids / Family at Home</t>
        </is>
      </c>
      <c r="G865" t="inlineStr">
        <is>
          <t>Other Kids / Family at Home</t>
        </is>
      </c>
      <c r="H865" t="inlineStr"/>
      <c r="I865" t="inlineStr">
        <is>
          <t>Family's Own Choice</t>
        </is>
      </c>
      <c r="J865" t="b">
        <v>0</v>
      </c>
      <c r="K865" t="n">
        <v>1</v>
      </c>
      <c r="L865" t="inlineStr"/>
      <c r="M865" t="inlineStr"/>
    </row>
    <row r="866">
      <c r="A866" t="inlineStr">
        <is>
          <t>Maybe</t>
        </is>
      </c>
      <c r="B866" t="inlineStr"/>
      <c r="C866" t="inlineStr"/>
      <c r="D866" t="inlineStr"/>
      <c r="E866" t="inlineStr"/>
      <c r="F866" t="inlineStr"/>
      <c r="G866" t="inlineStr"/>
      <c r="H866" t="inlineStr"/>
      <c r="I866" t="inlineStr"/>
      <c r="J866" t="b">
        <v>0</v>
      </c>
      <c r="K866" t="n">
        <v>0</v>
      </c>
      <c r="L866" t="inlineStr"/>
      <c r="M866" t="inlineStr"/>
    </row>
    <row r="867">
      <c r="A867" t="inlineStr">
        <is>
          <t>No</t>
        </is>
      </c>
      <c r="B867" t="inlineStr"/>
      <c r="C867" t="inlineStr"/>
      <c r="D867" t="inlineStr"/>
      <c r="E867" t="inlineStr">
        <is>
          <t>Money</t>
        </is>
      </c>
      <c r="F867" t="inlineStr">
        <is>
          <t>Cost / Finances</t>
        </is>
      </c>
      <c r="G867" t="inlineStr">
        <is>
          <t>Cost / Finances</t>
        </is>
      </c>
      <c r="H867" t="inlineStr"/>
      <c r="I867" t="inlineStr">
        <is>
          <t>HXP Can Directly Fix</t>
        </is>
      </c>
      <c r="J867" t="b">
        <v>0</v>
      </c>
      <c r="K867" t="n">
        <v>1</v>
      </c>
      <c r="L867" t="inlineStr"/>
      <c r="M867" t="inlineStr"/>
    </row>
    <row r="868">
      <c r="A868" t="inlineStr">
        <is>
          <t>No</t>
        </is>
      </c>
      <c r="B868" t="inlineStr"/>
      <c r="C868" t="inlineStr"/>
      <c r="D868" t="inlineStr"/>
      <c r="E868" t="inlineStr">
        <is>
          <t>I have younger kids I can't leave</t>
        </is>
      </c>
      <c r="F868" t="inlineStr">
        <is>
          <t>Other Kids / Family at Home</t>
        </is>
      </c>
      <c r="G868" t="inlineStr">
        <is>
          <t>Other Kids / Family at Home</t>
        </is>
      </c>
      <c r="H868" t="inlineStr"/>
      <c r="I868" t="inlineStr">
        <is>
          <t>Family's Own Choice</t>
        </is>
      </c>
      <c r="J868" t="b">
        <v>0</v>
      </c>
      <c r="K868" t="n">
        <v>1</v>
      </c>
      <c r="L868" t="inlineStr"/>
      <c r="M868" t="inlineStr"/>
    </row>
    <row r="869">
      <c r="A869" t="inlineStr">
        <is>
          <t>No</t>
        </is>
      </c>
      <c r="B869" t="inlineStr"/>
      <c r="C869" t="inlineStr"/>
      <c r="D869" t="inlineStr"/>
      <c r="E869" t="inlineStr">
        <is>
          <t>Logistics with kids at home</t>
        </is>
      </c>
      <c r="F869" t="inlineStr">
        <is>
          <t>Other Kids / Family at Home</t>
        </is>
      </c>
      <c r="G869" t="inlineStr">
        <is>
          <t>Other Kids / Family at Home</t>
        </is>
      </c>
      <c r="H869" t="inlineStr"/>
      <c r="I869" t="inlineStr">
        <is>
          <t>Family's Own Choice</t>
        </is>
      </c>
      <c r="J869" t="b">
        <v>0</v>
      </c>
      <c r="K869" t="n">
        <v>1</v>
      </c>
      <c r="L869" t="inlineStr"/>
      <c r="M869" t="inlineStr"/>
    </row>
    <row r="870">
      <c r="A870" t="inlineStr">
        <is>
          <t>No</t>
        </is>
      </c>
      <c r="B870" t="inlineStr"/>
      <c r="C870" t="inlineStr"/>
      <c r="D870" t="inlineStr"/>
      <c r="E870" t="inlineStr">
        <is>
          <t>Cost</t>
        </is>
      </c>
      <c r="F870" t="inlineStr">
        <is>
          <t>Cost / Finances</t>
        </is>
      </c>
      <c r="G870" t="inlineStr">
        <is>
          <t>Cost / Finances</t>
        </is>
      </c>
      <c r="H870" t="inlineStr"/>
      <c r="I870" t="inlineStr">
        <is>
          <t>HXP Can Directly Fix</t>
        </is>
      </c>
      <c r="J870" t="b">
        <v>0</v>
      </c>
      <c r="K870" t="n">
        <v>1</v>
      </c>
      <c r="L870" t="inlineStr"/>
      <c r="M870" t="inlineStr"/>
    </row>
    <row r="871">
      <c r="A871" t="inlineStr">
        <is>
          <t>No</t>
        </is>
      </c>
      <c r="B871" t="inlineStr"/>
      <c r="C871" t="inlineStr"/>
      <c r="D871" t="inlineStr"/>
      <c r="E871" t="inlineStr">
        <is>
          <t>Work</t>
        </is>
      </c>
      <c r="F871" t="inlineStr">
        <is>
          <t>Work Schedule / Time Off</t>
        </is>
      </c>
      <c r="G871" t="inlineStr">
        <is>
          <t>Work Schedule / Time Off</t>
        </is>
      </c>
      <c r="H871" t="inlineStr"/>
      <c r="I871" t="inlineStr">
        <is>
          <t>HXP Can Influence</t>
        </is>
      </c>
      <c r="J871" t="b">
        <v>0</v>
      </c>
      <c r="K871" t="n">
        <v>1</v>
      </c>
      <c r="L871" t="inlineStr"/>
      <c r="M871" t="inlineStr"/>
    </row>
    <row r="872">
      <c r="A872" t="inlineStr">
        <is>
          <t>No</t>
        </is>
      </c>
      <c r="B872" t="inlineStr"/>
      <c r="C872" t="inlineStr"/>
      <c r="D872" t="inlineStr"/>
      <c r="E872" t="inlineStr">
        <is>
          <t>We wanted our son to have an experience serving others, but also wanted him to experience being on his own (since he is graduation age)</t>
        </is>
      </c>
      <c r="F872" t="inlineStr">
        <is>
          <t>Wants Child to Have Independent Experience</t>
        </is>
      </c>
      <c r="G872" t="inlineStr">
        <is>
          <t>Wants Child to Have Independent Experience; Health / Physical / Age; Other Life Commitment</t>
        </is>
      </c>
      <c r="H872" t="inlineStr"/>
      <c r="I872" t="inlineStr">
        <is>
          <t>Family's Own Choice</t>
        </is>
      </c>
      <c r="J872" t="b">
        <v>0</v>
      </c>
      <c r="K872" t="n">
        <v>3</v>
      </c>
      <c r="L872" t="inlineStr"/>
      <c r="M872" t="inlineStr"/>
    </row>
    <row r="873">
      <c r="A873" t="inlineStr">
        <is>
          <t>No</t>
        </is>
      </c>
      <c r="B873" t="inlineStr"/>
      <c r="C873" t="inlineStr"/>
      <c r="D873" t="inlineStr"/>
      <c r="E873" t="inlineStr">
        <is>
          <t>Child didn't want us to come. We also wanted her to have this experience separate from us.</t>
        </is>
      </c>
      <c r="F873" t="inlineStr">
        <is>
          <t>Child Didn't Want Parent to Come</t>
        </is>
      </c>
      <c r="G873" t="inlineStr">
        <is>
          <t>Child Didn't Want Parent to Come; Wants Child to Have Independent Experience</t>
        </is>
      </c>
      <c r="H873" t="inlineStr"/>
      <c r="I873" t="inlineStr">
        <is>
          <t>Family's Own Choice</t>
        </is>
      </c>
      <c r="J873" t="b">
        <v>0</v>
      </c>
      <c r="K873" t="n">
        <v>2</v>
      </c>
      <c r="L873" t="inlineStr"/>
      <c r="M873" t="inlineStr"/>
    </row>
    <row r="874">
      <c r="A874" t="inlineStr">
        <is>
          <t>No</t>
        </is>
      </c>
      <c r="B874" t="inlineStr"/>
      <c r="C874" t="inlineStr"/>
      <c r="D874" t="inlineStr"/>
      <c r="E874" t="inlineStr">
        <is>
          <t>Work</t>
        </is>
      </c>
      <c r="F874" t="inlineStr">
        <is>
          <t>Work Schedule / Time Off</t>
        </is>
      </c>
      <c r="G874" t="inlineStr">
        <is>
          <t>Work Schedule / Time Off</t>
        </is>
      </c>
      <c r="H874" t="inlineStr"/>
      <c r="I874" t="inlineStr">
        <is>
          <t>HXP Can Influence</t>
        </is>
      </c>
      <c r="J874" t="b">
        <v>0</v>
      </c>
      <c r="K874" t="n">
        <v>1</v>
      </c>
      <c r="L874" t="inlineStr"/>
      <c r="M874" t="inlineStr"/>
    </row>
    <row r="875">
      <c r="A875" t="inlineStr">
        <is>
          <t>Yes</t>
        </is>
      </c>
      <c r="B875" t="inlineStr">
        <is>
          <t>My daughter invited me</t>
        </is>
      </c>
      <c r="C875" t="inlineStr">
        <is>
          <t>Child/Spouse Asked Them to Go</t>
        </is>
      </c>
      <c r="D875" t="inlineStr">
        <is>
          <t>Child/Spouse Asked Them to Go</t>
        </is>
      </c>
      <c r="E875" t="inlineStr"/>
      <c r="F875" t="inlineStr"/>
      <c r="G875" t="inlineStr"/>
      <c r="H875" t="inlineStr"/>
      <c r="I875" t="inlineStr"/>
      <c r="J875" t="b">
        <v>0</v>
      </c>
      <c r="K875" t="n">
        <v>0</v>
      </c>
      <c r="L875" t="inlineStr"/>
      <c r="M875" t="inlineStr"/>
    </row>
    <row r="876">
      <c r="A876" t="inlineStr">
        <is>
          <t>No</t>
        </is>
      </c>
      <c r="B876" t="inlineStr"/>
      <c r="C876" t="inlineStr"/>
      <c r="D876" t="inlineStr"/>
      <c r="E876" t="inlineStr">
        <is>
          <t>We like the humanitarian trip experience before high school graduation</t>
        </is>
      </c>
      <c r="F876" t="inlineStr">
        <is>
          <t>Wants Child to Have Independent Experience</t>
        </is>
      </c>
      <c r="G876" t="inlineStr">
        <is>
          <t>Wants Child to Have Independent Experience; Other Life Commitment</t>
        </is>
      </c>
      <c r="H876" t="inlineStr"/>
      <c r="I876" t="inlineStr">
        <is>
          <t>Family's Own Choice</t>
        </is>
      </c>
      <c r="J876" t="b">
        <v>0</v>
      </c>
      <c r="K876" t="n">
        <v>2</v>
      </c>
      <c r="L876" t="inlineStr"/>
      <c r="M876" t="inlineStr"/>
    </row>
    <row r="877">
      <c r="A877" t="inlineStr">
        <is>
          <t>No</t>
        </is>
      </c>
      <c r="B877" t="inlineStr"/>
      <c r="C877" t="inlineStr"/>
      <c r="D877" t="inlineStr"/>
      <c r="E877" t="inlineStr">
        <is>
          <t>Money</t>
        </is>
      </c>
      <c r="F877" t="inlineStr">
        <is>
          <t>Cost / Finances</t>
        </is>
      </c>
      <c r="G877" t="inlineStr">
        <is>
          <t>Cost / Finances</t>
        </is>
      </c>
      <c r="H877" t="inlineStr"/>
      <c r="I877" t="inlineStr">
        <is>
          <t>HXP Can Directly Fix</t>
        </is>
      </c>
      <c r="J877" t="b">
        <v>0</v>
      </c>
      <c r="K877" t="n">
        <v>1</v>
      </c>
      <c r="L877" t="inlineStr"/>
      <c r="M877" t="inlineStr"/>
    </row>
    <row r="878">
      <c r="A878" t="inlineStr">
        <is>
          <t>No</t>
        </is>
      </c>
      <c r="B878" t="inlineStr"/>
      <c r="C878" t="inlineStr"/>
      <c r="D878" t="inlineStr"/>
      <c r="E878" t="inlineStr">
        <is>
          <t>Money</t>
        </is>
      </c>
      <c r="F878" t="inlineStr">
        <is>
          <t>Cost / Finances</t>
        </is>
      </c>
      <c r="G878" t="inlineStr">
        <is>
          <t>Cost / Finances</t>
        </is>
      </c>
      <c r="H878" t="inlineStr"/>
      <c r="I878" t="inlineStr">
        <is>
          <t>HXP Can Directly Fix</t>
        </is>
      </c>
      <c r="J878" t="b">
        <v>0</v>
      </c>
      <c r="K878" t="n">
        <v>1</v>
      </c>
      <c r="L878" t="inlineStr"/>
      <c r="M878" t="inlineStr"/>
    </row>
    <row r="879">
      <c r="A879" t="inlineStr">
        <is>
          <t>No</t>
        </is>
      </c>
      <c r="B879" t="inlineStr"/>
      <c r="C879" t="inlineStr"/>
      <c r="D879" t="inlineStr"/>
      <c r="E879" t="inlineStr">
        <is>
          <t>Cost and time away from home (family and job commitments)</t>
        </is>
      </c>
      <c r="F879" t="inlineStr">
        <is>
          <t>Cost / Finances</t>
        </is>
      </c>
      <c r="G879" t="inlineStr">
        <is>
          <t>Cost / Finances; Work Schedule / Time Off; Other Kids / Family at Home</t>
        </is>
      </c>
      <c r="H879" t="inlineStr"/>
      <c r="I879" t="inlineStr">
        <is>
          <t>HXP Can Directly Fix</t>
        </is>
      </c>
      <c r="J879" t="b">
        <v>0</v>
      </c>
      <c r="K879" t="n">
        <v>3</v>
      </c>
      <c r="L879" t="inlineStr"/>
      <c r="M879" t="inlineStr"/>
    </row>
    <row r="880">
      <c r="A880" t="inlineStr">
        <is>
          <t>No</t>
        </is>
      </c>
      <c r="B880" t="inlineStr"/>
      <c r="C880" t="inlineStr"/>
      <c r="D880" t="inlineStr"/>
      <c r="E880" t="inlineStr">
        <is>
          <t>Wanted my son to have an experience living independently from parents.</t>
        </is>
      </c>
      <c r="F880" t="inlineStr">
        <is>
          <t>Wants Child to Have Independent Experience</t>
        </is>
      </c>
      <c r="G880" t="inlineStr">
        <is>
          <t>Wants Child to Have Independent Experience</t>
        </is>
      </c>
      <c r="H880" t="inlineStr"/>
      <c r="I880" t="inlineStr">
        <is>
          <t>Family's Own Choice</t>
        </is>
      </c>
      <c r="J880" t="b">
        <v>0</v>
      </c>
      <c r="K880" t="n">
        <v>1</v>
      </c>
      <c r="L880" t="inlineStr"/>
      <c r="M880" t="inlineStr"/>
    </row>
    <row r="881">
      <c r="A881" t="inlineStr">
        <is>
          <t>No</t>
        </is>
      </c>
      <c r="B881" t="inlineStr"/>
      <c r="C881" t="inlineStr"/>
      <c r="D881" t="inlineStr"/>
      <c r="E881" t="inlineStr"/>
      <c r="F881" t="inlineStr"/>
      <c r="G881" t="inlineStr"/>
      <c r="H881" t="inlineStr"/>
      <c r="I881" t="inlineStr"/>
      <c r="J881" t="b">
        <v>0</v>
      </c>
      <c r="K881" t="n">
        <v>0</v>
      </c>
      <c r="L881" t="inlineStr"/>
      <c r="M881" t="inlineStr"/>
    </row>
    <row r="882">
      <c r="A882" t="inlineStr">
        <is>
          <t>No</t>
        </is>
      </c>
      <c r="B882" t="inlineStr"/>
      <c r="C882" t="inlineStr"/>
      <c r="D882" t="inlineStr"/>
      <c r="E882" t="inlineStr">
        <is>
          <t>Cost</t>
        </is>
      </c>
      <c r="F882" t="inlineStr">
        <is>
          <t>Cost / Finances</t>
        </is>
      </c>
      <c r="G882" t="inlineStr">
        <is>
          <t>Cost / Finances</t>
        </is>
      </c>
      <c r="H882" t="inlineStr"/>
      <c r="I882" t="inlineStr">
        <is>
          <t>HXP Can Directly Fix</t>
        </is>
      </c>
      <c r="J882" t="b">
        <v>0</v>
      </c>
      <c r="K882" t="n">
        <v>1</v>
      </c>
      <c r="L882" t="inlineStr"/>
      <c r="M882" t="inlineStr"/>
    </row>
    <row r="883">
      <c r="A883" t="inlineStr">
        <is>
          <t>No</t>
        </is>
      </c>
      <c r="B883" t="inlineStr"/>
      <c r="C883" t="inlineStr"/>
      <c r="D883" t="inlineStr"/>
      <c r="E883" t="inlineStr">
        <is>
          <t>Didn't know it was an option, money, time commitment</t>
        </is>
      </c>
      <c r="F883" t="inlineStr">
        <is>
          <t>Cost / Finances</t>
        </is>
      </c>
      <c r="G883" t="inlineStr">
        <is>
          <t>Cost / Finances; Work Schedule / Time Off; Not Aware It Was an Option</t>
        </is>
      </c>
      <c r="H883" t="inlineStr"/>
      <c r="I883" t="inlineStr">
        <is>
          <t>HXP Can Directly Fix</t>
        </is>
      </c>
      <c r="J883" t="b">
        <v>0</v>
      </c>
      <c r="K883" t="n">
        <v>3</v>
      </c>
      <c r="L883" t="inlineStr"/>
      <c r="M883" t="inlineStr"/>
    </row>
    <row r="884">
      <c r="A884" t="inlineStr">
        <is>
          <t>No</t>
        </is>
      </c>
      <c r="B884" t="inlineStr"/>
      <c r="C884" t="inlineStr"/>
      <c r="D884" t="inlineStr"/>
      <c r="E884" t="inlineStr">
        <is>
          <t>Wanted my child to have her own experience.</t>
        </is>
      </c>
      <c r="F884" t="inlineStr">
        <is>
          <t>Wants Child to Have Independent Experience</t>
        </is>
      </c>
      <c r="G884" t="inlineStr">
        <is>
          <t>Wants Child to Have Independent Experience</t>
        </is>
      </c>
      <c r="H884" t="inlineStr"/>
      <c r="I884" t="inlineStr">
        <is>
          <t>Family's Own Choice</t>
        </is>
      </c>
      <c r="J884" t="b">
        <v>0</v>
      </c>
      <c r="K884" t="n">
        <v>1</v>
      </c>
      <c r="L884" t="inlineStr"/>
      <c r="M884" t="inlineStr"/>
    </row>
    <row r="885">
      <c r="A885" t="inlineStr">
        <is>
          <t>No</t>
        </is>
      </c>
      <c r="B885" t="inlineStr"/>
      <c r="C885" t="inlineStr"/>
      <c r="D885" t="inlineStr"/>
      <c r="E885" t="inlineStr">
        <is>
          <t>Small children at home. The cost of a nanny while I am gone would be difficult to manage.</t>
        </is>
      </c>
      <c r="F885" t="inlineStr">
        <is>
          <t>Cost / Finances</t>
        </is>
      </c>
      <c r="G885" t="inlineStr">
        <is>
          <t>Cost / Finances; Other Kids / Family at Home</t>
        </is>
      </c>
      <c r="H885" t="inlineStr"/>
      <c r="I885" t="inlineStr">
        <is>
          <t>HXP Can Directly Fix</t>
        </is>
      </c>
      <c r="J885" t="b">
        <v>0</v>
      </c>
      <c r="K885" t="n">
        <v>2</v>
      </c>
      <c r="L885" t="inlineStr"/>
      <c r="M885" t="inlineStr"/>
    </row>
    <row r="886">
      <c r="A886" t="inlineStr">
        <is>
          <t>No</t>
        </is>
      </c>
      <c r="B886" t="inlineStr"/>
      <c r="C886" t="inlineStr"/>
      <c r="D886" t="inlineStr"/>
      <c r="E886" t="inlineStr">
        <is>
          <t>Cost and logistics of leaving my other children at home for that length of time</t>
        </is>
      </c>
      <c r="F886" t="inlineStr">
        <is>
          <t>Cost / Finances</t>
        </is>
      </c>
      <c r="G886" t="inlineStr">
        <is>
          <t>Cost / Finances; Work Schedule / Time Off; Other Kids / Family at Home</t>
        </is>
      </c>
      <c r="H886" t="inlineStr"/>
      <c r="I886" t="inlineStr">
        <is>
          <t>HXP Can Directly Fix</t>
        </is>
      </c>
      <c r="J886" t="b">
        <v>0</v>
      </c>
      <c r="K886" t="n">
        <v>3</v>
      </c>
      <c r="L886" t="inlineStr"/>
      <c r="M886" t="inlineStr"/>
    </row>
    <row r="887">
      <c r="A887" t="inlineStr">
        <is>
          <t>No</t>
        </is>
      </c>
      <c r="B887" t="inlineStr"/>
      <c r="C887" t="inlineStr"/>
      <c r="D887" t="inlineStr"/>
      <c r="E887" t="inlineStr">
        <is>
          <t>Expense</t>
        </is>
      </c>
      <c r="F887" t="inlineStr">
        <is>
          <t>Cost / Finances</t>
        </is>
      </c>
      <c r="G887" t="inlineStr">
        <is>
          <t>Cost / Finances</t>
        </is>
      </c>
      <c r="H887" t="inlineStr"/>
      <c r="I887" t="inlineStr">
        <is>
          <t>HXP Can Directly Fix</t>
        </is>
      </c>
      <c r="J887" t="b">
        <v>0</v>
      </c>
      <c r="K887" t="n">
        <v>1</v>
      </c>
      <c r="L887" t="inlineStr"/>
      <c r="M887" t="inlineStr"/>
    </row>
    <row r="888">
      <c r="A888" t="inlineStr">
        <is>
          <t>No</t>
        </is>
      </c>
      <c r="B888" t="inlineStr"/>
      <c r="C888" t="inlineStr"/>
      <c r="D888" t="inlineStr"/>
      <c r="E888" t="inlineStr">
        <is>
          <t>My son likes going without a parent there</t>
        </is>
      </c>
      <c r="F888" t="inlineStr">
        <is>
          <t>Wants Child to Have Independent Experience</t>
        </is>
      </c>
      <c r="G888" t="inlineStr">
        <is>
          <t>Wants Child to Have Independent Experience</t>
        </is>
      </c>
      <c r="H888" t="inlineStr"/>
      <c r="I888" t="inlineStr">
        <is>
          <t>Family's Own Choice</t>
        </is>
      </c>
      <c r="J888" t="b">
        <v>0</v>
      </c>
      <c r="K888" t="n">
        <v>1</v>
      </c>
      <c r="L888" t="inlineStr"/>
      <c r="M888" t="inlineStr"/>
    </row>
    <row r="889">
      <c r="A889" t="inlineStr">
        <is>
          <t>No</t>
        </is>
      </c>
      <c r="B889" t="inlineStr"/>
      <c r="C889" t="inlineStr"/>
      <c r="D889" t="inlineStr"/>
      <c r="E889" t="inlineStr">
        <is>
          <t>My son didn't want me on the trip.</t>
        </is>
      </c>
      <c r="F889" t="inlineStr">
        <is>
          <t>Child Didn't Want Parent to Come</t>
        </is>
      </c>
      <c r="G889" t="inlineStr">
        <is>
          <t>Child Didn't Want Parent to Come</t>
        </is>
      </c>
      <c r="H889" t="inlineStr"/>
      <c r="I889" t="inlineStr">
        <is>
          <t>Family's Own Choice</t>
        </is>
      </c>
      <c r="J889" t="b">
        <v>0</v>
      </c>
      <c r="K889" t="n">
        <v>1</v>
      </c>
      <c r="L889" t="inlineStr"/>
      <c r="M889" t="inlineStr"/>
    </row>
    <row r="890">
      <c r="A890" t="inlineStr">
        <is>
          <t>No</t>
        </is>
      </c>
      <c r="B890" t="inlineStr"/>
      <c r="C890" t="inlineStr"/>
      <c r="D890" t="inlineStr"/>
      <c r="E890" t="inlineStr">
        <is>
          <t>I work full time and just don't have the time, otherwise I would go.</t>
        </is>
      </c>
      <c r="F890" t="inlineStr">
        <is>
          <t>Work Schedule / Time Off</t>
        </is>
      </c>
      <c r="G890" t="inlineStr">
        <is>
          <t>Work Schedule / Time Off</t>
        </is>
      </c>
      <c r="H890" t="inlineStr"/>
      <c r="I890" t="inlineStr">
        <is>
          <t>HXP Can Influence</t>
        </is>
      </c>
      <c r="J890" t="b">
        <v>0</v>
      </c>
      <c r="K890" t="n">
        <v>1</v>
      </c>
      <c r="L890" t="inlineStr"/>
      <c r="M890" t="inlineStr"/>
    </row>
    <row r="891">
      <c r="A891" t="inlineStr">
        <is>
          <t>No</t>
        </is>
      </c>
      <c r="B891" t="inlineStr"/>
      <c r="C891" t="inlineStr"/>
      <c r="D891" t="inlineStr"/>
      <c r="E891" t="inlineStr">
        <is>
          <t>Time away from my other kids</t>
        </is>
      </c>
      <c r="F891" t="inlineStr">
        <is>
          <t>Work Schedule / Time Off</t>
        </is>
      </c>
      <c r="G891" t="inlineStr">
        <is>
          <t>Work Schedule / Time Off; Other Kids / Family at Home</t>
        </is>
      </c>
      <c r="H891" t="inlineStr"/>
      <c r="I891" t="inlineStr">
        <is>
          <t>HXP Can Influence</t>
        </is>
      </c>
      <c r="J891" t="b">
        <v>0</v>
      </c>
      <c r="K891" t="n">
        <v>2</v>
      </c>
      <c r="L891" t="inlineStr"/>
      <c r="M891" t="inlineStr"/>
    </row>
    <row r="892">
      <c r="A892" t="inlineStr">
        <is>
          <t>No</t>
        </is>
      </c>
      <c r="B892" t="inlineStr"/>
      <c r="C892" t="inlineStr"/>
      <c r="D892" t="inlineStr"/>
      <c r="E892" t="inlineStr">
        <is>
          <t>I'm busy working.</t>
        </is>
      </c>
      <c r="F892" t="inlineStr">
        <is>
          <t>Work Schedule / Time Off</t>
        </is>
      </c>
      <c r="G892" t="inlineStr">
        <is>
          <t>Work Schedule / Time Off</t>
        </is>
      </c>
      <c r="H892" t="inlineStr"/>
      <c r="I892" t="inlineStr">
        <is>
          <t>HXP Can Influence</t>
        </is>
      </c>
      <c r="J892" t="b">
        <v>0</v>
      </c>
      <c r="K892" t="n">
        <v>1</v>
      </c>
      <c r="L892" t="inlineStr"/>
      <c r="M892" t="inlineStr"/>
    </row>
    <row r="893">
      <c r="A893" t="inlineStr">
        <is>
          <t>No</t>
        </is>
      </c>
      <c r="B893" t="inlineStr"/>
      <c r="C893" t="inlineStr"/>
      <c r="D893" t="inlineStr"/>
      <c r="E893" t="inlineStr"/>
      <c r="F893" t="inlineStr"/>
      <c r="G893" t="inlineStr"/>
      <c r="H893" t="inlineStr"/>
      <c r="I893" t="inlineStr"/>
      <c r="J893" t="b">
        <v>0</v>
      </c>
      <c r="K893" t="n">
        <v>0</v>
      </c>
      <c r="L893" t="inlineStr"/>
      <c r="M893" t="inlineStr"/>
    </row>
    <row r="894">
      <c r="A894" t="inlineStr">
        <is>
          <t>No</t>
        </is>
      </c>
      <c r="B894" t="inlineStr"/>
      <c r="C894" t="inlineStr"/>
      <c r="D894" t="inlineStr"/>
      <c r="E894" t="inlineStr">
        <is>
          <t>Money. Time away from work</t>
        </is>
      </c>
      <c r="F894" t="inlineStr">
        <is>
          <t>Cost / Finances</t>
        </is>
      </c>
      <c r="G894" t="inlineStr">
        <is>
          <t>Cost / Finances; Work Schedule / Time Off</t>
        </is>
      </c>
      <c r="H894" t="inlineStr"/>
      <c r="I894" t="inlineStr">
        <is>
          <t>HXP Can Directly Fix</t>
        </is>
      </c>
      <c r="J894" t="b">
        <v>0</v>
      </c>
      <c r="K894" t="n">
        <v>2</v>
      </c>
      <c r="L894" t="inlineStr"/>
      <c r="M894" t="inlineStr"/>
    </row>
    <row r="895">
      <c r="A895" t="inlineStr">
        <is>
          <t>No</t>
        </is>
      </c>
      <c r="B895" t="inlineStr"/>
      <c r="C895" t="inlineStr"/>
      <c r="D895" t="inlineStr"/>
      <c r="E895" t="inlineStr">
        <is>
          <t>My child would like to have their own experience away from home.</t>
        </is>
      </c>
      <c r="F895" t="inlineStr">
        <is>
          <t>Other Kids / Family at Home</t>
        </is>
      </c>
      <c r="G895" t="inlineStr">
        <is>
          <t>Other Kids / Family at Home; Wants Child to Have Independent Experience</t>
        </is>
      </c>
      <c r="H895" t="inlineStr"/>
      <c r="I895" t="inlineStr">
        <is>
          <t>Family's Own Choice</t>
        </is>
      </c>
      <c r="J895" t="b">
        <v>0</v>
      </c>
      <c r="K895" t="n">
        <v>2</v>
      </c>
      <c r="L895" t="inlineStr"/>
      <c r="M895" t="inlineStr"/>
    </row>
    <row r="896">
      <c r="A896" t="inlineStr">
        <is>
          <t>No</t>
        </is>
      </c>
      <c r="B896" t="inlineStr"/>
      <c r="C896" t="inlineStr"/>
      <c r="D896" t="inlineStr"/>
      <c r="E896" t="inlineStr">
        <is>
          <t>Other kids at home</t>
        </is>
      </c>
      <c r="F896" t="inlineStr">
        <is>
          <t>Other Kids / Family at Home</t>
        </is>
      </c>
      <c r="G896" t="inlineStr">
        <is>
          <t>Other Kids / Family at Home</t>
        </is>
      </c>
      <c r="H896" t="inlineStr"/>
      <c r="I896" t="inlineStr">
        <is>
          <t>Family's Own Choice</t>
        </is>
      </c>
      <c r="J896" t="b">
        <v>0</v>
      </c>
      <c r="K896" t="n">
        <v>1</v>
      </c>
      <c r="L896" t="inlineStr"/>
      <c r="M896" t="inlineStr"/>
    </row>
    <row r="897">
      <c r="A897" t="inlineStr">
        <is>
          <t>No</t>
        </is>
      </c>
      <c r="B897" t="inlineStr"/>
      <c r="C897" t="inlineStr"/>
      <c r="D897" t="inlineStr"/>
      <c r="E897" t="inlineStr">
        <is>
          <t>I wanted my child to have the experience of doing it alone!</t>
        </is>
      </c>
      <c r="F897" t="inlineStr">
        <is>
          <t>Wants Child to Have Independent Experience</t>
        </is>
      </c>
      <c r="G897" t="inlineStr">
        <is>
          <t>Wants Child to Have Independent Experience</t>
        </is>
      </c>
      <c r="H897" t="inlineStr"/>
      <c r="I897" t="inlineStr">
        <is>
          <t>Family's Own Choice</t>
        </is>
      </c>
      <c r="J897" t="b">
        <v>0</v>
      </c>
      <c r="K897" t="n">
        <v>1</v>
      </c>
      <c r="L897" t="inlineStr"/>
      <c r="M897" t="inlineStr"/>
    </row>
    <row r="898">
      <c r="A898" t="inlineStr">
        <is>
          <t>No</t>
        </is>
      </c>
      <c r="B898" t="inlineStr"/>
      <c r="C898" t="inlineStr"/>
      <c r="D898" t="inlineStr"/>
      <c r="E898" t="inlineStr">
        <is>
          <t>My schedule doesn't work</t>
        </is>
      </c>
      <c r="F898" t="inlineStr">
        <is>
          <t>Work Schedule / Time Off</t>
        </is>
      </c>
      <c r="G898" t="inlineStr">
        <is>
          <t>Work Schedule / Time Off</t>
        </is>
      </c>
      <c r="H898" t="inlineStr"/>
      <c r="I898" t="inlineStr">
        <is>
          <t>HXP Can Influence</t>
        </is>
      </c>
      <c r="J898" t="b">
        <v>0</v>
      </c>
      <c r="K898" t="n">
        <v>1</v>
      </c>
      <c r="L898" t="inlineStr"/>
      <c r="M898" t="inlineStr"/>
    </row>
    <row r="899">
      <c r="A899" t="inlineStr">
        <is>
          <t>No</t>
        </is>
      </c>
      <c r="B899" t="inlineStr"/>
      <c r="C899" t="inlineStr"/>
      <c r="D899" t="inlineStr"/>
      <c r="E899" t="inlineStr">
        <is>
          <t>My oldest daughter is leaving for her mission during the trip</t>
        </is>
      </c>
      <c r="F899" t="inlineStr">
        <is>
          <t>Other Life Commitment</t>
        </is>
      </c>
      <c r="G899" t="inlineStr">
        <is>
          <t>Other Life Commitment</t>
        </is>
      </c>
      <c r="H899" t="inlineStr"/>
      <c r="I899" t="inlineStr">
        <is>
          <t>Family's Own Choice</t>
        </is>
      </c>
      <c r="J899" t="b">
        <v>0</v>
      </c>
      <c r="K899" t="n">
        <v>1</v>
      </c>
      <c r="L899" t="inlineStr"/>
      <c r="M899" t="inlineStr"/>
    </row>
    <row r="900">
      <c r="A900" t="inlineStr">
        <is>
          <t>No</t>
        </is>
      </c>
      <c r="B900" t="inlineStr"/>
      <c r="C900" t="inlineStr"/>
      <c r="D900" t="inlineStr"/>
      <c r="E900" t="inlineStr">
        <is>
          <t>Money</t>
        </is>
      </c>
      <c r="F900" t="inlineStr">
        <is>
          <t>Cost / Finances</t>
        </is>
      </c>
      <c r="G900" t="inlineStr">
        <is>
          <t>Cost / Finances</t>
        </is>
      </c>
      <c r="H900" t="inlineStr"/>
      <c r="I900" t="inlineStr">
        <is>
          <t>HXP Can Directly Fix</t>
        </is>
      </c>
      <c r="J900" t="b">
        <v>0</v>
      </c>
      <c r="K900" t="n">
        <v>1</v>
      </c>
      <c r="L900" t="inlineStr"/>
      <c r="M900" t="inlineStr"/>
    </row>
    <row r="901">
      <c r="A901" t="inlineStr">
        <is>
          <t>Yes</t>
        </is>
      </c>
      <c r="B901" t="inlineStr">
        <is>
          <t>My daughter asked for me to come and this will be the last summer before she graduates from HS.</t>
        </is>
      </c>
      <c r="C901" t="inlineStr">
        <is>
          <t>Child/Spouse Asked Them to Go</t>
        </is>
      </c>
      <c r="D901" t="inlineStr">
        <is>
          <t>Child/Spouse Asked Them to Go</t>
        </is>
      </c>
      <c r="E901" t="inlineStr"/>
      <c r="F901" t="inlineStr"/>
      <c r="G901" t="inlineStr"/>
      <c r="H901" t="inlineStr"/>
      <c r="I901" t="inlineStr"/>
      <c r="J901" t="b">
        <v>0</v>
      </c>
      <c r="K901" t="n">
        <v>0</v>
      </c>
      <c r="L901" t="inlineStr"/>
      <c r="M901" t="inlineStr"/>
    </row>
    <row r="902">
      <c r="A902" t="inlineStr">
        <is>
          <t>No</t>
        </is>
      </c>
      <c r="B902" t="inlineStr"/>
      <c r="C902" t="inlineStr"/>
      <c r="D902" t="inlineStr"/>
      <c r="E902" t="inlineStr">
        <is>
          <t>More kids at home</t>
        </is>
      </c>
      <c r="F902" t="inlineStr">
        <is>
          <t>Other Kids / Family at Home</t>
        </is>
      </c>
      <c r="G902" t="inlineStr">
        <is>
          <t>Other Kids / Family at Home</t>
        </is>
      </c>
      <c r="H902" t="inlineStr"/>
      <c r="I902" t="inlineStr">
        <is>
          <t>Family's Own Choice</t>
        </is>
      </c>
      <c r="J902" t="b">
        <v>0</v>
      </c>
      <c r="K902" t="n">
        <v>1</v>
      </c>
      <c r="L902" t="inlineStr"/>
      <c r="M902" t="inlineStr"/>
    </row>
    <row r="903">
      <c r="A903" t="inlineStr">
        <is>
          <t>No</t>
        </is>
      </c>
      <c r="B903" t="inlineStr"/>
      <c r="C903" t="inlineStr"/>
      <c r="D903" t="inlineStr"/>
      <c r="E903" t="inlineStr">
        <is>
          <t>Couldn't take the time off, younger siblings at home.</t>
        </is>
      </c>
      <c r="F903" t="inlineStr">
        <is>
          <t>Work Schedule / Time Off</t>
        </is>
      </c>
      <c r="G903" t="inlineStr">
        <is>
          <t>Work Schedule / Time Off; Other Kids / Family at Home</t>
        </is>
      </c>
      <c r="H903" t="inlineStr"/>
      <c r="I903" t="inlineStr">
        <is>
          <t>HXP Can Influence</t>
        </is>
      </c>
      <c r="J903" t="b">
        <v>0</v>
      </c>
      <c r="K903" t="n">
        <v>2</v>
      </c>
      <c r="L903" t="inlineStr"/>
      <c r="M903" t="inlineStr"/>
    </row>
    <row r="904">
      <c r="A904" t="inlineStr">
        <is>
          <t>No</t>
        </is>
      </c>
      <c r="B904" t="inlineStr"/>
      <c r="C904" t="inlineStr"/>
      <c r="D904" t="inlineStr"/>
      <c r="E904" t="inlineStr">
        <is>
          <t>My son needs to be on a trip without me.</t>
        </is>
      </c>
      <c r="F904" t="inlineStr">
        <is>
          <t>Wants Child to Have Independent Experience</t>
        </is>
      </c>
      <c r="G904" t="inlineStr">
        <is>
          <t>Wants Child to Have Independent Experience</t>
        </is>
      </c>
      <c r="H904" t="inlineStr"/>
      <c r="I904" t="inlineStr">
        <is>
          <t>Family's Own Choice</t>
        </is>
      </c>
      <c r="J904" t="b">
        <v>0</v>
      </c>
      <c r="K904" t="n">
        <v>1</v>
      </c>
      <c r="L904" t="inlineStr"/>
      <c r="M904" t="inlineStr"/>
    </row>
    <row r="905">
      <c r="A905" t="inlineStr">
        <is>
          <t>Yes</t>
        </is>
      </c>
      <c r="B905" t="inlineStr">
        <is>
          <t>I was asked by the trip leader if I could go.</t>
        </is>
      </c>
      <c r="C905" t="inlineStr">
        <is>
          <t>Personally Invited by HXP Staff/Trip Leader</t>
        </is>
      </c>
      <c r="D905" t="inlineStr">
        <is>
          <t>Personally Invited by HXP Staff/Trip Leader</t>
        </is>
      </c>
      <c r="E905" t="inlineStr"/>
      <c r="F905" t="inlineStr"/>
      <c r="G905" t="inlineStr"/>
      <c r="H905" t="inlineStr"/>
      <c r="I905" t="inlineStr"/>
      <c r="J905" t="b">
        <v>0</v>
      </c>
      <c r="K905" t="n">
        <v>0</v>
      </c>
      <c r="L905" t="inlineStr"/>
      <c r="M905" t="inlineStr"/>
    </row>
    <row r="906">
      <c r="A906" t="inlineStr">
        <is>
          <t>No</t>
        </is>
      </c>
      <c r="B906" t="inlineStr"/>
      <c r="C906" t="inlineStr"/>
      <c r="D906" t="inlineStr"/>
      <c r="E906" t="inlineStr">
        <is>
          <t>Wanted my child to have the experience without me overseeing</t>
        </is>
      </c>
      <c r="F906" t="inlineStr">
        <is>
          <t>Wants Child to Have Independent Experience</t>
        </is>
      </c>
      <c r="G906" t="inlineStr">
        <is>
          <t>Wants Child to Have Independent Experience</t>
        </is>
      </c>
      <c r="H906" t="inlineStr"/>
      <c r="I906" t="inlineStr">
        <is>
          <t>Family's Own Choice</t>
        </is>
      </c>
      <c r="J906" t="b">
        <v>0</v>
      </c>
      <c r="K906" t="n">
        <v>1</v>
      </c>
      <c r="L906" t="inlineStr"/>
      <c r="M906" t="inlineStr"/>
    </row>
    <row r="907">
      <c r="A907" t="inlineStr">
        <is>
          <t>No</t>
        </is>
      </c>
      <c r="B907" t="inlineStr"/>
      <c r="C907" t="inlineStr"/>
      <c r="D907" t="inlineStr"/>
      <c r="E907" t="inlineStr">
        <is>
          <t>Child care for other kids</t>
        </is>
      </c>
      <c r="F907" t="inlineStr">
        <is>
          <t>Other Kids / Family at Home</t>
        </is>
      </c>
      <c r="G907" t="inlineStr">
        <is>
          <t>Other Kids / Family at Home</t>
        </is>
      </c>
      <c r="H907" t="inlineStr"/>
      <c r="I907" t="inlineStr">
        <is>
          <t>Family's Own Choice</t>
        </is>
      </c>
      <c r="J907" t="b">
        <v>0</v>
      </c>
      <c r="K907" t="n">
        <v>1</v>
      </c>
      <c r="L907" t="inlineStr"/>
      <c r="M907" t="inlineStr"/>
    </row>
    <row r="908">
      <c r="A908" t="inlineStr">
        <is>
          <t>No</t>
        </is>
      </c>
      <c r="B908" t="inlineStr"/>
      <c r="C908" t="inlineStr"/>
      <c r="D908" t="inlineStr"/>
      <c r="E908" t="inlineStr">
        <is>
          <t>I have had three other children participate in this experience and it has always been great!</t>
        </is>
      </c>
      <c r="F908" t="inlineStr">
        <is>
          <t>Other Kids / Family at Home</t>
        </is>
      </c>
      <c r="G908" t="inlineStr">
        <is>
          <t>Other Kids / Family at Home; Wants Child to Have Independent Experience</t>
        </is>
      </c>
      <c r="H908" t="inlineStr"/>
      <c r="I908" t="inlineStr">
        <is>
          <t>Family's Own Choice</t>
        </is>
      </c>
      <c r="J908" t="b">
        <v>0</v>
      </c>
      <c r="K908" t="n">
        <v>2</v>
      </c>
      <c r="L908" t="inlineStr"/>
      <c r="M908" t="inlineStr"/>
    </row>
    <row r="909">
      <c r="A909" t="inlineStr">
        <is>
          <t>Yes</t>
        </is>
      </c>
      <c r="B909" t="inlineStr">
        <is>
          <t>My daughter and wife</t>
        </is>
      </c>
      <c r="C909" t="inlineStr">
        <is>
          <t>Family Member Was the Reason (No Elaboration)</t>
        </is>
      </c>
      <c r="D909" t="inlineStr">
        <is>
          <t>Family Member Was the Reason (No Elaboration)</t>
        </is>
      </c>
      <c r="E909" t="inlineStr"/>
      <c r="F909" t="inlineStr"/>
      <c r="G909" t="inlineStr"/>
      <c r="H909" t="inlineStr"/>
      <c r="I909" t="inlineStr"/>
      <c r="J909" t="b">
        <v>0</v>
      </c>
      <c r="K909" t="n">
        <v>0</v>
      </c>
      <c r="L909" t="inlineStr"/>
      <c r="M909" t="inlineStr"/>
    </row>
    <row r="910">
      <c r="A910" t="inlineStr">
        <is>
          <t>No</t>
        </is>
      </c>
      <c r="B910" t="inlineStr"/>
      <c r="C910" t="inlineStr"/>
      <c r="D910" t="inlineStr"/>
      <c r="E910" t="inlineStr">
        <is>
          <t>My daughter did not want me to go.</t>
        </is>
      </c>
      <c r="F910" t="inlineStr">
        <is>
          <t>Child Didn't Want Parent to Come</t>
        </is>
      </c>
      <c r="G910" t="inlineStr">
        <is>
          <t>Child Didn't Want Parent to Come</t>
        </is>
      </c>
      <c r="H910" t="inlineStr"/>
      <c r="I910" t="inlineStr">
        <is>
          <t>Family's Own Choice</t>
        </is>
      </c>
      <c r="J910" t="b">
        <v>0</v>
      </c>
      <c r="K910" t="n">
        <v>1</v>
      </c>
      <c r="L910" t="inlineStr"/>
      <c r="M910" t="inlineStr"/>
    </row>
    <row r="911">
      <c r="A911" t="inlineStr">
        <is>
          <t>No</t>
        </is>
      </c>
      <c r="B911" t="inlineStr"/>
      <c r="C911" t="inlineStr"/>
      <c r="D911" t="inlineStr"/>
      <c r="E911" t="inlineStr">
        <is>
          <t>Kids at home</t>
        </is>
      </c>
      <c r="F911" t="inlineStr">
        <is>
          <t>Other Kids / Family at Home</t>
        </is>
      </c>
      <c r="G911" t="inlineStr">
        <is>
          <t>Other Kids / Family at Home</t>
        </is>
      </c>
      <c r="H911" t="inlineStr"/>
      <c r="I911" t="inlineStr">
        <is>
          <t>Family's Own Choice</t>
        </is>
      </c>
      <c r="J911" t="b">
        <v>0</v>
      </c>
      <c r="K911" t="n">
        <v>1</v>
      </c>
      <c r="L911" t="inlineStr"/>
      <c r="M911" t="inlineStr"/>
    </row>
    <row r="912">
      <c r="A912" t="inlineStr">
        <is>
          <t>No</t>
        </is>
      </c>
      <c r="B912" t="inlineStr"/>
      <c r="C912" t="inlineStr"/>
      <c r="D912" t="inlineStr"/>
      <c r="E912" t="inlineStr">
        <is>
          <t>Did it before - amazing experience</t>
        </is>
      </c>
      <c r="F912" t="inlineStr">
        <is>
          <t>Wants Child to Have Independent Experience</t>
        </is>
      </c>
      <c r="G912" t="inlineStr">
        <is>
          <t>Wants Child to Have Independent Experience</t>
        </is>
      </c>
      <c r="H912" t="inlineStr"/>
      <c r="I912" t="inlineStr">
        <is>
          <t>Family's Own Choice</t>
        </is>
      </c>
      <c r="J912" t="b">
        <v>0</v>
      </c>
      <c r="K912" t="n">
        <v>1</v>
      </c>
      <c r="L912" t="inlineStr"/>
      <c r="M912" t="inlineStr"/>
    </row>
    <row r="913">
      <c r="A913" t="inlineStr">
        <is>
          <t>No</t>
        </is>
      </c>
      <c r="B913" t="inlineStr"/>
      <c r="C913" t="inlineStr"/>
      <c r="D913" t="inlineStr"/>
      <c r="E913" t="inlineStr">
        <is>
          <t>four younger children</t>
        </is>
      </c>
      <c r="F913" t="inlineStr">
        <is>
          <t>Other Kids / Family at Home</t>
        </is>
      </c>
      <c r="G913" t="inlineStr">
        <is>
          <t>Other Kids / Family at Home</t>
        </is>
      </c>
      <c r="H913" t="inlineStr"/>
      <c r="I913" t="inlineStr">
        <is>
          <t>Family's Own Choice</t>
        </is>
      </c>
      <c r="J913" t="b">
        <v>0</v>
      </c>
      <c r="K913" t="n">
        <v>1</v>
      </c>
      <c r="L913" t="inlineStr"/>
      <c r="M913" t="inlineStr"/>
    </row>
    <row r="914">
      <c r="A914" t="inlineStr">
        <is>
          <t>No</t>
        </is>
      </c>
      <c r="B914" t="inlineStr"/>
      <c r="C914" t="inlineStr"/>
      <c r="D914" t="inlineStr"/>
      <c r="E914" t="inlineStr">
        <is>
          <t>Don't have time to be gone that long</t>
        </is>
      </c>
      <c r="F914" t="inlineStr">
        <is>
          <t>Work Schedule / Time Off</t>
        </is>
      </c>
      <c r="G914" t="inlineStr">
        <is>
          <t>Work Schedule / Time Off</t>
        </is>
      </c>
      <c r="H914" t="inlineStr"/>
      <c r="I914" t="inlineStr">
        <is>
          <t>HXP Can Influence</t>
        </is>
      </c>
      <c r="J914" t="b">
        <v>0</v>
      </c>
      <c r="K914" t="n">
        <v>1</v>
      </c>
      <c r="L914" t="inlineStr"/>
      <c r="M914" t="inlineStr"/>
    </row>
    <row r="915">
      <c r="A915" t="inlineStr">
        <is>
          <t>No</t>
        </is>
      </c>
      <c r="B915" t="inlineStr"/>
      <c r="C915" t="inlineStr"/>
      <c r="D915" t="inlineStr"/>
      <c r="E915" t="inlineStr"/>
      <c r="F915" t="inlineStr"/>
      <c r="G915" t="inlineStr"/>
      <c r="H915" t="inlineStr"/>
      <c r="I915" t="inlineStr"/>
      <c r="J915" t="b">
        <v>0</v>
      </c>
      <c r="K915" t="n">
        <v>0</v>
      </c>
      <c r="L915" t="inlineStr"/>
      <c r="M915" t="inlineStr"/>
    </row>
    <row r="916">
      <c r="A916" t="inlineStr">
        <is>
          <t>No</t>
        </is>
      </c>
      <c r="B916" t="inlineStr"/>
      <c r="C916" t="inlineStr"/>
      <c r="D916" t="inlineStr"/>
      <c r="E916" t="inlineStr">
        <is>
          <t>Too long being away from home</t>
        </is>
      </c>
      <c r="F916" t="inlineStr">
        <is>
          <t>Other Kids / Family at Home</t>
        </is>
      </c>
      <c r="G916" t="inlineStr">
        <is>
          <t>Other Kids / Family at Home</t>
        </is>
      </c>
      <c r="H916" t="inlineStr"/>
      <c r="I916" t="inlineStr">
        <is>
          <t>Family's Own Choice</t>
        </is>
      </c>
      <c r="J916" t="b">
        <v>0</v>
      </c>
      <c r="K916" t="n">
        <v>1</v>
      </c>
      <c r="L916" t="inlineStr"/>
      <c r="M916" t="inlineStr"/>
    </row>
    <row r="917">
      <c r="A917" t="inlineStr">
        <is>
          <t>Yes</t>
        </is>
      </c>
      <c r="B917" t="inlineStr">
        <is>
          <t>Love the youth and quality time with our children.</t>
        </is>
      </c>
      <c r="C917" t="inlineStr">
        <is>
          <t>Wanted Shared Experience with Child</t>
        </is>
      </c>
      <c r="D917" t="inlineStr">
        <is>
          <t>Wanted Shared Experience with Child</t>
        </is>
      </c>
      <c r="E917" t="inlineStr"/>
      <c r="F917" t="inlineStr"/>
      <c r="G917" t="inlineStr"/>
      <c r="H917" t="inlineStr"/>
      <c r="I917" t="inlineStr"/>
      <c r="J917" t="b">
        <v>0</v>
      </c>
      <c r="K917" t="n">
        <v>0</v>
      </c>
      <c r="L917" t="inlineStr"/>
      <c r="M917" t="inlineStr"/>
    </row>
    <row r="918">
      <c r="A918" t="inlineStr">
        <is>
          <t>No</t>
        </is>
      </c>
      <c r="B918" t="inlineStr"/>
      <c r="C918" t="inlineStr"/>
      <c r="D918" t="inlineStr"/>
      <c r="E918" t="inlineStr">
        <is>
          <t>My son needs to have his own experience</t>
        </is>
      </c>
      <c r="F918" t="inlineStr">
        <is>
          <t>Wants Child to Have Independent Experience</t>
        </is>
      </c>
      <c r="G918" t="inlineStr">
        <is>
          <t>Wants Child to Have Independent Experience</t>
        </is>
      </c>
      <c r="H918" t="inlineStr"/>
      <c r="I918" t="inlineStr">
        <is>
          <t>Family's Own Choice</t>
        </is>
      </c>
      <c r="J918" t="b">
        <v>0</v>
      </c>
      <c r="K918" t="n">
        <v>1</v>
      </c>
      <c r="L918" t="inlineStr"/>
      <c r="M918" t="inlineStr"/>
    </row>
    <row r="919">
      <c r="A919" t="inlineStr">
        <is>
          <t>No</t>
        </is>
      </c>
      <c r="B919" t="inlineStr"/>
      <c r="C919" t="inlineStr"/>
      <c r="D919" t="inlineStr"/>
      <c r="E919" t="inlineStr">
        <is>
          <t>Work</t>
        </is>
      </c>
      <c r="F919" t="inlineStr">
        <is>
          <t>Work Schedule / Time Off</t>
        </is>
      </c>
      <c r="G919" t="inlineStr">
        <is>
          <t>Work Schedule / Time Off</t>
        </is>
      </c>
      <c r="H919" t="inlineStr"/>
      <c r="I919" t="inlineStr">
        <is>
          <t>HXP Can Influence</t>
        </is>
      </c>
      <c r="J919" t="b">
        <v>0</v>
      </c>
      <c r="K919" t="n">
        <v>1</v>
      </c>
      <c r="L919" t="inlineStr"/>
      <c r="M919" t="inlineStr"/>
    </row>
    <row r="920">
      <c r="A920" t="inlineStr">
        <is>
          <t>No</t>
        </is>
      </c>
      <c r="B920" t="inlineStr"/>
      <c r="C920" t="inlineStr"/>
      <c r="D920" t="inlineStr"/>
      <c r="E920" t="inlineStr">
        <is>
          <t>I have another son with special needs that I need to care for and the other parent is a surgeon who can't take time off work for that long.</t>
        </is>
      </c>
      <c r="F920" t="inlineStr">
        <is>
          <t>Work Schedule / Time Off</t>
        </is>
      </c>
      <c r="G920" t="inlineStr">
        <is>
          <t>Work Schedule / Time Off; Other Kids / Family at Home</t>
        </is>
      </c>
      <c r="H920" t="inlineStr"/>
      <c r="I920" t="inlineStr">
        <is>
          <t>HXP Can Influence</t>
        </is>
      </c>
      <c r="J920" t="b">
        <v>0</v>
      </c>
      <c r="K920" t="n">
        <v>2</v>
      </c>
      <c r="L920" t="inlineStr"/>
      <c r="M920" t="inlineStr"/>
    </row>
    <row r="921">
      <c r="A921" t="inlineStr">
        <is>
          <t>No</t>
        </is>
      </c>
      <c r="B921" t="inlineStr"/>
      <c r="C921" t="inlineStr"/>
      <c r="D921" t="inlineStr"/>
      <c r="E921" t="inlineStr">
        <is>
          <t>Other children at home to care for</t>
        </is>
      </c>
      <c r="F921" t="inlineStr">
        <is>
          <t>Other Kids / Family at Home</t>
        </is>
      </c>
      <c r="G921" t="inlineStr">
        <is>
          <t>Other Kids / Family at Home</t>
        </is>
      </c>
      <c r="H921" t="inlineStr"/>
      <c r="I921" t="inlineStr">
        <is>
          <t>Family's Own Choice</t>
        </is>
      </c>
      <c r="J921" t="b">
        <v>0</v>
      </c>
      <c r="K921" t="n">
        <v>1</v>
      </c>
      <c r="L921" t="inlineStr"/>
      <c r="M921" t="inlineStr"/>
    </row>
    <row r="922">
      <c r="A922" t="inlineStr">
        <is>
          <t>No</t>
        </is>
      </c>
      <c r="B922" t="inlineStr"/>
      <c r="C922" t="inlineStr"/>
      <c r="D922" t="inlineStr"/>
      <c r="E922" t="inlineStr">
        <is>
          <t>Too much time away from my other kids.</t>
        </is>
      </c>
      <c r="F922" t="inlineStr">
        <is>
          <t>Work Schedule / Time Off</t>
        </is>
      </c>
      <c r="G922" t="inlineStr">
        <is>
          <t>Work Schedule / Time Off; Other Kids / Family at Home</t>
        </is>
      </c>
      <c r="H922" t="inlineStr"/>
      <c r="I922" t="inlineStr">
        <is>
          <t>HXP Can Influence</t>
        </is>
      </c>
      <c r="J922" t="b">
        <v>0</v>
      </c>
      <c r="K922" t="n">
        <v>2</v>
      </c>
      <c r="L922" t="inlineStr"/>
      <c r="M922" t="inlineStr"/>
    </row>
    <row r="923">
      <c r="A923" t="inlineStr">
        <is>
          <t>No</t>
        </is>
      </c>
      <c r="B923" t="inlineStr"/>
      <c r="C923" t="inlineStr"/>
      <c r="D923" t="inlineStr"/>
      <c r="E923" t="inlineStr">
        <is>
          <t>Wanted my daughter to have her own experience. Would like to go in future, but a little too pricey to help her and me go.</t>
        </is>
      </c>
      <c r="F923" t="inlineStr">
        <is>
          <t>Wants Child to Have Independent Experience</t>
        </is>
      </c>
      <c r="G923" t="inlineStr">
        <is>
          <t>Wants Child to Have Independent Experience</t>
        </is>
      </c>
      <c r="H923" t="inlineStr"/>
      <c r="I923" t="inlineStr">
        <is>
          <t>Family's Own Choice</t>
        </is>
      </c>
      <c r="J923" t="b">
        <v>1</v>
      </c>
      <c r="K923" t="n">
        <v>1</v>
      </c>
      <c r="L923" t="inlineStr"/>
      <c r="M923" t="inlineStr"/>
    </row>
    <row r="924">
      <c r="A924" t="inlineStr">
        <is>
          <t>No</t>
        </is>
      </c>
      <c r="B924" t="inlineStr"/>
      <c r="C924" t="inlineStr"/>
      <c r="D924" t="inlineStr"/>
      <c r="E924" t="inlineStr">
        <is>
          <t>Cost</t>
        </is>
      </c>
      <c r="F924" t="inlineStr">
        <is>
          <t>Cost / Finances</t>
        </is>
      </c>
      <c r="G924" t="inlineStr">
        <is>
          <t>Cost / Finances</t>
        </is>
      </c>
      <c r="H924" t="inlineStr"/>
      <c r="I924" t="inlineStr">
        <is>
          <t>HXP Can Directly Fix</t>
        </is>
      </c>
      <c r="J924" t="b">
        <v>0</v>
      </c>
      <c r="K924" t="n">
        <v>1</v>
      </c>
      <c r="L924" t="inlineStr"/>
      <c r="M924" t="inlineStr"/>
    </row>
    <row r="925">
      <c r="A925" t="inlineStr">
        <is>
          <t>No</t>
        </is>
      </c>
      <c r="B925" t="inlineStr"/>
      <c r="C925" t="inlineStr"/>
      <c r="D925" t="inlineStr"/>
      <c r="E925" t="inlineStr">
        <is>
          <t>My daughter wanted this to be HER experience away from home.</t>
        </is>
      </c>
      <c r="F925" t="inlineStr">
        <is>
          <t>Other Kids / Family at Home</t>
        </is>
      </c>
      <c r="G925" t="inlineStr">
        <is>
          <t>Other Kids / Family at Home; Wants Child to Have Independent Experience</t>
        </is>
      </c>
      <c r="H925" t="inlineStr"/>
      <c r="I925" t="inlineStr">
        <is>
          <t>Family's Own Choice</t>
        </is>
      </c>
      <c r="J925" t="b">
        <v>0</v>
      </c>
      <c r="K925" t="n">
        <v>2</v>
      </c>
      <c r="L925" t="inlineStr"/>
      <c r="M925" t="inlineStr"/>
    </row>
    <row r="926">
      <c r="A926" t="inlineStr">
        <is>
          <t>No</t>
        </is>
      </c>
      <c r="B926" t="inlineStr"/>
      <c r="C926" t="inlineStr"/>
      <c r="D926" t="inlineStr"/>
      <c r="E926" t="inlineStr">
        <is>
          <t>Want to go next year when our youngest can be on the trip with us.</t>
        </is>
      </c>
      <c r="F926" t="inlineStr">
        <is>
          <t>Other Kids / Family at Home</t>
        </is>
      </c>
      <c r="G926" t="inlineStr">
        <is>
          <t>Other Kids / Family at Home</t>
        </is>
      </c>
      <c r="H926" t="inlineStr"/>
      <c r="I926" t="inlineStr">
        <is>
          <t>Family's Own Choice</t>
        </is>
      </c>
      <c r="J926" t="b">
        <v>1</v>
      </c>
      <c r="K926" t="n">
        <v>1</v>
      </c>
      <c r="L926" t="inlineStr"/>
      <c r="M926" t="inlineStr"/>
    </row>
    <row r="927">
      <c r="A927" t="inlineStr">
        <is>
          <t>No</t>
        </is>
      </c>
      <c r="B927" t="inlineStr"/>
      <c r="C927" t="inlineStr"/>
      <c r="D927" t="inlineStr"/>
      <c r="E927" t="inlineStr">
        <is>
          <t>My other daughter did it last year and loved it. Wanted Brenna to have the same type of experience.</t>
        </is>
      </c>
      <c r="F927" t="inlineStr">
        <is>
          <t>Wants Child to Have Independent Experience</t>
        </is>
      </c>
      <c r="G927" t="inlineStr">
        <is>
          <t>Wants Child to Have Independent Experience</t>
        </is>
      </c>
      <c r="H927" t="inlineStr"/>
      <c r="I927" t="inlineStr">
        <is>
          <t>Family's Own Choice</t>
        </is>
      </c>
      <c r="J927" t="b">
        <v>0</v>
      </c>
      <c r="K927" t="n">
        <v>1</v>
      </c>
      <c r="L927" t="inlineStr"/>
      <c r="M927" t="inlineStr"/>
    </row>
    <row r="928">
      <c r="A928" t="inlineStr">
        <is>
          <t>No</t>
        </is>
      </c>
      <c r="B928" t="inlineStr"/>
      <c r="C928" t="inlineStr"/>
      <c r="D928" t="inlineStr"/>
      <c r="E928" t="inlineStr">
        <is>
          <t>Current Mission Leaders and can't leave the mission.</t>
        </is>
      </c>
      <c r="F928" t="inlineStr">
        <is>
          <t>Other Kids / Family at Home</t>
        </is>
      </c>
      <c r="G928" t="inlineStr">
        <is>
          <t>Other Kids / Family at Home; Other Life Commitment</t>
        </is>
      </c>
      <c r="H928" t="inlineStr"/>
      <c r="I928" t="inlineStr">
        <is>
          <t>Family's Own Choice</t>
        </is>
      </c>
      <c r="J928" t="b">
        <v>0</v>
      </c>
      <c r="K928" t="n">
        <v>2</v>
      </c>
      <c r="L928" t="inlineStr"/>
      <c r="M928" t="inlineStr"/>
    </row>
    <row r="929">
      <c r="A929" t="inlineStr">
        <is>
          <t>No</t>
        </is>
      </c>
      <c r="B929" t="inlineStr"/>
      <c r="C929" t="inlineStr"/>
      <c r="D929" t="inlineStr"/>
      <c r="E929" t="inlineStr">
        <is>
          <t>Money. I would love to go but cannot afford it.</t>
        </is>
      </c>
      <c r="F929" t="inlineStr">
        <is>
          <t>Cost / Finances</t>
        </is>
      </c>
      <c r="G929" t="inlineStr">
        <is>
          <t>Cost / Finances</t>
        </is>
      </c>
      <c r="H929" t="inlineStr"/>
      <c r="I929" t="inlineStr">
        <is>
          <t>HXP Can Directly Fix</t>
        </is>
      </c>
      <c r="J929" t="b">
        <v>1</v>
      </c>
      <c r="K929" t="n">
        <v>1</v>
      </c>
      <c r="L929" t="inlineStr"/>
      <c r="M929" t="inlineStr"/>
    </row>
    <row r="930">
      <c r="A930" t="inlineStr">
        <is>
          <t>No</t>
        </is>
      </c>
      <c r="B930" t="inlineStr"/>
      <c r="C930" t="inlineStr"/>
      <c r="D930" t="inlineStr"/>
      <c r="E930" t="inlineStr">
        <is>
          <t>I have a daughter leaving for a mission at the same time</t>
        </is>
      </c>
      <c r="F930" t="inlineStr">
        <is>
          <t>Work Schedule / Time Off</t>
        </is>
      </c>
      <c r="G930" t="inlineStr">
        <is>
          <t>Work Schedule / Time Off; Other Life Commitment</t>
        </is>
      </c>
      <c r="H930" t="inlineStr"/>
      <c r="I930" t="inlineStr">
        <is>
          <t>HXP Can Influence</t>
        </is>
      </c>
      <c r="J930" t="b">
        <v>0</v>
      </c>
      <c r="K930" t="n">
        <v>2</v>
      </c>
      <c r="L930" t="inlineStr"/>
      <c r="M930" t="inlineStr"/>
    </row>
    <row r="931">
      <c r="A931" t="inlineStr">
        <is>
          <t>No</t>
        </is>
      </c>
      <c r="B931" t="inlineStr"/>
      <c r="C931" t="inlineStr"/>
      <c r="D931" t="inlineStr"/>
      <c r="E931" t="inlineStr">
        <is>
          <t>Her uncle is going with her.</t>
        </is>
      </c>
      <c r="F931" t="inlineStr">
        <is>
          <t>Another Family Member Going Instead</t>
        </is>
      </c>
      <c r="G931" t="inlineStr">
        <is>
          <t>Another Family Member Going Instead</t>
        </is>
      </c>
      <c r="H931" t="inlineStr"/>
      <c r="I931" t="inlineStr">
        <is>
          <t>Family's Own Choice</t>
        </is>
      </c>
      <c r="J931" t="b">
        <v>0</v>
      </c>
      <c r="K931" t="n">
        <v>1</v>
      </c>
      <c r="L931" t="inlineStr"/>
      <c r="M931" t="inlineStr"/>
    </row>
    <row r="932">
      <c r="A932" t="inlineStr">
        <is>
          <t>No</t>
        </is>
      </c>
      <c r="B932" t="inlineStr"/>
      <c r="C932" t="inlineStr"/>
      <c r="D932" t="inlineStr"/>
      <c r="E932" t="inlineStr">
        <is>
          <t>I may go in the future but I want my daughter to have an experience away from home and her parents. I think it'll be a great growing experience for her!</t>
        </is>
      </c>
      <c r="F932" t="inlineStr">
        <is>
          <t>Other Kids / Family at Home</t>
        </is>
      </c>
      <c r="G932" t="inlineStr">
        <is>
          <t>Other Kids / Family at Home; Wants Child to Have Independent Experience</t>
        </is>
      </c>
      <c r="H932" t="inlineStr"/>
      <c r="I932" t="inlineStr">
        <is>
          <t>Family's Own Choice</t>
        </is>
      </c>
      <c r="J932" t="b">
        <v>1</v>
      </c>
      <c r="K932" t="n">
        <v>2</v>
      </c>
      <c r="L932" t="inlineStr"/>
      <c r="M932" t="inlineStr"/>
    </row>
    <row r="933">
      <c r="A933" t="inlineStr">
        <is>
          <t>No</t>
        </is>
      </c>
      <c r="B933" t="inlineStr"/>
      <c r="C933" t="inlineStr"/>
      <c r="D933" t="inlineStr"/>
      <c r="E933" t="inlineStr"/>
      <c r="F933" t="inlineStr"/>
      <c r="G933" t="inlineStr"/>
      <c r="H933" t="inlineStr"/>
      <c r="I933" t="inlineStr"/>
      <c r="J933" t="b">
        <v>0</v>
      </c>
      <c r="K933" t="n">
        <v>0</v>
      </c>
      <c r="L933" t="inlineStr"/>
      <c r="M933" t="inlineStr"/>
    </row>
    <row r="934">
      <c r="A934" t="inlineStr">
        <is>
          <t>No</t>
        </is>
      </c>
      <c r="B934" t="inlineStr"/>
      <c r="C934" t="inlineStr"/>
      <c r="D934" t="inlineStr"/>
      <c r="E934" t="inlineStr">
        <is>
          <t>I'm a mission leader in Utah St. George Mission</t>
        </is>
      </c>
      <c r="F934" t="inlineStr">
        <is>
          <t>Other Life Commitment</t>
        </is>
      </c>
      <c r="G934" t="inlineStr">
        <is>
          <t>Other Life Commitment</t>
        </is>
      </c>
      <c r="H934" t="inlineStr"/>
      <c r="I934" t="inlineStr">
        <is>
          <t>Family's Own Choice</t>
        </is>
      </c>
      <c r="J934" t="b">
        <v>0</v>
      </c>
      <c r="K934" t="n">
        <v>1</v>
      </c>
      <c r="L934" t="inlineStr"/>
      <c r="M934" t="inlineStr"/>
    </row>
    <row r="935">
      <c r="A935" t="inlineStr">
        <is>
          <t>No</t>
        </is>
      </c>
      <c r="B935" t="inlineStr"/>
      <c r="C935" t="inlineStr"/>
      <c r="D935" t="inlineStr"/>
      <c r="E935" t="inlineStr">
        <is>
          <t>Wondering if I could keep up with the kids</t>
        </is>
      </c>
      <c r="F935" t="inlineStr">
        <is>
          <t>Health / Physical / Age</t>
        </is>
      </c>
      <c r="G935" t="inlineStr">
        <is>
          <t>Health / Physical / Age</t>
        </is>
      </c>
      <c r="H935" t="inlineStr"/>
      <c r="I935" t="inlineStr">
        <is>
          <t>HXP Can Influence</t>
        </is>
      </c>
      <c r="J935" t="b">
        <v>0</v>
      </c>
      <c r="K935" t="n">
        <v>1</v>
      </c>
      <c r="L935" t="inlineStr"/>
      <c r="M935" t="inlineStr"/>
    </row>
    <row r="936">
      <c r="A936" t="inlineStr">
        <is>
          <t>No</t>
        </is>
      </c>
      <c r="B936" t="inlineStr"/>
      <c r="C936" t="inlineStr"/>
      <c r="D936" t="inlineStr"/>
      <c r="E936" t="inlineStr">
        <is>
          <t>A business trip planned for the same week</t>
        </is>
      </c>
      <c r="F936" t="inlineStr">
        <is>
          <t>Other Life Commitment</t>
        </is>
      </c>
      <c r="G936" t="inlineStr">
        <is>
          <t>Other Life Commitment</t>
        </is>
      </c>
      <c r="H936" t="inlineStr"/>
      <c r="I936" t="inlineStr">
        <is>
          <t>Family's Own Choice</t>
        </is>
      </c>
      <c r="J936" t="b">
        <v>0</v>
      </c>
      <c r="K936" t="n">
        <v>1</v>
      </c>
      <c r="L936" t="inlineStr"/>
      <c r="M936" t="inlineStr"/>
    </row>
    <row r="937">
      <c r="A937" t="inlineStr">
        <is>
          <t>No</t>
        </is>
      </c>
      <c r="B937" t="inlineStr"/>
      <c r="C937" t="inlineStr"/>
      <c r="D937" t="inlineStr"/>
      <c r="E937" t="inlineStr">
        <is>
          <t>money</t>
        </is>
      </c>
      <c r="F937" t="inlineStr">
        <is>
          <t>Cost / Finances</t>
        </is>
      </c>
      <c r="G937" t="inlineStr">
        <is>
          <t>Cost / Finances</t>
        </is>
      </c>
      <c r="H937" t="inlineStr"/>
      <c r="I937" t="inlineStr">
        <is>
          <t>HXP Can Directly Fix</t>
        </is>
      </c>
      <c r="J937" t="b">
        <v>0</v>
      </c>
      <c r="K937" t="n">
        <v>1</v>
      </c>
      <c r="L937" t="inlineStr"/>
      <c r="M937" t="inlineStr"/>
    </row>
    <row r="938">
      <c r="A938" t="inlineStr">
        <is>
          <t>No</t>
        </is>
      </c>
      <c r="B938" t="inlineStr"/>
      <c r="C938" t="inlineStr"/>
      <c r="D938" t="inlineStr"/>
      <c r="E938" t="inlineStr">
        <is>
          <t>No desire</t>
        </is>
      </c>
      <c r="F938" t="inlineStr">
        <is>
          <t>Not a Traveler / Personal Preference</t>
        </is>
      </c>
      <c r="G938" t="inlineStr">
        <is>
          <t>Not a Traveler / Personal Preference</t>
        </is>
      </c>
      <c r="H938" t="inlineStr"/>
      <c r="I938" t="inlineStr">
        <is>
          <t>HXP Can Influence</t>
        </is>
      </c>
      <c r="J938" t="b">
        <v>0</v>
      </c>
      <c r="K938" t="n">
        <v>1</v>
      </c>
      <c r="L938" t="inlineStr"/>
      <c r="M938" t="inlineStr"/>
    </row>
    <row r="939">
      <c r="A939" t="inlineStr">
        <is>
          <t>No</t>
        </is>
      </c>
      <c r="B939" t="inlineStr"/>
      <c r="C939" t="inlineStr"/>
      <c r="D939" t="inlineStr"/>
      <c r="E939" t="inlineStr">
        <is>
          <t>I would consider it for future trips but just did not consider it for this summer</t>
        </is>
      </c>
      <c r="F939" t="inlineStr">
        <is>
          <t>Not Aware It Was an Option</t>
        </is>
      </c>
      <c r="G939" t="inlineStr">
        <is>
          <t>Not Aware It Was an Option</t>
        </is>
      </c>
      <c r="H939" t="inlineStr"/>
      <c r="I939" t="inlineStr">
        <is>
          <t>HXP Can Directly Fix</t>
        </is>
      </c>
      <c r="J939" t="b">
        <v>1</v>
      </c>
      <c r="K939" t="n">
        <v>1</v>
      </c>
      <c r="L939" t="inlineStr"/>
      <c r="M939" t="inlineStr"/>
    </row>
    <row r="940">
      <c r="A940" t="inlineStr">
        <is>
          <t>Yes</t>
        </is>
      </c>
      <c r="B940" t="inlineStr">
        <is>
          <t>My daughter asked me to go with her :)</t>
        </is>
      </c>
      <c r="C940" t="inlineStr">
        <is>
          <t>Child/Spouse Asked Them to Go</t>
        </is>
      </c>
      <c r="D940" t="inlineStr">
        <is>
          <t>Child/Spouse Asked Them to Go</t>
        </is>
      </c>
      <c r="E940" t="inlineStr"/>
      <c r="F940" t="inlineStr"/>
      <c r="G940" t="inlineStr"/>
      <c r="H940" t="inlineStr"/>
      <c r="I940" t="inlineStr"/>
      <c r="J940" t="b">
        <v>0</v>
      </c>
      <c r="K940" t="n">
        <v>0</v>
      </c>
      <c r="L940" t="inlineStr"/>
      <c r="M940" t="inlineStr"/>
    </row>
    <row r="941">
      <c r="A941" t="inlineStr">
        <is>
          <t>No</t>
        </is>
      </c>
      <c r="B941" t="inlineStr"/>
      <c r="C941" t="inlineStr"/>
      <c r="D941" t="inlineStr"/>
      <c r="E941" t="inlineStr"/>
      <c r="F941" t="inlineStr"/>
      <c r="G941" t="inlineStr"/>
      <c r="H941" t="inlineStr"/>
      <c r="I941" t="inlineStr"/>
      <c r="J941" t="b">
        <v>0</v>
      </c>
      <c r="K941" t="n">
        <v>0</v>
      </c>
      <c r="L941" t="inlineStr"/>
      <c r="M941" t="inlineStr"/>
    </row>
    <row r="942">
      <c r="A942" t="inlineStr">
        <is>
          <t>No</t>
        </is>
      </c>
      <c r="B942" t="inlineStr"/>
      <c r="C942" t="inlineStr"/>
      <c r="D942" t="inlineStr"/>
      <c r="E942" t="inlineStr">
        <is>
          <t>Cost</t>
        </is>
      </c>
      <c r="F942" t="inlineStr">
        <is>
          <t>Cost / Finances</t>
        </is>
      </c>
      <c r="G942" t="inlineStr">
        <is>
          <t>Cost / Finances</t>
        </is>
      </c>
      <c r="H942" t="inlineStr"/>
      <c r="I942" t="inlineStr">
        <is>
          <t>HXP Can Directly Fix</t>
        </is>
      </c>
      <c r="J942" t="b">
        <v>0</v>
      </c>
      <c r="K942" t="n">
        <v>1</v>
      </c>
      <c r="L942" t="inlineStr"/>
      <c r="M942" t="inlineStr"/>
    </row>
    <row r="943">
      <c r="A943" t="inlineStr">
        <is>
          <t>No</t>
        </is>
      </c>
      <c r="B943" t="inlineStr"/>
      <c r="C943" t="inlineStr"/>
      <c r="D943" t="inlineStr"/>
      <c r="E943" t="inlineStr">
        <is>
          <t>My child wanted to experience this trip on her own.</t>
        </is>
      </c>
      <c r="F943" t="inlineStr">
        <is>
          <t>Wants Child to Have Independent Experience</t>
        </is>
      </c>
      <c r="G943" t="inlineStr">
        <is>
          <t>Wants Child to Have Independent Experience</t>
        </is>
      </c>
      <c r="H943" t="inlineStr"/>
      <c r="I943" t="inlineStr">
        <is>
          <t>Family's Own Choice</t>
        </is>
      </c>
      <c r="J943" t="b">
        <v>0</v>
      </c>
      <c r="K943" t="n">
        <v>1</v>
      </c>
      <c r="L943" t="inlineStr"/>
      <c r="M943" t="inlineStr"/>
    </row>
    <row r="944">
      <c r="A944" t="inlineStr">
        <is>
          <t>No</t>
        </is>
      </c>
      <c r="B944" t="inlineStr"/>
      <c r="C944" t="inlineStr"/>
      <c r="D944" t="inlineStr"/>
      <c r="E944" t="inlineStr">
        <is>
          <t>My son didn't want us to and cost</t>
        </is>
      </c>
      <c r="F944" t="inlineStr">
        <is>
          <t>Cost / Finances</t>
        </is>
      </c>
      <c r="G944" t="inlineStr">
        <is>
          <t>Cost / Finances; Child Didn't Want Parent to Come</t>
        </is>
      </c>
      <c r="H944" t="inlineStr"/>
      <c r="I944" t="inlineStr">
        <is>
          <t>HXP Can Directly Fix</t>
        </is>
      </c>
      <c r="J944" t="b">
        <v>0</v>
      </c>
      <c r="K944" t="n">
        <v>2</v>
      </c>
      <c r="L944" t="inlineStr"/>
      <c r="M944" t="inlineStr"/>
    </row>
    <row r="945">
      <c r="A945" t="inlineStr">
        <is>
          <t>No</t>
        </is>
      </c>
      <c r="B945" t="inlineStr"/>
      <c r="C945" t="inlineStr"/>
      <c r="D945" t="inlineStr"/>
      <c r="E945" t="inlineStr">
        <is>
          <t>Money</t>
        </is>
      </c>
      <c r="F945" t="inlineStr">
        <is>
          <t>Cost / Finances</t>
        </is>
      </c>
      <c r="G945" t="inlineStr">
        <is>
          <t>Cost / Finances</t>
        </is>
      </c>
      <c r="H945" t="inlineStr"/>
      <c r="I945" t="inlineStr">
        <is>
          <t>HXP Can Directly Fix</t>
        </is>
      </c>
      <c r="J945" t="b">
        <v>0</v>
      </c>
      <c r="K945" t="n">
        <v>1</v>
      </c>
      <c r="L945" t="inlineStr"/>
      <c r="M945" t="inlineStr"/>
    </row>
    <row r="946">
      <c r="A946" t="inlineStr">
        <is>
          <t>No</t>
        </is>
      </c>
      <c r="B946" t="inlineStr"/>
      <c r="C946" t="inlineStr"/>
      <c r="D946" t="inlineStr"/>
      <c r="E946" t="inlineStr">
        <is>
          <t>Work</t>
        </is>
      </c>
      <c r="F946" t="inlineStr">
        <is>
          <t>Work Schedule / Time Off</t>
        </is>
      </c>
      <c r="G946" t="inlineStr">
        <is>
          <t>Work Schedule / Time Off</t>
        </is>
      </c>
      <c r="H946" t="inlineStr"/>
      <c r="I946" t="inlineStr">
        <is>
          <t>HXP Can Influence</t>
        </is>
      </c>
      <c r="J946" t="b">
        <v>0</v>
      </c>
      <c r="K946" t="n">
        <v>1</v>
      </c>
      <c r="L946" t="inlineStr"/>
      <c r="M946" t="inlineStr"/>
    </row>
    <row r="947">
      <c r="A947" t="inlineStr">
        <is>
          <t>No</t>
        </is>
      </c>
      <c r="B947" t="inlineStr"/>
      <c r="C947" t="inlineStr"/>
      <c r="D947" t="inlineStr"/>
      <c r="E947" t="inlineStr">
        <is>
          <t>Timing</t>
        </is>
      </c>
      <c r="F947" t="inlineStr">
        <is>
          <t>Work Schedule / Time Off</t>
        </is>
      </c>
      <c r="G947" t="inlineStr">
        <is>
          <t>Work Schedule / Time Off</t>
        </is>
      </c>
      <c r="H947" t="inlineStr"/>
      <c r="I947" t="inlineStr">
        <is>
          <t>HXP Can Influence</t>
        </is>
      </c>
      <c r="J947" t="b">
        <v>0</v>
      </c>
      <c r="K947" t="n">
        <v>1</v>
      </c>
      <c r="L947" t="inlineStr"/>
      <c r="M947" t="inlineStr"/>
    </row>
    <row r="948">
      <c r="A948" t="inlineStr">
        <is>
          <t>Maybe</t>
        </is>
      </c>
      <c r="B948" t="inlineStr"/>
      <c r="C948" t="inlineStr"/>
      <c r="D948" t="inlineStr"/>
      <c r="E948" t="inlineStr"/>
      <c r="F948" t="inlineStr"/>
      <c r="G948" t="inlineStr"/>
      <c r="H948" t="inlineStr">
        <is>
          <t>It's about time and money - so decisions about going will be influenced by those 2 items for next summer. But I have strong interest in going.</t>
        </is>
      </c>
      <c r="I948" t="inlineStr"/>
      <c r="J948" t="b">
        <v>0</v>
      </c>
      <c r="K948" t="n">
        <v>0</v>
      </c>
      <c r="L948" t="inlineStr">
        <is>
          <t>Cost / Financial Assistance</t>
        </is>
      </c>
      <c r="M948" t="inlineStr">
        <is>
          <t>Cost / Financial Assistance; Time / Scheduling</t>
        </is>
      </c>
    </row>
    <row r="949">
      <c r="A949" t="inlineStr">
        <is>
          <t>Maybe</t>
        </is>
      </c>
      <c r="B949" t="inlineStr"/>
      <c r="C949" t="inlineStr"/>
      <c r="D949" t="inlineStr"/>
      <c r="E949" t="inlineStr"/>
      <c r="F949" t="inlineStr"/>
      <c r="G949" t="inlineStr"/>
      <c r="H949" t="inlineStr"/>
      <c r="I949" t="inlineStr"/>
      <c r="J949" t="b">
        <v>0</v>
      </c>
      <c r="K949" t="n">
        <v>0</v>
      </c>
      <c r="L949" t="inlineStr"/>
      <c r="M949" t="inlineStr"/>
    </row>
    <row r="950">
      <c r="A950" t="inlineStr">
        <is>
          <t>No</t>
        </is>
      </c>
      <c r="B950" t="inlineStr"/>
      <c r="C950" t="inlineStr"/>
      <c r="D950" t="inlineStr"/>
      <c r="E950" t="inlineStr"/>
      <c r="F950" t="inlineStr"/>
      <c r="G950" t="inlineStr"/>
      <c r="H950" t="inlineStr"/>
      <c r="I950" t="inlineStr"/>
      <c r="J950" t="b">
        <v>0</v>
      </c>
      <c r="K950" t="n">
        <v>0</v>
      </c>
      <c r="L950" t="inlineStr"/>
      <c r="M950" t="inlineStr"/>
    </row>
    <row r="951">
      <c r="A951" t="inlineStr">
        <is>
          <t>No</t>
        </is>
      </c>
      <c r="B951" t="inlineStr"/>
      <c r="C951" t="inlineStr"/>
      <c r="D951" t="inlineStr"/>
      <c r="E951" t="inlineStr"/>
      <c r="F951" t="inlineStr"/>
      <c r="G951" t="inlineStr"/>
      <c r="H951" t="inlineStr"/>
      <c r="I951" t="inlineStr"/>
      <c r="J951" t="b">
        <v>0</v>
      </c>
      <c r="K951" t="n">
        <v>0</v>
      </c>
      <c r="L951" t="inlineStr"/>
      <c r="M951" t="inlineStr"/>
    </row>
    <row r="952">
      <c r="A952" t="inlineStr">
        <is>
          <t>Yes</t>
        </is>
      </c>
      <c r="B952" t="inlineStr">
        <is>
          <t>I have been twice before</t>
        </is>
      </c>
      <c r="C952" t="inlineStr">
        <is>
          <t>Previous Positive Experience</t>
        </is>
      </c>
      <c r="D952" t="inlineStr">
        <is>
          <t>Previous Positive Experience</t>
        </is>
      </c>
      <c r="E952" t="inlineStr"/>
      <c r="F952" t="inlineStr"/>
      <c r="G952" t="inlineStr"/>
      <c r="H952" t="inlineStr"/>
      <c r="I952" t="inlineStr"/>
      <c r="J952" t="b">
        <v>0</v>
      </c>
      <c r="K952" t="n">
        <v>0</v>
      </c>
      <c r="L952" t="inlineStr"/>
      <c r="M952" t="inlineStr"/>
    </row>
    <row r="953">
      <c r="A953" t="inlineStr">
        <is>
          <t>No</t>
        </is>
      </c>
      <c r="B953" t="inlineStr"/>
      <c r="C953" t="inlineStr"/>
      <c r="D953" t="inlineStr"/>
      <c r="E953" t="inlineStr">
        <is>
          <t>Cost</t>
        </is>
      </c>
      <c r="F953" t="inlineStr">
        <is>
          <t>Cost / Finances</t>
        </is>
      </c>
      <c r="G953" t="inlineStr">
        <is>
          <t>Cost / Finances</t>
        </is>
      </c>
      <c r="H953" t="inlineStr"/>
      <c r="I953" t="inlineStr">
        <is>
          <t>HXP Can Directly Fix</t>
        </is>
      </c>
      <c r="J953" t="b">
        <v>0</v>
      </c>
      <c r="K953" t="n">
        <v>1</v>
      </c>
      <c r="L953" t="inlineStr"/>
      <c r="M953" t="inlineStr"/>
    </row>
    <row r="954">
      <c r="A954" t="inlineStr">
        <is>
          <t>No</t>
        </is>
      </c>
      <c r="B954" t="inlineStr"/>
      <c r="C954" t="inlineStr"/>
      <c r="D954" t="inlineStr"/>
      <c r="E954" t="inlineStr">
        <is>
          <t>$$</t>
        </is>
      </c>
      <c r="F954" t="inlineStr">
        <is>
          <t>Cost / Finances</t>
        </is>
      </c>
      <c r="G954" t="inlineStr">
        <is>
          <t>Cost / Finances</t>
        </is>
      </c>
      <c r="H954" t="inlineStr"/>
      <c r="I954" t="inlineStr">
        <is>
          <t>HXP Can Directly Fix</t>
        </is>
      </c>
      <c r="J954" t="b">
        <v>0</v>
      </c>
      <c r="K954" t="n">
        <v>1</v>
      </c>
      <c r="L954" t="inlineStr"/>
      <c r="M954" t="inlineStr"/>
    </row>
    <row r="955">
      <c r="A955" t="inlineStr">
        <is>
          <t>No</t>
        </is>
      </c>
      <c r="B955" t="inlineStr"/>
      <c r="C955" t="inlineStr"/>
      <c r="D955" t="inlineStr"/>
      <c r="E955" t="inlineStr">
        <is>
          <t>Not available</t>
        </is>
      </c>
      <c r="F955" t="inlineStr">
        <is>
          <t>Work Schedule / Time Off</t>
        </is>
      </c>
      <c r="G955" t="inlineStr">
        <is>
          <t>Work Schedule / Time Off</t>
        </is>
      </c>
      <c r="H955" t="inlineStr"/>
      <c r="I955" t="inlineStr">
        <is>
          <t>HXP Can Influence</t>
        </is>
      </c>
      <c r="J955" t="b">
        <v>0</v>
      </c>
      <c r="K955" t="n">
        <v>1</v>
      </c>
      <c r="L955" t="inlineStr"/>
      <c r="M955" t="inlineStr"/>
    </row>
    <row r="956">
      <c r="A956" t="inlineStr">
        <is>
          <t>No</t>
        </is>
      </c>
      <c r="B956" t="inlineStr"/>
      <c r="C956" t="inlineStr"/>
      <c r="D956" t="inlineStr"/>
      <c r="E956" t="inlineStr">
        <is>
          <t>Think it will be good for kids to do something alone</t>
        </is>
      </c>
      <c r="F956" t="inlineStr">
        <is>
          <t>Wants Child to Have Independent Experience</t>
        </is>
      </c>
      <c r="G956" t="inlineStr">
        <is>
          <t>Wants Child to Have Independent Experience</t>
        </is>
      </c>
      <c r="H956" t="inlineStr"/>
      <c r="I956" t="inlineStr">
        <is>
          <t>Family's Own Choice</t>
        </is>
      </c>
      <c r="J956" t="b">
        <v>0</v>
      </c>
      <c r="K956" t="n">
        <v>1</v>
      </c>
      <c r="L956" t="inlineStr"/>
      <c r="M956" t="inlineStr"/>
    </row>
    <row r="957">
      <c r="A957" t="inlineStr">
        <is>
          <t>No</t>
        </is>
      </c>
      <c r="B957" t="inlineStr"/>
      <c r="C957" t="inlineStr"/>
      <c r="D957" t="inlineStr"/>
      <c r="E957" t="inlineStr">
        <is>
          <t>We have been to Africa, Bolivia and Guatemala on family humanitarian trips. We are excited for Ririe to have a trip on his own with peers.</t>
        </is>
      </c>
      <c r="F957" t="inlineStr">
        <is>
          <t>Wants Child to Have Independent Experience</t>
        </is>
      </c>
      <c r="G957" t="inlineStr">
        <is>
          <t>Wants Child to Have Independent Experience</t>
        </is>
      </c>
      <c r="H957" t="inlineStr"/>
      <c r="I957" t="inlineStr">
        <is>
          <t>Family's Own Choice</t>
        </is>
      </c>
      <c r="J957" t="b">
        <v>0</v>
      </c>
      <c r="K957" t="n">
        <v>1</v>
      </c>
      <c r="L957" t="inlineStr"/>
      <c r="M957" t="inlineStr"/>
    </row>
    <row r="958">
      <c r="A958" t="inlineStr">
        <is>
          <t>No</t>
        </is>
      </c>
      <c r="B958" t="inlineStr"/>
      <c r="C958" t="inlineStr"/>
      <c r="D958" t="inlineStr"/>
      <c r="E958" t="inlineStr"/>
      <c r="F958" t="inlineStr"/>
      <c r="G958" t="inlineStr"/>
      <c r="H958" t="inlineStr"/>
      <c r="I958" t="inlineStr"/>
      <c r="J958" t="b">
        <v>0</v>
      </c>
      <c r="K958" t="n">
        <v>0</v>
      </c>
      <c r="L958" t="inlineStr"/>
      <c r="M958" t="inlineStr"/>
    </row>
    <row r="959">
      <c r="A959" t="inlineStr">
        <is>
          <t>No</t>
        </is>
      </c>
      <c r="B959" t="inlineStr"/>
      <c r="C959" t="inlineStr"/>
      <c r="D959" t="inlineStr"/>
      <c r="E959" t="inlineStr">
        <is>
          <t>I already went as parent builder 2015 to Bolivia and had a wonderful experience.</t>
        </is>
      </c>
      <c r="F959" t="inlineStr">
        <is>
          <t>Wants Child to Have Independent Experience</t>
        </is>
      </c>
      <c r="G959" t="inlineStr">
        <is>
          <t>Wants Child to Have Independent Experience</t>
        </is>
      </c>
      <c r="H959" t="inlineStr"/>
      <c r="I959" t="inlineStr">
        <is>
          <t>Family's Own Choice</t>
        </is>
      </c>
      <c r="J959" t="b">
        <v>0</v>
      </c>
      <c r="K959" t="n">
        <v>1</v>
      </c>
      <c r="L959" t="inlineStr"/>
      <c r="M959" t="inlineStr"/>
    </row>
    <row r="960">
      <c r="A960" t="inlineStr">
        <is>
          <t>No</t>
        </is>
      </c>
      <c r="B960" t="inlineStr"/>
      <c r="C960" t="inlineStr"/>
      <c r="D960" t="inlineStr"/>
      <c r="E960" t="inlineStr">
        <is>
          <t>I'm not a good traveler</t>
        </is>
      </c>
      <c r="F960" t="inlineStr">
        <is>
          <t>Not a Traveler / Personal Preference</t>
        </is>
      </c>
      <c r="G960" t="inlineStr">
        <is>
          <t>Not a Traveler / Personal Preference</t>
        </is>
      </c>
      <c r="H960" t="inlineStr"/>
      <c r="I960" t="inlineStr">
        <is>
          <t>HXP Can Influence</t>
        </is>
      </c>
      <c r="J960" t="b">
        <v>0</v>
      </c>
      <c r="K960" t="n">
        <v>1</v>
      </c>
      <c r="L960" t="inlineStr"/>
      <c r="M960" t="inlineStr"/>
    </row>
    <row r="961">
      <c r="A961" t="inlineStr">
        <is>
          <t>No</t>
        </is>
      </c>
      <c r="B961" t="inlineStr"/>
      <c r="C961" t="inlineStr"/>
      <c r="D961" t="inlineStr"/>
      <c r="E961" t="inlineStr">
        <is>
          <t>other children at home to care for at this time</t>
        </is>
      </c>
      <c r="F961" t="inlineStr">
        <is>
          <t>Work Schedule / Time Off</t>
        </is>
      </c>
      <c r="G961" t="inlineStr">
        <is>
          <t>Work Schedule / Time Off; Other Kids / Family at Home</t>
        </is>
      </c>
      <c r="H961" t="inlineStr"/>
      <c r="I961" t="inlineStr">
        <is>
          <t>HXP Can Influence</t>
        </is>
      </c>
      <c r="J961" t="b">
        <v>0</v>
      </c>
      <c r="K961" t="n">
        <v>2</v>
      </c>
      <c r="L961" t="inlineStr"/>
      <c r="M961" t="inlineStr"/>
    </row>
    <row r="962">
      <c r="A962" t="inlineStr">
        <is>
          <t>No</t>
        </is>
      </c>
      <c r="B962" t="inlineStr"/>
      <c r="C962" t="inlineStr"/>
      <c r="D962" t="inlineStr"/>
      <c r="E962" t="inlineStr">
        <is>
          <t>My husband is going</t>
        </is>
      </c>
      <c r="F962" t="inlineStr">
        <is>
          <t>Another Family Member Going Instead</t>
        </is>
      </c>
      <c r="G962" t="inlineStr">
        <is>
          <t>Another Family Member Going Instead</t>
        </is>
      </c>
      <c r="H962" t="inlineStr"/>
      <c r="I962" t="inlineStr">
        <is>
          <t>Family's Own Choice</t>
        </is>
      </c>
      <c r="J962" t="b">
        <v>0</v>
      </c>
      <c r="K962" t="n">
        <v>1</v>
      </c>
      <c r="L962" t="inlineStr"/>
      <c r="M962" t="inlineStr"/>
    </row>
    <row r="963">
      <c r="A963" t="inlineStr">
        <is>
          <t>No</t>
        </is>
      </c>
      <c r="B963" t="inlineStr"/>
      <c r="C963" t="inlineStr"/>
      <c r="D963" t="inlineStr"/>
      <c r="E963" t="inlineStr">
        <is>
          <t>Cost and time commitment</t>
        </is>
      </c>
      <c r="F963" t="inlineStr">
        <is>
          <t>Cost / Finances</t>
        </is>
      </c>
      <c r="G963" t="inlineStr">
        <is>
          <t>Cost / Finances; Work Schedule / Time Off</t>
        </is>
      </c>
      <c r="H963" t="inlineStr"/>
      <c r="I963" t="inlineStr">
        <is>
          <t>HXP Can Directly Fix</t>
        </is>
      </c>
      <c r="J963" t="b">
        <v>0</v>
      </c>
      <c r="K963" t="n">
        <v>2</v>
      </c>
      <c r="L963" t="inlineStr"/>
      <c r="M963" t="inlineStr"/>
    </row>
    <row r="964">
      <c r="A964" t="inlineStr">
        <is>
          <t>No</t>
        </is>
      </c>
      <c r="B964" t="inlineStr"/>
      <c r="C964" t="inlineStr"/>
      <c r="D964" t="inlineStr"/>
      <c r="E964" t="inlineStr"/>
      <c r="F964" t="inlineStr"/>
      <c r="G964" t="inlineStr"/>
      <c r="H964" t="inlineStr"/>
      <c r="I964" t="inlineStr"/>
      <c r="J964" t="b">
        <v>0</v>
      </c>
      <c r="K964" t="n">
        <v>0</v>
      </c>
      <c r="L964" t="inlineStr"/>
      <c r="M964" t="inlineStr"/>
    </row>
    <row r="965">
      <c r="A965" t="inlineStr">
        <is>
          <t>No</t>
        </is>
      </c>
      <c r="B965" t="inlineStr"/>
      <c r="C965" t="inlineStr"/>
      <c r="D965" t="inlineStr"/>
      <c r="E965" t="inlineStr">
        <is>
          <t>Too long of a trip</t>
        </is>
      </c>
      <c r="F965" t="inlineStr">
        <is>
          <t>Work Schedule / Time Off</t>
        </is>
      </c>
      <c r="G965" t="inlineStr">
        <is>
          <t>Work Schedule / Time Off</t>
        </is>
      </c>
      <c r="H965" t="inlineStr"/>
      <c r="I965" t="inlineStr">
        <is>
          <t>HXP Can Influence</t>
        </is>
      </c>
      <c r="J965" t="b">
        <v>0</v>
      </c>
      <c r="K965" t="n">
        <v>1</v>
      </c>
      <c r="L965" t="inlineStr"/>
      <c r="M965" t="inlineStr"/>
    </row>
    <row r="966">
      <c r="A966" t="inlineStr">
        <is>
          <t>Maybe</t>
        </is>
      </c>
      <c r="B966" t="inlineStr"/>
      <c r="C966" t="inlineStr"/>
      <c r="D966" t="inlineStr"/>
      <c r="E966" t="inlineStr"/>
      <c r="F966" t="inlineStr"/>
      <c r="G966" t="inlineStr"/>
      <c r="H966" t="inlineStr">
        <is>
          <t>If younger sibling decides to go someday</t>
        </is>
      </c>
      <c r="I966" t="inlineStr"/>
      <c r="J966" t="b">
        <v>0</v>
      </c>
      <c r="K966" t="n">
        <v>0</v>
      </c>
      <c r="L966" t="inlineStr">
        <is>
          <t>Waiting for Right Timing (kids' ages)</t>
        </is>
      </c>
      <c r="M966" t="inlineStr">
        <is>
          <t>Waiting for Right Timing (kids' ages)</t>
        </is>
      </c>
    </row>
    <row r="967">
      <c r="A967" t="inlineStr">
        <is>
          <t>Maybe</t>
        </is>
      </c>
      <c r="B967" t="inlineStr"/>
      <c r="C967" t="inlineStr"/>
      <c r="D967" t="inlineStr"/>
      <c r="E967" t="inlineStr"/>
      <c r="F967" t="inlineStr"/>
      <c r="G967" t="inlineStr"/>
      <c r="H967" t="inlineStr">
        <is>
          <t>Personal health improvement</t>
        </is>
      </c>
      <c r="I967" t="inlineStr"/>
      <c r="J967" t="b">
        <v>0</v>
      </c>
      <c r="K967" t="n">
        <v>0</v>
      </c>
      <c r="L967" t="inlineStr">
        <is>
          <t>Health</t>
        </is>
      </c>
      <c r="M967" t="inlineStr">
        <is>
          <t>Health</t>
        </is>
      </c>
    </row>
    <row r="968">
      <c r="A968" t="inlineStr">
        <is>
          <t>No</t>
        </is>
      </c>
      <c r="B968" t="inlineStr"/>
      <c r="C968" t="inlineStr"/>
      <c r="D968" t="inlineStr"/>
      <c r="E968" t="inlineStr">
        <is>
          <t>Timing. I may be interested in the future. I have been a Scout master and high adventure leader for many years and now organized our Stake's Youth Camp. The timing for this was off. I would be interested in learning more and possibly going in 2025.</t>
        </is>
      </c>
      <c r="F968" t="inlineStr">
        <is>
          <t>Work Schedule / Time Off</t>
        </is>
      </c>
      <c r="G968" t="inlineStr">
        <is>
          <t>Work Schedule / Time Off</t>
        </is>
      </c>
      <c r="H968" t="inlineStr"/>
      <c r="I968" t="inlineStr">
        <is>
          <t>HXP Can Influence</t>
        </is>
      </c>
      <c r="J968" t="b">
        <v>1</v>
      </c>
      <c r="K968" t="n">
        <v>1</v>
      </c>
      <c r="L968" t="inlineStr"/>
      <c r="M968" t="inlineStr"/>
    </row>
    <row r="969">
      <c r="A969" t="inlineStr">
        <is>
          <t>No</t>
        </is>
      </c>
      <c r="B969" t="inlineStr"/>
      <c r="C969" t="inlineStr"/>
      <c r="D969" t="inlineStr"/>
      <c r="E969" t="inlineStr">
        <is>
          <t>$$</t>
        </is>
      </c>
      <c r="F969" t="inlineStr">
        <is>
          <t>Cost / Finances</t>
        </is>
      </c>
      <c r="G969" t="inlineStr">
        <is>
          <t>Cost / Finances</t>
        </is>
      </c>
      <c r="H969" t="inlineStr"/>
      <c r="I969" t="inlineStr">
        <is>
          <t>HXP Can Directly Fix</t>
        </is>
      </c>
      <c r="J969" t="b">
        <v>0</v>
      </c>
      <c r="K969" t="n">
        <v>1</v>
      </c>
      <c r="L969" t="inlineStr"/>
      <c r="M969" t="inlineStr"/>
    </row>
    <row r="970">
      <c r="A970" t="inlineStr">
        <is>
          <t>No</t>
        </is>
      </c>
      <c r="B970" t="inlineStr"/>
      <c r="C970" t="inlineStr"/>
      <c r="D970" t="inlineStr"/>
      <c r="E970" t="inlineStr">
        <is>
          <t>I think my son wanted to go without a parent</t>
        </is>
      </c>
      <c r="F970" t="inlineStr">
        <is>
          <t>Wants Child to Have Independent Experience</t>
        </is>
      </c>
      <c r="G970" t="inlineStr">
        <is>
          <t>Wants Child to Have Independent Experience</t>
        </is>
      </c>
      <c r="H970" t="inlineStr"/>
      <c r="I970" t="inlineStr">
        <is>
          <t>Family's Own Choice</t>
        </is>
      </c>
      <c r="J970" t="b">
        <v>0</v>
      </c>
      <c r="K970" t="n">
        <v>1</v>
      </c>
      <c r="L970" t="inlineStr"/>
      <c r="M970" t="inlineStr"/>
    </row>
    <row r="971">
      <c r="A971" t="inlineStr">
        <is>
          <t>Yes</t>
        </is>
      </c>
      <c r="B971" t="inlineStr">
        <is>
          <t>The desire to be with my kid and serve together</t>
        </is>
      </c>
      <c r="C971" t="inlineStr">
        <is>
          <t>Wanted Shared Experience with Child</t>
        </is>
      </c>
      <c r="D971" t="inlineStr">
        <is>
          <t>Wanted Shared Experience with Child; Faith / Service Motivation</t>
        </is>
      </c>
      <c r="E971" t="inlineStr"/>
      <c r="F971" t="inlineStr"/>
      <c r="G971" t="inlineStr"/>
      <c r="H971" t="inlineStr"/>
      <c r="I971" t="inlineStr"/>
      <c r="J971" t="b">
        <v>0</v>
      </c>
      <c r="K971" t="n">
        <v>0</v>
      </c>
      <c r="L971" t="inlineStr"/>
      <c r="M971" t="inlineStr"/>
    </row>
    <row r="972">
      <c r="A972" t="inlineStr">
        <is>
          <t>No</t>
        </is>
      </c>
      <c r="B972" t="inlineStr"/>
      <c r="C972" t="inlineStr"/>
      <c r="D972" t="inlineStr"/>
      <c r="E972" t="inlineStr">
        <is>
          <t>No time</t>
        </is>
      </c>
      <c r="F972" t="inlineStr">
        <is>
          <t>Work Schedule / Time Off</t>
        </is>
      </c>
      <c r="G972" t="inlineStr">
        <is>
          <t>Work Schedule / Time Off</t>
        </is>
      </c>
      <c r="H972" t="inlineStr"/>
      <c r="I972" t="inlineStr">
        <is>
          <t>HXP Can Influence</t>
        </is>
      </c>
      <c r="J972" t="b">
        <v>0</v>
      </c>
      <c r="K972" t="n">
        <v>1</v>
      </c>
      <c r="L972" t="inlineStr"/>
      <c r="M972" t="inlineStr"/>
    </row>
    <row r="973">
      <c r="A973" t="inlineStr">
        <is>
          <t>No</t>
        </is>
      </c>
      <c r="B973" t="inlineStr"/>
      <c r="C973" t="inlineStr"/>
      <c r="D973" t="inlineStr"/>
      <c r="E973" t="inlineStr">
        <is>
          <t>I am not aware that I am able to go. I thought this was for the kids and leaders only. I would love to go with my son but am not aware that's an option</t>
        </is>
      </c>
      <c r="F973" t="inlineStr">
        <is>
          <t>Not Aware It Was an Option</t>
        </is>
      </c>
      <c r="G973" t="inlineStr">
        <is>
          <t>Not Aware It Was an Option</t>
        </is>
      </c>
      <c r="H973" t="inlineStr"/>
      <c r="I973" t="inlineStr">
        <is>
          <t>HXP Can Directly Fix</t>
        </is>
      </c>
      <c r="J973" t="b">
        <v>1</v>
      </c>
      <c r="K973" t="n">
        <v>1</v>
      </c>
      <c r="L973" t="inlineStr"/>
      <c r="M973" t="inlineStr"/>
    </row>
    <row r="974">
      <c r="A974" t="inlineStr">
        <is>
          <t>No</t>
        </is>
      </c>
      <c r="B974" t="inlineStr"/>
      <c r="C974" t="inlineStr"/>
      <c r="D974" t="inlineStr"/>
      <c r="E974" t="inlineStr">
        <is>
          <t>Didn't really understand what it entailed</t>
        </is>
      </c>
      <c r="F974" t="inlineStr">
        <is>
          <t>Not Aware It Was an Option</t>
        </is>
      </c>
      <c r="G974" t="inlineStr">
        <is>
          <t>Not Aware It Was an Option</t>
        </is>
      </c>
      <c r="H974" t="inlineStr"/>
      <c r="I974" t="inlineStr">
        <is>
          <t>HXP Can Directly Fix</t>
        </is>
      </c>
      <c r="J974" t="b">
        <v>0</v>
      </c>
      <c r="K974" t="n">
        <v>1</v>
      </c>
      <c r="L974" t="inlineStr"/>
      <c r="M974" t="inlineStr"/>
    </row>
    <row r="975">
      <c r="A975" t="inlineStr">
        <is>
          <t>No</t>
        </is>
      </c>
      <c r="B975" t="inlineStr"/>
      <c r="C975" t="inlineStr"/>
      <c r="D975" t="inlineStr"/>
      <c r="E975" t="inlineStr">
        <is>
          <t>Can't leave the country by the moment</t>
        </is>
      </c>
      <c r="F975" t="inlineStr">
        <is>
          <t>Other Kids / Family at Home</t>
        </is>
      </c>
      <c r="G975" t="inlineStr">
        <is>
          <t>Other Kids / Family at Home</t>
        </is>
      </c>
      <c r="H975" t="inlineStr"/>
      <c r="I975" t="inlineStr">
        <is>
          <t>Family's Own Choice</t>
        </is>
      </c>
      <c r="J975" t="b">
        <v>0</v>
      </c>
      <c r="K975" t="n">
        <v>1</v>
      </c>
      <c r="L975" t="inlineStr"/>
      <c r="M975" t="inlineStr"/>
    </row>
    <row r="976">
      <c r="A976" t="inlineStr">
        <is>
          <t>No</t>
        </is>
      </c>
      <c r="B976" t="inlineStr"/>
      <c r="C976" t="inlineStr"/>
      <c r="D976" t="inlineStr"/>
      <c r="E976" t="inlineStr">
        <is>
          <t>It was never an option for me due to my work schedule</t>
        </is>
      </c>
      <c r="F976" t="inlineStr">
        <is>
          <t>Work Schedule / Time Off</t>
        </is>
      </c>
      <c r="G976" t="inlineStr">
        <is>
          <t>Work Schedule / Time Off</t>
        </is>
      </c>
      <c r="H976" t="inlineStr"/>
      <c r="I976" t="inlineStr">
        <is>
          <t>HXP Can Influence</t>
        </is>
      </c>
      <c r="J976" t="b">
        <v>0</v>
      </c>
      <c r="K976" t="n">
        <v>1</v>
      </c>
      <c r="L976" t="inlineStr"/>
      <c r="M976" t="inlineStr"/>
    </row>
    <row r="977">
      <c r="A977" t="inlineStr">
        <is>
          <t>No</t>
        </is>
      </c>
      <c r="B977" t="inlineStr"/>
      <c r="C977" t="inlineStr"/>
      <c r="D977" t="inlineStr"/>
      <c r="E977" t="inlineStr">
        <is>
          <t>Work schedule and wanted my youth to experience it on their own</t>
        </is>
      </c>
      <c r="F977" t="inlineStr">
        <is>
          <t>Work Schedule / Time Off</t>
        </is>
      </c>
      <c r="G977" t="inlineStr">
        <is>
          <t>Work Schedule / Time Off; Wants Child to Have Independent Experience</t>
        </is>
      </c>
      <c r="H977" t="inlineStr"/>
      <c r="I977" t="inlineStr">
        <is>
          <t>HXP Can Influence</t>
        </is>
      </c>
      <c r="J977" t="b">
        <v>0</v>
      </c>
      <c r="K977" t="n">
        <v>2</v>
      </c>
      <c r="L977" t="inlineStr"/>
      <c r="M977" t="inlineStr"/>
    </row>
    <row r="978">
      <c r="A978" t="inlineStr">
        <is>
          <t>No</t>
        </is>
      </c>
      <c r="B978" t="inlineStr"/>
      <c r="C978" t="inlineStr"/>
      <c r="D978" t="inlineStr"/>
      <c r="E978" t="inlineStr"/>
      <c r="F978" t="inlineStr"/>
      <c r="G978" t="inlineStr"/>
      <c r="H978" t="inlineStr"/>
      <c r="I978" t="inlineStr"/>
      <c r="J978" t="b">
        <v>0</v>
      </c>
      <c r="K978" t="n">
        <v>0</v>
      </c>
      <c r="L978" t="inlineStr"/>
      <c r="M978" t="inlineStr"/>
    </row>
    <row r="979">
      <c r="A979" t="inlineStr">
        <is>
          <t>No</t>
        </is>
      </c>
      <c r="B979" t="inlineStr"/>
      <c r="C979" t="inlineStr"/>
      <c r="D979" t="inlineStr"/>
      <c r="E979" t="inlineStr">
        <is>
          <t>Small children at home</t>
        </is>
      </c>
      <c r="F979" t="inlineStr">
        <is>
          <t>Other Kids / Family at Home</t>
        </is>
      </c>
      <c r="G979" t="inlineStr">
        <is>
          <t>Other Kids / Family at Home</t>
        </is>
      </c>
      <c r="H979" t="inlineStr"/>
      <c r="I979" t="inlineStr">
        <is>
          <t>Family's Own Choice</t>
        </is>
      </c>
      <c r="J979" t="b">
        <v>0</v>
      </c>
      <c r="K979" t="n">
        <v>1</v>
      </c>
      <c r="L979" t="inlineStr"/>
      <c r="M979" t="inlineStr"/>
    </row>
    <row r="980">
      <c r="A980" t="inlineStr">
        <is>
          <t>No</t>
        </is>
      </c>
      <c r="B980" t="inlineStr"/>
      <c r="C980" t="inlineStr"/>
      <c r="D980" t="inlineStr"/>
      <c r="E980" t="inlineStr">
        <is>
          <t>My child wanted to go by herself</t>
        </is>
      </c>
      <c r="F980" t="inlineStr">
        <is>
          <t>Child Didn't Want Parent to Come</t>
        </is>
      </c>
      <c r="G980" t="inlineStr">
        <is>
          <t>Child Didn't Want Parent to Come</t>
        </is>
      </c>
      <c r="H980" t="inlineStr"/>
      <c r="I980" t="inlineStr">
        <is>
          <t>Family's Own Choice</t>
        </is>
      </c>
      <c r="J980" t="b">
        <v>0</v>
      </c>
      <c r="K980" t="n">
        <v>1</v>
      </c>
      <c r="L980" t="inlineStr"/>
      <c r="M980" t="inlineStr"/>
    </row>
    <row r="981">
      <c r="A981" t="inlineStr">
        <is>
          <t>No</t>
        </is>
      </c>
      <c r="B981" t="inlineStr"/>
      <c r="C981" t="inlineStr"/>
      <c r="D981" t="inlineStr"/>
      <c r="E981" t="inlineStr">
        <is>
          <t>Because of the cost</t>
        </is>
      </c>
      <c r="F981" t="inlineStr">
        <is>
          <t>Cost / Finances</t>
        </is>
      </c>
      <c r="G981" t="inlineStr">
        <is>
          <t>Cost / Finances</t>
        </is>
      </c>
      <c r="H981" t="inlineStr"/>
      <c r="I981" t="inlineStr">
        <is>
          <t>HXP Can Directly Fix</t>
        </is>
      </c>
      <c r="J981" t="b">
        <v>0</v>
      </c>
      <c r="K981" t="n">
        <v>1</v>
      </c>
      <c r="L981" t="inlineStr"/>
      <c r="M981" t="inlineStr"/>
    </row>
    <row r="982">
      <c r="A982" t="inlineStr">
        <is>
          <t>No</t>
        </is>
      </c>
      <c r="B982" t="inlineStr"/>
      <c r="C982" t="inlineStr"/>
      <c r="D982" t="inlineStr"/>
      <c r="E982" t="inlineStr">
        <is>
          <t>Responsibilities this summer. I'd love to go another time.</t>
        </is>
      </c>
      <c r="F982" t="inlineStr">
        <is>
          <t>Work Schedule / Time Off</t>
        </is>
      </c>
      <c r="G982" t="inlineStr">
        <is>
          <t>Work Schedule / Time Off</t>
        </is>
      </c>
      <c r="H982" t="inlineStr"/>
      <c r="I982" t="inlineStr">
        <is>
          <t>HXP Can Influence</t>
        </is>
      </c>
      <c r="J982" t="b">
        <v>0</v>
      </c>
      <c r="K982" t="n">
        <v>1</v>
      </c>
      <c r="L982" t="inlineStr"/>
      <c r="M982" t="inlineStr"/>
    </row>
    <row r="983">
      <c r="A983" t="inlineStr">
        <is>
          <t>No</t>
        </is>
      </c>
      <c r="B983" t="inlineStr"/>
      <c r="C983" t="inlineStr"/>
      <c r="D983" t="inlineStr"/>
      <c r="E983" t="inlineStr"/>
      <c r="F983" t="inlineStr"/>
      <c r="G983" t="inlineStr"/>
      <c r="H983" t="inlineStr"/>
      <c r="I983" t="inlineStr"/>
      <c r="J983" t="b">
        <v>0</v>
      </c>
      <c r="K983" t="n">
        <v>0</v>
      </c>
      <c r="L983" t="inlineStr"/>
      <c r="M983" t="inlineStr"/>
    </row>
    <row r="984">
      <c r="A984" t="inlineStr">
        <is>
          <t>No</t>
        </is>
      </c>
      <c r="B984" t="inlineStr"/>
      <c r="C984" t="inlineStr"/>
      <c r="D984" t="inlineStr"/>
      <c r="E984" t="inlineStr">
        <is>
          <t>I have 3 younger kids at home that I need to be with for other summer activities</t>
        </is>
      </c>
      <c r="F984" t="inlineStr">
        <is>
          <t>Other Kids / Family at Home</t>
        </is>
      </c>
      <c r="G984" t="inlineStr">
        <is>
          <t>Other Kids / Family at Home</t>
        </is>
      </c>
      <c r="H984" t="inlineStr"/>
      <c r="I984" t="inlineStr">
        <is>
          <t>Family's Own Choice</t>
        </is>
      </c>
      <c r="J984" t="b">
        <v>0</v>
      </c>
      <c r="K984" t="n">
        <v>1</v>
      </c>
      <c r="L984" t="inlineStr"/>
      <c r="M984" t="inlineStr"/>
    </row>
    <row r="985">
      <c r="A985" t="inlineStr">
        <is>
          <t>No</t>
        </is>
      </c>
      <c r="B985" t="inlineStr"/>
      <c r="C985" t="inlineStr"/>
      <c r="D985" t="inlineStr"/>
      <c r="E985" t="inlineStr">
        <is>
          <t>Time</t>
        </is>
      </c>
      <c r="F985" t="inlineStr">
        <is>
          <t>Work Schedule / Time Off</t>
        </is>
      </c>
      <c r="G985" t="inlineStr">
        <is>
          <t>Work Schedule / Time Off</t>
        </is>
      </c>
      <c r="H985" t="inlineStr"/>
      <c r="I985" t="inlineStr">
        <is>
          <t>HXP Can Influence</t>
        </is>
      </c>
      <c r="J985" t="b">
        <v>0</v>
      </c>
      <c r="K985" t="n">
        <v>1</v>
      </c>
      <c r="L985" t="inlineStr"/>
      <c r="M985" t="inlineStr"/>
    </row>
    <row r="986">
      <c r="A986" t="inlineStr">
        <is>
          <t>No</t>
        </is>
      </c>
      <c r="B986" t="inlineStr"/>
      <c r="C986" t="inlineStr"/>
      <c r="D986" t="inlineStr"/>
      <c r="E986" t="inlineStr">
        <is>
          <t>My daughters cousin and also my daughter wanted something more after fsy</t>
        </is>
      </c>
      <c r="F986" t="inlineStr">
        <is>
          <t>Other / Uncategorized</t>
        </is>
      </c>
      <c r="G986" t="inlineStr"/>
      <c r="H986" t="inlineStr"/>
      <c r="I986" t="inlineStr">
        <is>
          <t>Unknown</t>
        </is>
      </c>
      <c r="J986" t="b">
        <v>0</v>
      </c>
      <c r="K986" t="n">
        <v>0</v>
      </c>
      <c r="L986" t="inlineStr"/>
      <c r="M986" t="inlineStr"/>
    </row>
    <row r="987">
      <c r="A987" t="inlineStr">
        <is>
          <t>No</t>
        </is>
      </c>
      <c r="B987" t="inlineStr"/>
      <c r="C987" t="inlineStr"/>
      <c r="D987" t="inlineStr"/>
      <c r="E987" t="inlineStr">
        <is>
          <t>I wanted my son to have this experience by himself</t>
        </is>
      </c>
      <c r="F987" t="inlineStr">
        <is>
          <t>Child Didn't Want Parent to Come</t>
        </is>
      </c>
      <c r="G987" t="inlineStr">
        <is>
          <t>Child Didn't Want Parent to Come; Wants Child to Have Independent Experience</t>
        </is>
      </c>
      <c r="H987" t="inlineStr"/>
      <c r="I987" t="inlineStr">
        <is>
          <t>Family's Own Choice</t>
        </is>
      </c>
      <c r="J987" t="b">
        <v>0</v>
      </c>
      <c r="K987" t="n">
        <v>2</v>
      </c>
      <c r="L987" t="inlineStr"/>
      <c r="M987" t="inlineStr"/>
    </row>
    <row r="988">
      <c r="A988" t="inlineStr">
        <is>
          <t>No</t>
        </is>
      </c>
      <c r="B988" t="inlineStr"/>
      <c r="C988" t="inlineStr"/>
      <c r="D988" t="inlineStr"/>
      <c r="E988" t="inlineStr">
        <is>
          <t>My summer was booked with other activities, I'm planning on going next year.</t>
        </is>
      </c>
      <c r="F988" t="inlineStr">
        <is>
          <t>Work Schedule / Time Off</t>
        </is>
      </c>
      <c r="G988" t="inlineStr">
        <is>
          <t>Work Schedule / Time Off; Other Life Commitment</t>
        </is>
      </c>
      <c r="H988" t="inlineStr"/>
      <c r="I988" t="inlineStr">
        <is>
          <t>HXP Can Influence</t>
        </is>
      </c>
      <c r="J988" t="b">
        <v>1</v>
      </c>
      <c r="K988" t="n">
        <v>2</v>
      </c>
      <c r="L988" t="inlineStr"/>
      <c r="M988" t="inlineStr"/>
    </row>
    <row r="989">
      <c r="A989" t="inlineStr">
        <is>
          <t>No</t>
        </is>
      </c>
      <c r="B989" t="inlineStr"/>
      <c r="C989" t="inlineStr"/>
      <c r="D989" t="inlineStr"/>
      <c r="E989" t="inlineStr">
        <is>
          <t>Wanted my son to be on his own.</t>
        </is>
      </c>
      <c r="F989" t="inlineStr">
        <is>
          <t>Wants Child to Have Independent Experience</t>
        </is>
      </c>
      <c r="G989" t="inlineStr">
        <is>
          <t>Wants Child to Have Independent Experience</t>
        </is>
      </c>
      <c r="H989" t="inlineStr"/>
      <c r="I989" t="inlineStr">
        <is>
          <t>Family's Own Choice</t>
        </is>
      </c>
      <c r="J989" t="b">
        <v>0</v>
      </c>
      <c r="K989" t="n">
        <v>1</v>
      </c>
      <c r="L989" t="inlineStr"/>
      <c r="M989" t="inlineStr"/>
    </row>
    <row r="990">
      <c r="A990" t="inlineStr">
        <is>
          <t>No</t>
        </is>
      </c>
      <c r="B990" t="inlineStr"/>
      <c r="C990" t="inlineStr"/>
      <c r="D990" t="inlineStr"/>
      <c r="E990" t="inlineStr">
        <is>
          <t>we have a lot of kids. can't get away</t>
        </is>
      </c>
      <c r="F990" t="inlineStr">
        <is>
          <t>Other Kids / Family at Home</t>
        </is>
      </c>
      <c r="G990" t="inlineStr">
        <is>
          <t>Other Kids / Family at Home</t>
        </is>
      </c>
      <c r="H990" t="inlineStr"/>
      <c r="I990" t="inlineStr">
        <is>
          <t>Family's Own Choice</t>
        </is>
      </c>
      <c r="J990" t="b">
        <v>0</v>
      </c>
      <c r="K990" t="n">
        <v>1</v>
      </c>
      <c r="L990" t="inlineStr"/>
      <c r="M990" t="inlineStr"/>
    </row>
    <row r="991">
      <c r="A991" t="inlineStr">
        <is>
          <t>No</t>
        </is>
      </c>
      <c r="B991" t="inlineStr"/>
      <c r="C991" t="inlineStr"/>
      <c r="D991" t="inlineStr"/>
      <c r="E991" t="inlineStr">
        <is>
          <t>My builder wanted to have an experience without parents.</t>
        </is>
      </c>
      <c r="F991" t="inlineStr">
        <is>
          <t>Wants Child to Have Independent Experience</t>
        </is>
      </c>
      <c r="G991" t="inlineStr">
        <is>
          <t>Wants Child to Have Independent Experience</t>
        </is>
      </c>
      <c r="H991" t="inlineStr"/>
      <c r="I991" t="inlineStr">
        <is>
          <t>Family's Own Choice</t>
        </is>
      </c>
      <c r="J991" t="b">
        <v>0</v>
      </c>
      <c r="K991" t="n">
        <v>1</v>
      </c>
      <c r="L991" t="inlineStr"/>
      <c r="M991" t="inlineStr"/>
    </row>
    <row r="992">
      <c r="A992" t="inlineStr">
        <is>
          <t>Yes</t>
        </is>
      </c>
      <c r="B992" t="inlineStr">
        <is>
          <t>We joined so late it guaranteed my son a spot. Plus, I'm super excited to be included!!</t>
        </is>
      </c>
      <c r="C992" t="inlineStr">
        <is>
          <t>Wanted Shared Experience with Child</t>
        </is>
      </c>
      <c r="D992" t="inlineStr">
        <is>
          <t>Wanted Shared Experience with Child</t>
        </is>
      </c>
      <c r="E992" t="inlineStr"/>
      <c r="F992" t="inlineStr"/>
      <c r="G992" t="inlineStr"/>
      <c r="H992" t="inlineStr"/>
      <c r="I992" t="inlineStr"/>
      <c r="J992" t="b">
        <v>0</v>
      </c>
      <c r="K992" t="n">
        <v>0</v>
      </c>
      <c r="L992" t="inlineStr"/>
      <c r="M992" t="inlineStr"/>
    </row>
    <row r="993">
      <c r="A993" t="inlineStr">
        <is>
          <t>No</t>
        </is>
      </c>
      <c r="B993" t="inlineStr"/>
      <c r="C993" t="inlineStr"/>
      <c r="D993" t="inlineStr"/>
      <c r="E993" t="inlineStr">
        <is>
          <t>My daughter is excited about going on this trip on her own.</t>
        </is>
      </c>
      <c r="F993" t="inlineStr">
        <is>
          <t>Wants Child to Have Independent Experience</t>
        </is>
      </c>
      <c r="G993" t="inlineStr">
        <is>
          <t>Wants Child to Have Independent Experience</t>
        </is>
      </c>
      <c r="H993" t="inlineStr"/>
      <c r="I993" t="inlineStr">
        <is>
          <t>Family's Own Choice</t>
        </is>
      </c>
      <c r="J993" t="b">
        <v>0</v>
      </c>
      <c r="K993" t="n">
        <v>1</v>
      </c>
      <c r="L993" t="inlineStr"/>
      <c r="M993" t="inlineStr"/>
    </row>
    <row r="994">
      <c r="A994" t="inlineStr">
        <is>
          <t>No</t>
        </is>
      </c>
      <c r="B994" t="inlineStr"/>
      <c r="C994" t="inlineStr"/>
      <c r="D994" t="inlineStr"/>
      <c r="E994" t="inlineStr">
        <is>
          <t>I went with my builder last year to Guatemala on a service trip and he told me it was the best experience of his life and he wanted to go another time without me;) I was happy to oblige for him to spread his wings even though a trip to Cambodia for service sounds rad.</t>
        </is>
      </c>
      <c r="F994" t="inlineStr">
        <is>
          <t>Work Schedule / Time Off</t>
        </is>
      </c>
      <c r="G994" t="inlineStr">
        <is>
          <t>Work Schedule / Time Off; Wants Child to Have Independent Experience</t>
        </is>
      </c>
      <c r="H994" t="inlineStr"/>
      <c r="I994" t="inlineStr">
        <is>
          <t>HXP Can Influence</t>
        </is>
      </c>
      <c r="J994" t="b">
        <v>0</v>
      </c>
      <c r="K994" t="n">
        <v>2</v>
      </c>
      <c r="L994" t="inlineStr"/>
      <c r="M994" t="inlineStr"/>
    </row>
    <row r="995">
      <c r="A995" t="inlineStr">
        <is>
          <t>No</t>
        </is>
      </c>
      <c r="B995" t="inlineStr"/>
      <c r="C995" t="inlineStr"/>
      <c r="D995" t="inlineStr"/>
      <c r="E995" t="inlineStr">
        <is>
          <t>time off work</t>
        </is>
      </c>
      <c r="F995" t="inlineStr">
        <is>
          <t>Work Schedule / Time Off</t>
        </is>
      </c>
      <c r="G995" t="inlineStr">
        <is>
          <t>Work Schedule / Time Off</t>
        </is>
      </c>
      <c r="H995" t="inlineStr"/>
      <c r="I995" t="inlineStr">
        <is>
          <t>HXP Can Influence</t>
        </is>
      </c>
      <c r="J995" t="b">
        <v>0</v>
      </c>
      <c r="K995" t="n">
        <v>1</v>
      </c>
      <c r="L995" t="inlineStr"/>
      <c r="M995" t="inlineStr"/>
    </row>
    <row r="996">
      <c r="A996" t="inlineStr">
        <is>
          <t>Yes</t>
        </is>
      </c>
      <c r="B996" t="inlineStr">
        <is>
          <t>Help my kids to build long lasting friendship and thief testimonies</t>
        </is>
      </c>
      <c r="C996" t="inlineStr">
        <is>
          <t>Faith / Service Motivation</t>
        </is>
      </c>
      <c r="D996" t="inlineStr">
        <is>
          <t>Faith / Service Motivation</t>
        </is>
      </c>
      <c r="E996" t="inlineStr"/>
      <c r="F996" t="inlineStr"/>
      <c r="G996" t="inlineStr"/>
      <c r="H996" t="inlineStr"/>
      <c r="I996" t="inlineStr"/>
      <c r="J996" t="b">
        <v>0</v>
      </c>
      <c r="K996" t="n">
        <v>0</v>
      </c>
      <c r="L996" t="inlineStr"/>
      <c r="M996" t="inlineStr"/>
    </row>
    <row r="997">
      <c r="A997" t="inlineStr">
        <is>
          <t>No</t>
        </is>
      </c>
      <c r="B997" t="inlineStr"/>
      <c r="C997" t="inlineStr"/>
      <c r="D997" t="inlineStr"/>
      <c r="E997" t="inlineStr">
        <is>
          <t>Work, other children at home</t>
        </is>
      </c>
      <c r="F997" t="inlineStr">
        <is>
          <t>Work Schedule / Time Off</t>
        </is>
      </c>
      <c r="G997" t="inlineStr">
        <is>
          <t>Work Schedule / Time Off; Other Kids / Family at Home</t>
        </is>
      </c>
      <c r="H997" t="inlineStr"/>
      <c r="I997" t="inlineStr">
        <is>
          <t>HXP Can Influence</t>
        </is>
      </c>
      <c r="J997" t="b">
        <v>0</v>
      </c>
      <c r="K997" t="n">
        <v>2</v>
      </c>
      <c r="L997" t="inlineStr"/>
      <c r="M997" t="inlineStr"/>
    </row>
    <row r="998">
      <c r="A998" t="inlineStr">
        <is>
          <t>No</t>
        </is>
      </c>
      <c r="B998" t="inlineStr"/>
      <c r="C998" t="inlineStr"/>
      <c r="D998" t="inlineStr"/>
      <c r="E998" t="inlineStr">
        <is>
          <t>My son wouldn't let me since I went last year. He said he wants to do one on his own.</t>
        </is>
      </c>
      <c r="F998" t="inlineStr">
        <is>
          <t>Wants Child to Have Independent Experience</t>
        </is>
      </c>
      <c r="G998" t="inlineStr">
        <is>
          <t>Wants Child to Have Independent Experience</t>
        </is>
      </c>
      <c r="H998" t="inlineStr"/>
      <c r="I998" t="inlineStr">
        <is>
          <t>Family's Own Choice</t>
        </is>
      </c>
      <c r="J998" t="b">
        <v>0</v>
      </c>
      <c r="K998" t="n">
        <v>1</v>
      </c>
      <c r="L998" t="inlineStr"/>
      <c r="M998" t="inlineStr"/>
    </row>
    <row r="999">
      <c r="A999" t="inlineStr">
        <is>
          <t>No</t>
        </is>
      </c>
      <c r="B999" t="inlineStr"/>
      <c r="C999" t="inlineStr"/>
      <c r="D999" t="inlineStr"/>
      <c r="E999" t="inlineStr">
        <is>
          <t>Cost</t>
        </is>
      </c>
      <c r="F999" t="inlineStr">
        <is>
          <t>Cost / Finances</t>
        </is>
      </c>
      <c r="G999" t="inlineStr">
        <is>
          <t>Cost / Finances</t>
        </is>
      </c>
      <c r="H999" t="inlineStr"/>
      <c r="I999" t="inlineStr">
        <is>
          <t>HXP Can Directly Fix</t>
        </is>
      </c>
      <c r="J999" t="b">
        <v>0</v>
      </c>
      <c r="K999" t="n">
        <v>1</v>
      </c>
      <c r="L999" t="inlineStr"/>
      <c r="M999" t="inlineStr"/>
    </row>
    <row r="1000">
      <c r="A1000" t="inlineStr">
        <is>
          <t>Yes</t>
        </is>
      </c>
      <c r="B1000" t="inlineStr">
        <is>
          <t>Save my daughter</t>
        </is>
      </c>
      <c r="C1000" t="inlineStr">
        <is>
          <t>Other / Uncategorized</t>
        </is>
      </c>
      <c r="D1000" t="inlineStr"/>
      <c r="E1000" t="inlineStr"/>
      <c r="F1000" t="inlineStr"/>
      <c r="G1000" t="inlineStr"/>
      <c r="H1000" t="inlineStr"/>
      <c r="I1000" t="inlineStr"/>
      <c r="J1000" t="b">
        <v>0</v>
      </c>
      <c r="K1000" t="n">
        <v>0</v>
      </c>
      <c r="L1000" t="inlineStr"/>
      <c r="M1000" t="inlineStr"/>
    </row>
    <row r="1001">
      <c r="A1001" t="inlineStr">
        <is>
          <t>Maybe</t>
        </is>
      </c>
      <c r="B1001" t="inlineStr"/>
      <c r="C1001" t="inlineStr"/>
      <c r="D1001" t="inlineStr"/>
      <c r="E1001" t="inlineStr"/>
      <c r="F1001" t="inlineStr"/>
      <c r="G1001" t="inlineStr"/>
      <c r="H1001" t="inlineStr">
        <is>
          <t>If it was cheaper for the parents.</t>
        </is>
      </c>
      <c r="I1001" t="inlineStr"/>
      <c r="J1001" t="b">
        <v>0</v>
      </c>
      <c r="K1001" t="n">
        <v>0</v>
      </c>
      <c r="L1001" t="inlineStr">
        <is>
          <t>Cost / Financial Assistance</t>
        </is>
      </c>
      <c r="M1001" t="inlineStr">
        <is>
          <t>Cost / Financial Assistance</t>
        </is>
      </c>
    </row>
    <row r="1002">
      <c r="A1002" t="inlineStr">
        <is>
          <t>No</t>
        </is>
      </c>
      <c r="B1002" t="inlineStr"/>
      <c r="C1002" t="inlineStr"/>
      <c r="D1002" t="inlineStr"/>
      <c r="E1002" t="inlineStr">
        <is>
          <t>Cost and time. Although I'd love to go. Maybe with one of my younger kids</t>
        </is>
      </c>
      <c r="F1002" t="inlineStr">
        <is>
          <t>Cost / Finances</t>
        </is>
      </c>
      <c r="G1002" t="inlineStr">
        <is>
          <t>Cost / Finances; Work Schedule / Time Off; Other Kids / Family at Home</t>
        </is>
      </c>
      <c r="H1002" t="inlineStr"/>
      <c r="I1002" t="inlineStr">
        <is>
          <t>HXP Can Directly Fix</t>
        </is>
      </c>
      <c r="J1002" t="b">
        <v>0</v>
      </c>
      <c r="K1002" t="n">
        <v>3</v>
      </c>
      <c r="L1002" t="inlineStr"/>
      <c r="M1002" t="inlineStr"/>
    </row>
    <row r="1003">
      <c r="A1003" t="inlineStr">
        <is>
          <t>No</t>
        </is>
      </c>
      <c r="B1003" t="inlineStr"/>
      <c r="C1003" t="inlineStr"/>
      <c r="D1003" t="inlineStr"/>
      <c r="E1003" t="inlineStr"/>
      <c r="F1003" t="inlineStr"/>
      <c r="G1003" t="inlineStr"/>
      <c r="H1003" t="inlineStr"/>
      <c r="I1003" t="inlineStr"/>
      <c r="J1003" t="b">
        <v>0</v>
      </c>
      <c r="K1003" t="n">
        <v>0</v>
      </c>
      <c r="L1003" t="inlineStr"/>
      <c r="M1003" t="inlineStr"/>
    </row>
    <row r="1004">
      <c r="A1004" t="inlineStr">
        <is>
          <t>Yes</t>
        </is>
      </c>
      <c r="B1004" t="inlineStr">
        <is>
          <t>Experience</t>
        </is>
      </c>
      <c r="C1004" t="inlineStr">
        <is>
          <t>Wanted Shared Experience with Child</t>
        </is>
      </c>
      <c r="D1004" t="inlineStr">
        <is>
          <t>Wanted Shared Experience with Child</t>
        </is>
      </c>
      <c r="E1004" t="inlineStr"/>
      <c r="F1004" t="inlineStr"/>
      <c r="G1004" t="inlineStr"/>
      <c r="H1004" t="inlineStr"/>
      <c r="I1004" t="inlineStr"/>
      <c r="J1004" t="b">
        <v>0</v>
      </c>
      <c r="K1004" t="n">
        <v>0</v>
      </c>
      <c r="L1004" t="inlineStr"/>
      <c r="M1004" t="inlineStr"/>
    </row>
    <row r="1005">
      <c r="A1005" t="inlineStr">
        <is>
          <t>No</t>
        </is>
      </c>
      <c r="B1005" t="inlineStr"/>
      <c r="C1005" t="inlineStr"/>
      <c r="D1005" t="inlineStr"/>
      <c r="E1005" t="inlineStr">
        <is>
          <t>I have too many younger kids still at home.</t>
        </is>
      </c>
      <c r="F1005" t="inlineStr">
        <is>
          <t>Other Kids / Family at Home</t>
        </is>
      </c>
      <c r="G1005" t="inlineStr">
        <is>
          <t>Other Kids / Family at Home</t>
        </is>
      </c>
      <c r="H1005" t="inlineStr"/>
      <c r="I1005" t="inlineStr">
        <is>
          <t>Family's Own Choice</t>
        </is>
      </c>
      <c r="J1005" t="b">
        <v>0</v>
      </c>
      <c r="K1005" t="n">
        <v>1</v>
      </c>
      <c r="L1005" t="inlineStr"/>
      <c r="M1005" t="inlineStr"/>
    </row>
    <row r="1006">
      <c r="A1006" t="inlineStr">
        <is>
          <t>No</t>
        </is>
      </c>
      <c r="B1006" t="inlineStr"/>
      <c r="C1006" t="inlineStr"/>
      <c r="D1006" t="inlineStr"/>
      <c r="E1006" t="inlineStr">
        <is>
          <t>Wanted my daughter to get some experience being independent</t>
        </is>
      </c>
      <c r="F1006" t="inlineStr">
        <is>
          <t>Wants Child to Have Independent Experience</t>
        </is>
      </c>
      <c r="G1006" t="inlineStr">
        <is>
          <t>Wants Child to Have Independent Experience</t>
        </is>
      </c>
      <c r="H1006" t="inlineStr"/>
      <c r="I1006" t="inlineStr">
        <is>
          <t>Family's Own Choice</t>
        </is>
      </c>
      <c r="J1006" t="b">
        <v>0</v>
      </c>
      <c r="K1006" t="n">
        <v>1</v>
      </c>
      <c r="L1006" t="inlineStr"/>
      <c r="M1006" t="inlineStr"/>
    </row>
    <row r="1007">
      <c r="A1007" t="inlineStr">
        <is>
          <t>No</t>
        </is>
      </c>
      <c r="B1007" t="inlineStr"/>
      <c r="C1007" t="inlineStr"/>
      <c r="D1007" t="inlineStr"/>
      <c r="E1007" t="inlineStr">
        <is>
          <t>family responsibilites</t>
        </is>
      </c>
      <c r="F1007" t="inlineStr">
        <is>
          <t>Work Schedule / Time Off</t>
        </is>
      </c>
      <c r="G1007" t="inlineStr">
        <is>
          <t>Work Schedule / Time Off</t>
        </is>
      </c>
      <c r="H1007" t="inlineStr"/>
      <c r="I1007" t="inlineStr">
        <is>
          <t>HXP Can Influence</t>
        </is>
      </c>
      <c r="J1007" t="b">
        <v>0</v>
      </c>
      <c r="K1007" t="n">
        <v>1</v>
      </c>
      <c r="L1007" t="inlineStr"/>
      <c r="M1007" t="inlineStr"/>
    </row>
    <row r="1008">
      <c r="A1008" t="inlineStr">
        <is>
          <t>No</t>
        </is>
      </c>
      <c r="B1008" t="inlineStr"/>
      <c r="C1008" t="inlineStr"/>
      <c r="D1008" t="inlineStr"/>
      <c r="E1008" t="inlineStr">
        <is>
          <t>Finances</t>
        </is>
      </c>
      <c r="F1008" t="inlineStr">
        <is>
          <t>Cost / Finances</t>
        </is>
      </c>
      <c r="G1008" t="inlineStr">
        <is>
          <t>Cost / Finances</t>
        </is>
      </c>
      <c r="H1008" t="inlineStr"/>
      <c r="I1008" t="inlineStr">
        <is>
          <t>HXP Can Directly Fix</t>
        </is>
      </c>
      <c r="J1008" t="b">
        <v>0</v>
      </c>
      <c r="K1008" t="n">
        <v>1</v>
      </c>
      <c r="L1008" t="inlineStr"/>
      <c r="M1008" t="inlineStr"/>
    </row>
    <row r="1009">
      <c r="A1009" t="inlineStr">
        <is>
          <t>No</t>
        </is>
      </c>
      <c r="B1009" t="inlineStr"/>
      <c r="C1009" t="inlineStr"/>
      <c r="D1009" t="inlineStr"/>
      <c r="E1009" t="inlineStr">
        <is>
          <t>I wanted to let me son go without his dad on the trip.</t>
        </is>
      </c>
      <c r="F1009" t="inlineStr">
        <is>
          <t>Wants Child to Have Independent Experience</t>
        </is>
      </c>
      <c r="G1009" t="inlineStr">
        <is>
          <t>Wants Child to Have Independent Experience</t>
        </is>
      </c>
      <c r="H1009" t="inlineStr"/>
      <c r="I1009" t="inlineStr">
        <is>
          <t>Family's Own Choice</t>
        </is>
      </c>
      <c r="J1009" t="b">
        <v>0</v>
      </c>
      <c r="K1009" t="n">
        <v>1</v>
      </c>
      <c r="L1009" t="inlineStr"/>
      <c r="M1009" t="inlineStr"/>
    </row>
    <row r="1010">
      <c r="A1010" t="inlineStr">
        <is>
          <t>No</t>
        </is>
      </c>
      <c r="B1010" t="inlineStr"/>
      <c r="C1010" t="inlineStr"/>
      <c r="D1010" t="inlineStr"/>
      <c r="E1010" t="inlineStr">
        <is>
          <t>My daughter wanted to experience it independently</t>
        </is>
      </c>
      <c r="F1010" t="inlineStr">
        <is>
          <t>Wants Child to Have Independent Experience</t>
        </is>
      </c>
      <c r="G1010" t="inlineStr">
        <is>
          <t>Wants Child to Have Independent Experience</t>
        </is>
      </c>
      <c r="H1010" t="inlineStr"/>
      <c r="I1010" t="inlineStr">
        <is>
          <t>Family's Own Choice</t>
        </is>
      </c>
      <c r="J1010" t="b">
        <v>0</v>
      </c>
      <c r="K1010" t="n">
        <v>1</v>
      </c>
      <c r="L1010" t="inlineStr"/>
      <c r="M1010" t="inlineStr"/>
    </row>
    <row r="1011">
      <c r="A1011" t="inlineStr">
        <is>
          <t>No</t>
        </is>
      </c>
      <c r="B1011" t="inlineStr"/>
      <c r="C1011" t="inlineStr"/>
      <c r="D1011" t="inlineStr"/>
      <c r="E1011" t="inlineStr">
        <is>
          <t>Money</t>
        </is>
      </c>
      <c r="F1011" t="inlineStr">
        <is>
          <t>Cost / Finances</t>
        </is>
      </c>
      <c r="G1011" t="inlineStr">
        <is>
          <t>Cost / Finances</t>
        </is>
      </c>
      <c r="H1011" t="inlineStr"/>
      <c r="I1011" t="inlineStr">
        <is>
          <t>HXP Can Directly Fix</t>
        </is>
      </c>
      <c r="J1011" t="b">
        <v>0</v>
      </c>
      <c r="K1011" t="n">
        <v>1</v>
      </c>
      <c r="L1011" t="inlineStr"/>
      <c r="M1011" t="inlineStr"/>
    </row>
    <row r="1012">
      <c r="A1012" t="inlineStr">
        <is>
          <t>No</t>
        </is>
      </c>
      <c r="B1012" t="inlineStr"/>
      <c r="C1012" t="inlineStr"/>
      <c r="D1012" t="inlineStr"/>
      <c r="E1012" t="inlineStr">
        <is>
          <t>I have younger children at home and I want my daughter to experience the independence of not going with us.</t>
        </is>
      </c>
      <c r="F1012" t="inlineStr">
        <is>
          <t>Other Kids / Family at Home</t>
        </is>
      </c>
      <c r="G1012" t="inlineStr">
        <is>
          <t>Other Kids / Family at Home; Wants Child to Have Independent Experience</t>
        </is>
      </c>
      <c r="H1012" t="inlineStr"/>
      <c r="I1012" t="inlineStr">
        <is>
          <t>Family's Own Choice</t>
        </is>
      </c>
      <c r="J1012" t="b">
        <v>0</v>
      </c>
      <c r="K1012" t="n">
        <v>2</v>
      </c>
      <c r="L1012" t="inlineStr"/>
      <c r="M1012" t="inlineStr"/>
    </row>
    <row r="1013">
      <c r="A1013" t="inlineStr">
        <is>
          <t>No</t>
        </is>
      </c>
      <c r="B1013" t="inlineStr"/>
      <c r="C1013" t="inlineStr"/>
      <c r="D1013" t="inlineStr"/>
      <c r="E1013" t="inlineStr">
        <is>
          <t>Work</t>
        </is>
      </c>
      <c r="F1013" t="inlineStr">
        <is>
          <t>Work Schedule / Time Off</t>
        </is>
      </c>
      <c r="G1013" t="inlineStr">
        <is>
          <t>Work Schedule / Time Off</t>
        </is>
      </c>
      <c r="H1013" t="inlineStr"/>
      <c r="I1013" t="inlineStr">
        <is>
          <t>HXP Can Influence</t>
        </is>
      </c>
      <c r="J1013" t="b">
        <v>0</v>
      </c>
      <c r="K1013" t="n">
        <v>1</v>
      </c>
      <c r="L1013" t="inlineStr"/>
      <c r="M1013" t="inlineStr"/>
    </row>
    <row r="1014">
      <c r="A1014" t="inlineStr">
        <is>
          <t>No</t>
        </is>
      </c>
      <c r="B1014" t="inlineStr"/>
      <c r="C1014" t="inlineStr"/>
      <c r="D1014" t="inlineStr"/>
      <c r="E1014" t="inlineStr">
        <is>
          <t>My daughter wanted to go alone</t>
        </is>
      </c>
      <c r="F1014" t="inlineStr">
        <is>
          <t>Wants Child to Have Independent Experience</t>
        </is>
      </c>
      <c r="G1014" t="inlineStr">
        <is>
          <t>Wants Child to Have Independent Experience</t>
        </is>
      </c>
      <c r="H1014" t="inlineStr"/>
      <c r="I1014" t="inlineStr">
        <is>
          <t>Family's Own Choice</t>
        </is>
      </c>
      <c r="J1014" t="b">
        <v>0</v>
      </c>
      <c r="K1014" t="n">
        <v>1</v>
      </c>
      <c r="L1014" t="inlineStr"/>
      <c r="M1014" t="inlineStr"/>
    </row>
    <row r="1015">
      <c r="A1015" t="inlineStr">
        <is>
          <t>No</t>
        </is>
      </c>
      <c r="B1015" t="inlineStr"/>
      <c r="C1015" t="inlineStr"/>
      <c r="D1015" t="inlineStr"/>
      <c r="E1015" t="inlineStr">
        <is>
          <t>time</t>
        </is>
      </c>
      <c r="F1015" t="inlineStr">
        <is>
          <t>Work Schedule / Time Off</t>
        </is>
      </c>
      <c r="G1015" t="inlineStr">
        <is>
          <t>Work Schedule / Time Off</t>
        </is>
      </c>
      <c r="H1015" t="inlineStr"/>
      <c r="I1015" t="inlineStr">
        <is>
          <t>HXP Can Influence</t>
        </is>
      </c>
      <c r="J1015" t="b">
        <v>0</v>
      </c>
      <c r="K1015" t="n">
        <v>1</v>
      </c>
      <c r="L1015" t="inlineStr"/>
      <c r="M1015" t="inlineStr"/>
    </row>
    <row r="1016">
      <c r="A1016" t="inlineStr">
        <is>
          <t>No</t>
        </is>
      </c>
      <c r="B1016" t="inlineStr"/>
      <c r="C1016" t="inlineStr"/>
      <c r="D1016" t="inlineStr"/>
      <c r="E1016" t="inlineStr">
        <is>
          <t>cost - it's already a huge expense just for our son to go</t>
        </is>
      </c>
      <c r="F1016" t="inlineStr">
        <is>
          <t>Cost / Finances</t>
        </is>
      </c>
      <c r="G1016" t="inlineStr">
        <is>
          <t>Cost / Finances</t>
        </is>
      </c>
      <c r="H1016" t="inlineStr"/>
      <c r="I1016" t="inlineStr">
        <is>
          <t>HXP Can Directly Fix</t>
        </is>
      </c>
      <c r="J1016" t="b">
        <v>0</v>
      </c>
      <c r="K1016" t="n">
        <v>1</v>
      </c>
      <c r="L1016" t="inlineStr"/>
      <c r="M1016" t="inlineStr"/>
    </row>
    <row r="1017">
      <c r="A1017" t="inlineStr">
        <is>
          <t>No</t>
        </is>
      </c>
      <c r="B1017" t="inlineStr"/>
      <c r="C1017" t="inlineStr"/>
      <c r="D1017" t="inlineStr"/>
      <c r="E1017" t="inlineStr">
        <is>
          <t>Couldn't get time off from work and wanted daughter to experience trip without parents.</t>
        </is>
      </c>
      <c r="F1017" t="inlineStr">
        <is>
          <t>Work Schedule / Time Off</t>
        </is>
      </c>
      <c r="G1017" t="inlineStr">
        <is>
          <t>Work Schedule / Time Off; Wants Child to Have Independent Experience</t>
        </is>
      </c>
      <c r="H1017" t="inlineStr"/>
      <c r="I1017" t="inlineStr">
        <is>
          <t>HXP Can Influence</t>
        </is>
      </c>
      <c r="J1017" t="b">
        <v>0</v>
      </c>
      <c r="K1017" t="n">
        <v>2</v>
      </c>
      <c r="L1017" t="inlineStr"/>
      <c r="M1017" t="inlineStr"/>
    </row>
    <row r="1018">
      <c r="A1018" t="inlineStr">
        <is>
          <t>Yes</t>
        </is>
      </c>
      <c r="B1018" t="inlineStr">
        <is>
          <t>HXP office reaching out to me personally to ask if I could go. Then my son saying he would be fine with it!</t>
        </is>
      </c>
      <c r="C1018" t="inlineStr">
        <is>
          <t>Personally Invited by HXP Staff/Trip Leader</t>
        </is>
      </c>
      <c r="D1018" t="inlineStr">
        <is>
          <t>Personally Invited by HXP Staff/Trip Leader</t>
        </is>
      </c>
      <c r="E1018" t="inlineStr"/>
      <c r="F1018" t="inlineStr"/>
      <c r="G1018" t="inlineStr"/>
      <c r="H1018" t="inlineStr"/>
      <c r="I1018" t="inlineStr"/>
      <c r="J1018" t="b">
        <v>0</v>
      </c>
      <c r="K1018" t="n">
        <v>0</v>
      </c>
      <c r="L1018" t="inlineStr"/>
      <c r="M1018" t="inlineStr"/>
    </row>
    <row r="1019">
      <c r="A1019" t="inlineStr">
        <is>
          <t>No</t>
        </is>
      </c>
      <c r="B1019" t="inlineStr"/>
      <c r="C1019" t="inlineStr"/>
      <c r="D1019" t="inlineStr"/>
      <c r="E1019" t="inlineStr">
        <is>
          <t>Timing and current money situation, but next year I'll try to volunteer to go with my son, domestically. He will still be 15.</t>
        </is>
      </c>
      <c r="F1019" t="inlineStr">
        <is>
          <t>Cost / Finances</t>
        </is>
      </c>
      <c r="G1019" t="inlineStr">
        <is>
          <t>Cost / Finances; Work Schedule / Time Off</t>
        </is>
      </c>
      <c r="H1019" t="inlineStr"/>
      <c r="I1019" t="inlineStr">
        <is>
          <t>HXP Can Directly Fix</t>
        </is>
      </c>
      <c r="J1019" t="b">
        <v>1</v>
      </c>
      <c r="K1019" t="n">
        <v>2</v>
      </c>
      <c r="L1019" t="inlineStr"/>
      <c r="M1019" t="inlineStr"/>
    </row>
    <row r="1020">
      <c r="A1020" t="inlineStr">
        <is>
          <t>No</t>
        </is>
      </c>
      <c r="B1020" t="inlineStr"/>
      <c r="C1020" t="inlineStr"/>
      <c r="D1020" t="inlineStr"/>
      <c r="E1020" t="inlineStr">
        <is>
          <t>too expensive</t>
        </is>
      </c>
      <c r="F1020" t="inlineStr">
        <is>
          <t>Cost / Finances</t>
        </is>
      </c>
      <c r="G1020" t="inlineStr">
        <is>
          <t>Cost / Finances</t>
        </is>
      </c>
      <c r="H1020" t="inlineStr"/>
      <c r="I1020" t="inlineStr">
        <is>
          <t>HXP Can Directly Fix</t>
        </is>
      </c>
      <c r="J1020" t="b">
        <v>0</v>
      </c>
      <c r="K1020" t="n">
        <v>1</v>
      </c>
      <c r="L1020" t="inlineStr"/>
      <c r="M1020" t="inlineStr"/>
    </row>
    <row r="1021">
      <c r="A1021" t="inlineStr">
        <is>
          <t>Maybe</t>
        </is>
      </c>
      <c r="B1021" t="inlineStr"/>
      <c r="C1021" t="inlineStr"/>
      <c r="D1021" t="inlineStr"/>
      <c r="E1021" t="inlineStr"/>
      <c r="F1021" t="inlineStr"/>
      <c r="G1021" t="inlineStr"/>
      <c r="H1021" t="inlineStr">
        <is>
          <t>If it were easier to get a spot</t>
        </is>
      </c>
      <c r="I1021" t="inlineStr"/>
      <c r="J1021" t="b">
        <v>0</v>
      </c>
      <c r="K1021" t="n">
        <v>0</v>
      </c>
      <c r="L1021" t="inlineStr">
        <is>
          <t>Registration / Spot Availability</t>
        </is>
      </c>
      <c r="M1021" t="inlineStr">
        <is>
          <t>Registration / Spot Availability</t>
        </is>
      </c>
    </row>
    <row r="1022">
      <c r="A1022" t="inlineStr">
        <is>
          <t>No</t>
        </is>
      </c>
      <c r="B1022" t="inlineStr"/>
      <c r="C1022" t="inlineStr"/>
      <c r="D1022" t="inlineStr"/>
      <c r="E1022" t="inlineStr">
        <is>
          <t>The cost for builder and parents builder.</t>
        </is>
      </c>
      <c r="F1022" t="inlineStr">
        <is>
          <t>Cost / Finances</t>
        </is>
      </c>
      <c r="G1022" t="inlineStr">
        <is>
          <t>Cost / Finances</t>
        </is>
      </c>
      <c r="H1022" t="inlineStr"/>
      <c r="I1022" t="inlineStr">
        <is>
          <t>HXP Can Directly Fix</t>
        </is>
      </c>
      <c r="J1022" t="b">
        <v>0</v>
      </c>
      <c r="K1022" t="n">
        <v>1</v>
      </c>
      <c r="L1022" t="inlineStr"/>
      <c r="M1022" t="inlineStr"/>
    </row>
    <row r="1023">
      <c r="A1023" t="inlineStr">
        <is>
          <t>Yes</t>
        </is>
      </c>
      <c r="B1023" t="inlineStr">
        <is>
          <t>To be with my son for this experience - help other youth strengthen testimony</t>
        </is>
      </c>
      <c r="C1023" t="inlineStr">
        <is>
          <t>Wanted Shared Experience with Child</t>
        </is>
      </c>
      <c r="D1023" t="inlineStr">
        <is>
          <t>Wanted Shared Experience with Child; Faith / Service Motivation</t>
        </is>
      </c>
      <c r="E1023" t="inlineStr"/>
      <c r="F1023" t="inlineStr"/>
      <c r="G1023" t="inlineStr"/>
      <c r="H1023" t="inlineStr"/>
      <c r="I1023" t="inlineStr"/>
      <c r="J1023" t="b">
        <v>0</v>
      </c>
      <c r="K1023" t="n">
        <v>0</v>
      </c>
      <c r="L1023" t="inlineStr"/>
      <c r="M1023" t="inlineStr"/>
    </row>
    <row r="1024">
      <c r="A1024" t="inlineStr">
        <is>
          <t>Yes</t>
        </is>
      </c>
      <c r="B1024" t="inlineStr">
        <is>
          <t>My daughter was using me for her to obtain an earlier selection. LOL. And I'm happy she did.</t>
        </is>
      </c>
      <c r="C1024" t="inlineStr">
        <is>
          <t>Securing/Ensuring Child's Spot (Registration Timing)</t>
        </is>
      </c>
      <c r="D1024" t="inlineStr">
        <is>
          <t>Securing/Ensuring Child's Spot (Registration Timing)</t>
        </is>
      </c>
      <c r="E1024" t="inlineStr"/>
      <c r="F1024" t="inlineStr"/>
      <c r="G1024" t="inlineStr"/>
      <c r="H1024" t="inlineStr"/>
      <c r="I1024" t="inlineStr"/>
      <c r="J1024" t="b">
        <v>0</v>
      </c>
      <c r="K1024" t="n">
        <v>0</v>
      </c>
      <c r="L1024" t="inlineStr"/>
      <c r="M1024" t="inlineStr"/>
    </row>
    <row r="1025">
      <c r="A1025" t="inlineStr">
        <is>
          <t>No</t>
        </is>
      </c>
      <c r="B1025" t="inlineStr"/>
      <c r="C1025" t="inlineStr"/>
      <c r="D1025" t="inlineStr"/>
      <c r="E1025" t="inlineStr">
        <is>
          <t>small kids at home</t>
        </is>
      </c>
      <c r="F1025" t="inlineStr">
        <is>
          <t>Other Kids / Family at Home</t>
        </is>
      </c>
      <c r="G1025" t="inlineStr">
        <is>
          <t>Other Kids / Family at Home</t>
        </is>
      </c>
      <c r="H1025" t="inlineStr"/>
      <c r="I1025" t="inlineStr">
        <is>
          <t>Family's Own Choice</t>
        </is>
      </c>
      <c r="J1025" t="b">
        <v>0</v>
      </c>
      <c r="K1025" t="n">
        <v>1</v>
      </c>
      <c r="L1025" t="inlineStr"/>
      <c r="M1025" t="inlineStr"/>
    </row>
    <row r="1026">
      <c r="A1026" t="inlineStr">
        <is>
          <t>Yes</t>
        </is>
      </c>
      <c r="B1026" t="inlineStr">
        <is>
          <t>My son asked me to</t>
        </is>
      </c>
      <c r="C1026" t="inlineStr">
        <is>
          <t>Child/Spouse Asked Them to Go</t>
        </is>
      </c>
      <c r="D1026" t="inlineStr">
        <is>
          <t>Child/Spouse Asked Them to Go</t>
        </is>
      </c>
      <c r="E1026" t="inlineStr"/>
      <c r="F1026" t="inlineStr"/>
      <c r="G1026" t="inlineStr"/>
      <c r="H1026" t="inlineStr"/>
      <c r="I1026" t="inlineStr"/>
      <c r="J1026" t="b">
        <v>0</v>
      </c>
      <c r="K1026" t="n">
        <v>0</v>
      </c>
      <c r="L1026" t="inlineStr"/>
      <c r="M1026" t="inlineStr"/>
    </row>
    <row r="1027">
      <c r="A1027" t="inlineStr">
        <is>
          <t>Maybe</t>
        </is>
      </c>
      <c r="B1027" t="inlineStr"/>
      <c r="C1027" t="inlineStr"/>
      <c r="D1027" t="inlineStr"/>
      <c r="E1027" t="inlineStr"/>
      <c r="F1027" t="inlineStr"/>
      <c r="G1027" t="inlineStr"/>
      <c r="H1027" t="inlineStr">
        <is>
          <t>price</t>
        </is>
      </c>
      <c r="I1027" t="inlineStr"/>
      <c r="J1027" t="b">
        <v>0</v>
      </c>
      <c r="K1027" t="n">
        <v>0</v>
      </c>
      <c r="L1027" t="inlineStr">
        <is>
          <t>Cost / Financial Assistance</t>
        </is>
      </c>
      <c r="M1027" t="inlineStr">
        <is>
          <t>Cost / Financial Assistance</t>
        </is>
      </c>
    </row>
    <row r="1028">
      <c r="A1028" t="inlineStr">
        <is>
          <t>No</t>
        </is>
      </c>
      <c r="B1028" t="inlineStr"/>
      <c r="C1028" t="inlineStr"/>
      <c r="D1028" t="inlineStr"/>
      <c r="E1028" t="inlineStr">
        <is>
          <t>I felt my daughter needed to go without a parent</t>
        </is>
      </c>
      <c r="F1028" t="inlineStr">
        <is>
          <t>Wants Child to Have Independent Experience</t>
        </is>
      </c>
      <c r="G1028" t="inlineStr">
        <is>
          <t>Wants Child to Have Independent Experience</t>
        </is>
      </c>
      <c r="H1028" t="inlineStr"/>
      <c r="I1028" t="inlineStr">
        <is>
          <t>Family's Own Choice</t>
        </is>
      </c>
      <c r="J1028" t="b">
        <v>0</v>
      </c>
      <c r="K1028" t="n">
        <v>1</v>
      </c>
      <c r="L1028" t="inlineStr"/>
      <c r="M1028" t="inlineStr"/>
    </row>
    <row r="1029">
      <c r="A1029" t="inlineStr">
        <is>
          <t>No</t>
        </is>
      </c>
      <c r="B1029" t="inlineStr"/>
      <c r="C1029" t="inlineStr"/>
      <c r="D1029" t="inlineStr"/>
      <c r="E1029" t="inlineStr">
        <is>
          <t>i have 5 kids</t>
        </is>
      </c>
      <c r="F1029" t="inlineStr">
        <is>
          <t>Other Kids / Family at Home</t>
        </is>
      </c>
      <c r="G1029" t="inlineStr">
        <is>
          <t>Other Kids / Family at Home</t>
        </is>
      </c>
      <c r="H1029" t="inlineStr"/>
      <c r="I1029" t="inlineStr">
        <is>
          <t>Family's Own Choice</t>
        </is>
      </c>
      <c r="J1029" t="b">
        <v>0</v>
      </c>
      <c r="K1029" t="n">
        <v>1</v>
      </c>
      <c r="L1029" t="inlineStr"/>
      <c r="M1029" t="inlineStr"/>
    </row>
    <row r="1030">
      <c r="A1030" t="inlineStr">
        <is>
          <t>No</t>
        </is>
      </c>
      <c r="B1030" t="inlineStr"/>
      <c r="C1030" t="inlineStr"/>
      <c r="D1030" t="inlineStr"/>
      <c r="E1030" t="inlineStr">
        <is>
          <t>Cost</t>
        </is>
      </c>
      <c r="F1030" t="inlineStr">
        <is>
          <t>Cost / Finances</t>
        </is>
      </c>
      <c r="G1030" t="inlineStr">
        <is>
          <t>Cost / Finances</t>
        </is>
      </c>
      <c r="H1030" t="inlineStr"/>
      <c r="I1030" t="inlineStr">
        <is>
          <t>HXP Can Directly Fix</t>
        </is>
      </c>
      <c r="J1030" t="b">
        <v>0</v>
      </c>
      <c r="K1030" t="n">
        <v>1</v>
      </c>
      <c r="L1030" t="inlineStr"/>
      <c r="M1030" t="inlineStr"/>
    </row>
    <row r="1031">
      <c r="A1031" t="inlineStr">
        <is>
          <t>No</t>
        </is>
      </c>
      <c r="B1031" t="inlineStr"/>
      <c r="C1031" t="inlineStr"/>
      <c r="D1031" t="inlineStr"/>
      <c r="E1031" t="inlineStr">
        <is>
          <t>Not able to leave the rest of my family for that long</t>
        </is>
      </c>
      <c r="F1031" t="inlineStr">
        <is>
          <t>Other Kids / Family at Home</t>
        </is>
      </c>
      <c r="G1031" t="inlineStr">
        <is>
          <t>Other Kids / Family at Home</t>
        </is>
      </c>
      <c r="H1031" t="inlineStr"/>
      <c r="I1031" t="inlineStr">
        <is>
          <t>Family's Own Choice</t>
        </is>
      </c>
      <c r="J1031" t="b">
        <v>0</v>
      </c>
      <c r="K1031" t="n">
        <v>1</v>
      </c>
      <c r="L1031" t="inlineStr"/>
      <c r="M1031" t="inlineStr"/>
    </row>
    <row r="1032">
      <c r="A1032" t="inlineStr">
        <is>
          <t>No</t>
        </is>
      </c>
      <c r="B1032" t="inlineStr"/>
      <c r="C1032" t="inlineStr"/>
      <c r="D1032" t="inlineStr"/>
      <c r="E1032" t="inlineStr">
        <is>
          <t>Cost</t>
        </is>
      </c>
      <c r="F1032" t="inlineStr">
        <is>
          <t>Cost / Finances</t>
        </is>
      </c>
      <c r="G1032" t="inlineStr">
        <is>
          <t>Cost / Finances</t>
        </is>
      </c>
      <c r="H1032" t="inlineStr"/>
      <c r="I1032" t="inlineStr">
        <is>
          <t>HXP Can Directly Fix</t>
        </is>
      </c>
      <c r="J1032" t="b">
        <v>0</v>
      </c>
      <c r="K1032" t="n">
        <v>1</v>
      </c>
      <c r="L1032" t="inlineStr"/>
      <c r="M1032" t="inlineStr"/>
    </row>
    <row r="1033">
      <c r="A1033" t="inlineStr">
        <is>
          <t>No</t>
        </is>
      </c>
      <c r="B1033" t="inlineStr"/>
      <c r="C1033" t="inlineStr"/>
      <c r="D1033" t="inlineStr"/>
      <c r="E1033" t="inlineStr">
        <is>
          <t>Timing</t>
        </is>
      </c>
      <c r="F1033" t="inlineStr">
        <is>
          <t>Work Schedule / Time Off</t>
        </is>
      </c>
      <c r="G1033" t="inlineStr">
        <is>
          <t>Work Schedule / Time Off</t>
        </is>
      </c>
      <c r="H1033" t="inlineStr"/>
      <c r="I1033" t="inlineStr">
        <is>
          <t>HXP Can Influence</t>
        </is>
      </c>
      <c r="J1033" t="b">
        <v>0</v>
      </c>
      <c r="K1033" t="n">
        <v>1</v>
      </c>
      <c r="L1033" t="inlineStr"/>
      <c r="M1033" t="inlineStr"/>
    </row>
    <row r="1034">
      <c r="A1034" t="inlineStr">
        <is>
          <t>Yes</t>
        </is>
      </c>
      <c r="B1034" t="inlineStr">
        <is>
          <t>Sending our kids is their senior trip and it is always our intention for one of us to join them.</t>
        </is>
      </c>
      <c r="C1034" t="inlineStr">
        <is>
          <t>Previous Positive Experience</t>
        </is>
      </c>
      <c r="D1034" t="inlineStr">
        <is>
          <t>Previous Positive Experience</t>
        </is>
      </c>
      <c r="E1034" t="inlineStr"/>
      <c r="F1034" t="inlineStr"/>
      <c r="G1034" t="inlineStr"/>
      <c r="H1034" t="inlineStr"/>
      <c r="I1034" t="inlineStr"/>
      <c r="J1034" t="b">
        <v>0</v>
      </c>
      <c r="K1034" t="n">
        <v>0</v>
      </c>
      <c r="L1034" t="inlineStr"/>
      <c r="M1034" t="inlineStr"/>
    </row>
    <row r="1035">
      <c r="A1035" t="inlineStr">
        <is>
          <t>No</t>
        </is>
      </c>
      <c r="B1035" t="inlineStr"/>
      <c r="C1035" t="inlineStr"/>
      <c r="D1035" t="inlineStr"/>
      <c r="E1035" t="inlineStr">
        <is>
          <t>My builder didn't want me to, ha!</t>
        </is>
      </c>
      <c r="F1035" t="inlineStr">
        <is>
          <t>Child Didn't Want Parent to Come</t>
        </is>
      </c>
      <c r="G1035" t="inlineStr">
        <is>
          <t>Child Didn't Want Parent to Come</t>
        </is>
      </c>
      <c r="H1035" t="inlineStr"/>
      <c r="I1035" t="inlineStr">
        <is>
          <t>Family's Own Choice</t>
        </is>
      </c>
      <c r="J1035" t="b">
        <v>0</v>
      </c>
      <c r="K1035" t="n">
        <v>1</v>
      </c>
      <c r="L1035" t="inlineStr"/>
      <c r="M1035" t="inlineStr"/>
    </row>
    <row r="1036">
      <c r="A1036" t="inlineStr">
        <is>
          <t>Maybe</t>
        </is>
      </c>
      <c r="B1036" t="inlineStr"/>
      <c r="C1036" t="inlineStr"/>
      <c r="D1036" t="inlineStr"/>
      <c r="E1036" t="inlineStr"/>
      <c r="F1036" t="inlineStr"/>
      <c r="G1036" t="inlineStr"/>
      <c r="H1036" t="inlineStr"/>
      <c r="I1036" t="inlineStr"/>
      <c r="J1036" t="b">
        <v>0</v>
      </c>
      <c r="K1036" t="n">
        <v>0</v>
      </c>
      <c r="L1036" t="inlineStr"/>
      <c r="M1036" t="inlineStr"/>
    </row>
    <row r="1037">
      <c r="A1037" t="inlineStr">
        <is>
          <t>No</t>
        </is>
      </c>
      <c r="B1037" t="inlineStr"/>
      <c r="C1037" t="inlineStr"/>
      <c r="D1037" t="inlineStr"/>
      <c r="E1037" t="inlineStr"/>
      <c r="F1037" t="inlineStr"/>
      <c r="G1037" t="inlineStr"/>
      <c r="H1037" t="inlineStr"/>
      <c r="I1037" t="inlineStr"/>
      <c r="J1037" t="b">
        <v>0</v>
      </c>
      <c r="K1037" t="n">
        <v>0</v>
      </c>
      <c r="L1037" t="inlineStr"/>
      <c r="M1037" t="inlineStr"/>
    </row>
    <row r="1038">
      <c r="A1038" t="inlineStr">
        <is>
          <t>No</t>
        </is>
      </c>
      <c r="B1038" t="inlineStr"/>
      <c r="C1038" t="inlineStr"/>
      <c r="D1038" t="inlineStr"/>
      <c r="E1038" t="inlineStr">
        <is>
          <t>Price</t>
        </is>
      </c>
      <c r="F1038" t="inlineStr">
        <is>
          <t>Cost / Finances</t>
        </is>
      </c>
      <c r="G1038" t="inlineStr">
        <is>
          <t>Cost / Finances</t>
        </is>
      </c>
      <c r="H1038" t="inlineStr"/>
      <c r="I1038" t="inlineStr">
        <is>
          <t>HXP Can Directly Fix</t>
        </is>
      </c>
      <c r="J1038" t="b">
        <v>0</v>
      </c>
      <c r="K1038" t="n">
        <v>1</v>
      </c>
      <c r="L1038" t="inlineStr"/>
      <c r="M1038" t="inlineStr"/>
    </row>
    <row r="1039">
      <c r="A1039" t="inlineStr">
        <is>
          <t>No</t>
        </is>
      </c>
      <c r="B1039" t="inlineStr"/>
      <c r="C1039" t="inlineStr"/>
      <c r="D1039" t="inlineStr"/>
      <c r="E1039" t="inlineStr">
        <is>
          <t>child wanted to experience this alone</t>
        </is>
      </c>
      <c r="F1039" t="inlineStr">
        <is>
          <t>Wants Child to Have Independent Experience</t>
        </is>
      </c>
      <c r="G1039" t="inlineStr">
        <is>
          <t>Wants Child to Have Independent Experience</t>
        </is>
      </c>
      <c r="H1039" t="inlineStr"/>
      <c r="I1039" t="inlineStr">
        <is>
          <t>Family's Own Choice</t>
        </is>
      </c>
      <c r="J1039" t="b">
        <v>0</v>
      </c>
      <c r="K1039" t="n">
        <v>1</v>
      </c>
      <c r="L1039" t="inlineStr"/>
      <c r="M1039" t="inlineStr"/>
    </row>
    <row r="1040">
      <c r="A1040" t="inlineStr">
        <is>
          <t>No</t>
        </is>
      </c>
      <c r="B1040" t="inlineStr"/>
      <c r="C1040" t="inlineStr"/>
      <c r="D1040" t="inlineStr"/>
      <c r="E1040" t="inlineStr"/>
      <c r="F1040" t="inlineStr"/>
      <c r="G1040" t="inlineStr"/>
      <c r="H1040" t="inlineStr"/>
      <c r="I1040" t="inlineStr"/>
      <c r="J1040" t="b">
        <v>0</v>
      </c>
      <c r="K1040" t="n">
        <v>0</v>
      </c>
      <c r="L1040" t="inlineStr"/>
      <c r="M1040" t="inlineStr"/>
    </row>
    <row r="1041">
      <c r="A1041" t="inlineStr">
        <is>
          <t>No</t>
        </is>
      </c>
      <c r="B1041" t="inlineStr"/>
      <c r="C1041" t="inlineStr"/>
      <c r="D1041" t="inlineStr"/>
      <c r="E1041" t="inlineStr">
        <is>
          <t>She needs to do this alone and get out of her comfort zone. Trust me. I really wanted to go.</t>
        </is>
      </c>
      <c r="F1041" t="inlineStr">
        <is>
          <t>Wants Child to Have Independent Experience</t>
        </is>
      </c>
      <c r="G1041" t="inlineStr">
        <is>
          <t>Wants Child to Have Independent Experience</t>
        </is>
      </c>
      <c r="H1041" t="inlineStr"/>
      <c r="I1041" t="inlineStr">
        <is>
          <t>Family's Own Choice</t>
        </is>
      </c>
      <c r="J1041" t="b">
        <v>0</v>
      </c>
      <c r="K1041" t="n">
        <v>1</v>
      </c>
      <c r="L1041" t="inlineStr"/>
      <c r="M1041" t="inlineStr"/>
    </row>
    <row r="1042">
      <c r="A1042" t="inlineStr">
        <is>
          <t>No</t>
        </is>
      </c>
      <c r="B1042" t="inlineStr"/>
      <c r="C1042" t="inlineStr"/>
      <c r="D1042" t="inlineStr"/>
      <c r="E1042" t="inlineStr"/>
      <c r="F1042" t="inlineStr"/>
      <c r="G1042" t="inlineStr"/>
      <c r="H1042" t="inlineStr"/>
      <c r="I1042" t="inlineStr"/>
      <c r="J1042" t="b">
        <v>0</v>
      </c>
      <c r="K1042" t="n">
        <v>0</v>
      </c>
      <c r="L1042" t="inlineStr"/>
      <c r="M1042" t="inlineStr"/>
    </row>
    <row r="1043">
      <c r="A1043" t="inlineStr">
        <is>
          <t>No</t>
        </is>
      </c>
      <c r="B1043" t="inlineStr"/>
      <c r="C1043" t="inlineStr"/>
      <c r="D1043" t="inlineStr"/>
      <c r="E1043" t="inlineStr"/>
      <c r="F1043" t="inlineStr"/>
      <c r="G1043" t="inlineStr"/>
      <c r="H1043" t="inlineStr"/>
      <c r="I1043" t="inlineStr"/>
      <c r="J1043" t="b">
        <v>0</v>
      </c>
      <c r="K1043" t="n">
        <v>0</v>
      </c>
      <c r="L1043" t="inlineStr"/>
      <c r="M1043" t="inlineStr"/>
    </row>
    <row r="1044">
      <c r="A1044" t="inlineStr">
        <is>
          <t>No</t>
        </is>
      </c>
      <c r="B1044" t="inlineStr"/>
      <c r="C1044" t="inlineStr"/>
      <c r="D1044" t="inlineStr"/>
      <c r="E1044" t="inlineStr">
        <is>
          <t>Money/time</t>
        </is>
      </c>
      <c r="F1044" t="inlineStr">
        <is>
          <t>Cost / Finances</t>
        </is>
      </c>
      <c r="G1044" t="inlineStr">
        <is>
          <t>Cost / Finances; Work Schedule / Time Off</t>
        </is>
      </c>
      <c r="H1044" t="inlineStr"/>
      <c r="I1044" t="inlineStr">
        <is>
          <t>HXP Can Directly Fix</t>
        </is>
      </c>
      <c r="J1044" t="b">
        <v>0</v>
      </c>
      <c r="K1044" t="n">
        <v>2</v>
      </c>
      <c r="L1044" t="inlineStr"/>
      <c r="M1044" t="inlineStr"/>
    </row>
    <row r="1045">
      <c r="A1045" t="inlineStr">
        <is>
          <t>No</t>
        </is>
      </c>
      <c r="B1045" t="inlineStr"/>
      <c r="C1045" t="inlineStr"/>
      <c r="D1045" t="inlineStr"/>
      <c r="E1045" t="inlineStr">
        <is>
          <t>Other family responsibilities</t>
        </is>
      </c>
      <c r="F1045" t="inlineStr">
        <is>
          <t>Work Schedule / Time Off</t>
        </is>
      </c>
      <c r="G1045" t="inlineStr">
        <is>
          <t>Work Schedule / Time Off</t>
        </is>
      </c>
      <c r="H1045" t="inlineStr"/>
      <c r="I1045" t="inlineStr">
        <is>
          <t>HXP Can Influence</t>
        </is>
      </c>
      <c r="J1045" t="b">
        <v>0</v>
      </c>
      <c r="K1045" t="n">
        <v>1</v>
      </c>
      <c r="L1045" t="inlineStr"/>
      <c r="M1045" t="inlineStr"/>
    </row>
    <row r="1046">
      <c r="A1046" t="inlineStr">
        <is>
          <t>No</t>
        </is>
      </c>
      <c r="B1046" t="inlineStr"/>
      <c r="C1046" t="inlineStr"/>
      <c r="D1046" t="inlineStr"/>
      <c r="E1046" t="inlineStr">
        <is>
          <t>Time</t>
        </is>
      </c>
      <c r="F1046" t="inlineStr">
        <is>
          <t>Work Schedule / Time Off</t>
        </is>
      </c>
      <c r="G1046" t="inlineStr">
        <is>
          <t>Work Schedule / Time Off</t>
        </is>
      </c>
      <c r="H1046" t="inlineStr"/>
      <c r="I1046" t="inlineStr">
        <is>
          <t>HXP Can Influence</t>
        </is>
      </c>
      <c r="J1046" t="b">
        <v>0</v>
      </c>
      <c r="K1046" t="n">
        <v>1</v>
      </c>
      <c r="L1046" t="inlineStr"/>
      <c r="M1046" t="inlineStr"/>
    </row>
    <row r="1047">
      <c r="A1047" t="inlineStr">
        <is>
          <t>No</t>
        </is>
      </c>
      <c r="B1047" t="inlineStr"/>
      <c r="C1047" t="inlineStr"/>
      <c r="D1047" t="inlineStr"/>
      <c r="E1047" t="inlineStr">
        <is>
          <t>Too many kids at home to leave</t>
        </is>
      </c>
      <c r="F1047" t="inlineStr">
        <is>
          <t>Other Kids / Family at Home</t>
        </is>
      </c>
      <c r="G1047" t="inlineStr">
        <is>
          <t>Other Kids / Family at Home</t>
        </is>
      </c>
      <c r="H1047" t="inlineStr"/>
      <c r="I1047" t="inlineStr">
        <is>
          <t>Family's Own Choice</t>
        </is>
      </c>
      <c r="J1047" t="b">
        <v>0</v>
      </c>
      <c r="K1047" t="n">
        <v>1</v>
      </c>
      <c r="L1047" t="inlineStr"/>
      <c r="M1047" t="inlineStr"/>
    </row>
    <row r="1048">
      <c r="A1048" t="inlineStr">
        <is>
          <t>No</t>
        </is>
      </c>
      <c r="B1048" t="inlineStr"/>
      <c r="C1048" t="inlineStr"/>
      <c r="D1048" t="inlineStr"/>
      <c r="E1048" t="inlineStr">
        <is>
          <t>Young children at home need me here, but when these younger ones are old enough to go I'd love to go be a parent builder.</t>
        </is>
      </c>
      <c r="F1048" t="inlineStr">
        <is>
          <t>Other Kids / Family at Home</t>
        </is>
      </c>
      <c r="G1048" t="inlineStr">
        <is>
          <t>Other Kids / Family at Home</t>
        </is>
      </c>
      <c r="H1048" t="inlineStr"/>
      <c r="I1048" t="inlineStr">
        <is>
          <t>Family's Own Choice</t>
        </is>
      </c>
      <c r="J1048" t="b">
        <v>0</v>
      </c>
      <c r="K1048" t="n">
        <v>1</v>
      </c>
      <c r="L1048" t="inlineStr"/>
      <c r="M1048" t="inlineStr"/>
    </row>
    <row r="1049">
      <c r="A1049" t="inlineStr">
        <is>
          <t>No</t>
        </is>
      </c>
      <c r="B1049" t="inlineStr"/>
      <c r="C1049" t="inlineStr"/>
      <c r="D1049" t="inlineStr"/>
      <c r="E1049" t="inlineStr"/>
      <c r="F1049" t="inlineStr"/>
      <c r="G1049" t="inlineStr"/>
      <c r="H1049" t="inlineStr"/>
      <c r="I1049" t="inlineStr"/>
      <c r="J1049" t="b">
        <v>0</v>
      </c>
      <c r="K1049" t="n">
        <v>0</v>
      </c>
      <c r="L1049" t="inlineStr"/>
      <c r="M1049" t="inlineStr"/>
    </row>
    <row r="1050">
      <c r="A1050" t="inlineStr">
        <is>
          <t>No</t>
        </is>
      </c>
      <c r="B1050" t="inlineStr"/>
      <c r="C1050" t="inlineStr"/>
      <c r="D1050" t="inlineStr"/>
      <c r="E1050" t="inlineStr">
        <is>
          <t>My son's experience would have been altered had one of his parents been there.</t>
        </is>
      </c>
      <c r="F1050" t="inlineStr">
        <is>
          <t>Wants Child to Have Independent Experience</t>
        </is>
      </c>
      <c r="G1050" t="inlineStr">
        <is>
          <t>Wants Child to Have Independent Experience</t>
        </is>
      </c>
      <c r="H1050" t="inlineStr"/>
      <c r="I1050" t="inlineStr">
        <is>
          <t>Family's Own Choice</t>
        </is>
      </c>
      <c r="J1050" t="b">
        <v>0</v>
      </c>
      <c r="K1050" t="n">
        <v>1</v>
      </c>
      <c r="L1050" t="inlineStr"/>
      <c r="M1050" t="inlineStr"/>
    </row>
    <row r="1051">
      <c r="A1051" t="inlineStr">
        <is>
          <t>No</t>
        </is>
      </c>
      <c r="B1051" t="inlineStr"/>
      <c r="C1051" t="inlineStr"/>
      <c r="D1051" t="inlineStr"/>
      <c r="E1051" t="inlineStr">
        <is>
          <t>Time off work</t>
        </is>
      </c>
      <c r="F1051" t="inlineStr">
        <is>
          <t>Work Schedule / Time Off</t>
        </is>
      </c>
      <c r="G1051" t="inlineStr">
        <is>
          <t>Work Schedule / Time Off</t>
        </is>
      </c>
      <c r="H1051" t="inlineStr"/>
      <c r="I1051" t="inlineStr">
        <is>
          <t>HXP Can Influence</t>
        </is>
      </c>
      <c r="J1051" t="b">
        <v>0</v>
      </c>
      <c r="K1051" t="n">
        <v>1</v>
      </c>
      <c r="L1051" t="inlineStr"/>
      <c r="M1051" t="inlineStr"/>
    </row>
    <row r="1052">
      <c r="A1052" t="inlineStr">
        <is>
          <t>No</t>
        </is>
      </c>
      <c r="B1052" t="inlineStr"/>
      <c r="C1052" t="inlineStr"/>
      <c r="D1052" t="inlineStr"/>
      <c r="E1052" t="inlineStr">
        <is>
          <t>Time and my child wanted to go on her own</t>
        </is>
      </c>
      <c r="F1052" t="inlineStr">
        <is>
          <t>Work Schedule / Time Off</t>
        </is>
      </c>
      <c r="G1052" t="inlineStr">
        <is>
          <t>Work Schedule / Time Off; Wants Child to Have Independent Experience</t>
        </is>
      </c>
      <c r="H1052" t="inlineStr"/>
      <c r="I1052" t="inlineStr">
        <is>
          <t>HXP Can Influence</t>
        </is>
      </c>
      <c r="J1052" t="b">
        <v>0</v>
      </c>
      <c r="K1052" t="n">
        <v>2</v>
      </c>
      <c r="L1052" t="inlineStr"/>
      <c r="M1052" t="inlineStr"/>
    </row>
    <row r="1053">
      <c r="A1053" t="inlineStr">
        <is>
          <t>No</t>
        </is>
      </c>
      <c r="B1053" t="inlineStr"/>
      <c r="C1053" t="inlineStr"/>
      <c r="D1053" t="inlineStr"/>
      <c r="E1053" t="inlineStr">
        <is>
          <t>The trip extends into the beginning of our school year and I have other children at home who will need me.</t>
        </is>
      </c>
      <c r="F1053" t="inlineStr">
        <is>
          <t>Other Kids / Family at Home</t>
        </is>
      </c>
      <c r="G1053" t="inlineStr">
        <is>
          <t>Other Kids / Family at Home</t>
        </is>
      </c>
      <c r="H1053" t="inlineStr"/>
      <c r="I1053" t="inlineStr">
        <is>
          <t>Family's Own Choice</t>
        </is>
      </c>
      <c r="J1053" t="b">
        <v>0</v>
      </c>
      <c r="K1053" t="n">
        <v>1</v>
      </c>
      <c r="L1053" t="inlineStr"/>
      <c r="M1053" t="inlineStr"/>
    </row>
    <row r="1054">
      <c r="A1054" t="inlineStr">
        <is>
          <t>No</t>
        </is>
      </c>
      <c r="B1054" t="inlineStr"/>
      <c r="C1054" t="inlineStr"/>
      <c r="D1054" t="inlineStr"/>
      <c r="E1054" t="inlineStr">
        <is>
          <t>My husband is going as the parent builder. I went with our two boys and had a great experience.</t>
        </is>
      </c>
      <c r="F1054" t="inlineStr">
        <is>
          <t>Another Family Member Going Instead</t>
        </is>
      </c>
      <c r="G1054" t="inlineStr">
        <is>
          <t>Another Family Member Going Instead; Wants Child to Have Independent Experience</t>
        </is>
      </c>
      <c r="H1054" t="inlineStr"/>
      <c r="I1054" t="inlineStr">
        <is>
          <t>Family's Own Choice</t>
        </is>
      </c>
      <c r="J1054" t="b">
        <v>0</v>
      </c>
      <c r="K1054" t="n">
        <v>2</v>
      </c>
      <c r="L1054" t="inlineStr"/>
      <c r="M1054" t="inlineStr"/>
    </row>
    <row r="1055">
      <c r="A1055" t="inlineStr">
        <is>
          <t>No</t>
        </is>
      </c>
      <c r="B1055" t="inlineStr"/>
      <c r="C1055" t="inlineStr"/>
      <c r="D1055" t="inlineStr"/>
      <c r="E1055" t="inlineStr">
        <is>
          <t>I really wanted my son to have this experience not knowing anyone. I hope he will gain confidence in speaking to new people, making new friends, and learning to navigate unfamiliar circumstances using skills he has been taught growing up. I feel like being a parent builder may hinder that growth.</t>
        </is>
      </c>
      <c r="F1055" t="inlineStr">
        <is>
          <t>Wants Child to Have Independent Experience</t>
        </is>
      </c>
      <c r="G1055" t="inlineStr">
        <is>
          <t>Wants Child to Have Independent Experience</t>
        </is>
      </c>
      <c r="H1055" t="inlineStr"/>
      <c r="I1055" t="inlineStr">
        <is>
          <t>Family's Own Choice</t>
        </is>
      </c>
      <c r="J1055" t="b">
        <v>0</v>
      </c>
      <c r="K1055" t="n">
        <v>1</v>
      </c>
      <c r="L1055" t="inlineStr"/>
      <c r="M1055" t="inlineStr"/>
    </row>
    <row r="1056">
      <c r="A1056" t="inlineStr">
        <is>
          <t>Yes</t>
        </is>
      </c>
      <c r="B1056" t="inlineStr"/>
      <c r="C1056" t="inlineStr"/>
      <c r="D1056" t="inlineStr"/>
      <c r="E1056" t="inlineStr"/>
      <c r="F1056" t="inlineStr"/>
      <c r="G1056" t="inlineStr"/>
      <c r="H1056" t="inlineStr"/>
      <c r="I1056" t="inlineStr"/>
      <c r="J1056" t="b">
        <v>0</v>
      </c>
      <c r="K1056" t="n">
        <v>0</v>
      </c>
      <c r="L1056" t="inlineStr"/>
      <c r="M1056" t="inlineStr"/>
    </row>
    <row r="1057">
      <c r="A1057" t="inlineStr">
        <is>
          <t>No</t>
        </is>
      </c>
      <c r="B1057" t="inlineStr"/>
      <c r="C1057" t="inlineStr"/>
      <c r="D1057" t="inlineStr"/>
      <c r="E1057" t="inlineStr">
        <is>
          <t>I wanted to leave this decision up to my son. While there are so many wonderful things that can happen going together, I also appreciated that it would be a slightly different experience if "mom" were there all the time. I would have LOVED to do it, but I didn't want to influence his experience to learn and grow, either.</t>
        </is>
      </c>
      <c r="F1057" t="inlineStr">
        <is>
          <t>Work Schedule / Time Off</t>
        </is>
      </c>
      <c r="G1057" t="inlineStr">
        <is>
          <t>Work Schedule / Time Off; Wants Child to Have Independent Experience</t>
        </is>
      </c>
      <c r="H1057" t="inlineStr"/>
      <c r="I1057" t="inlineStr">
        <is>
          <t>HXP Can Influence</t>
        </is>
      </c>
      <c r="J1057" t="b">
        <v>0</v>
      </c>
      <c r="K1057" t="n">
        <v>2</v>
      </c>
      <c r="L1057" t="inlineStr"/>
      <c r="M1057" t="inlineStr"/>
    </row>
    <row r="1058">
      <c r="A1058" t="inlineStr">
        <is>
          <t>Yes</t>
        </is>
      </c>
      <c r="B1058" t="inlineStr">
        <is>
          <t>The spirit 😊</t>
        </is>
      </c>
      <c r="C1058" t="inlineStr">
        <is>
          <t>Faith / Service Motivation</t>
        </is>
      </c>
      <c r="D1058" t="inlineStr">
        <is>
          <t>Faith / Service Motivation</t>
        </is>
      </c>
      <c r="E1058" t="inlineStr"/>
      <c r="F1058" t="inlineStr"/>
      <c r="G1058" t="inlineStr"/>
      <c r="H1058" t="inlineStr"/>
      <c r="I1058" t="inlineStr"/>
      <c r="J1058" t="b">
        <v>0</v>
      </c>
      <c r="K1058" t="n">
        <v>0</v>
      </c>
      <c r="L1058" t="inlineStr"/>
      <c r="M1058" t="inlineStr"/>
    </row>
    <row r="1059">
      <c r="A1059" t="inlineStr">
        <is>
          <t>No</t>
        </is>
      </c>
      <c r="B1059" t="inlineStr"/>
      <c r="C1059" t="inlineStr"/>
      <c r="D1059" t="inlineStr"/>
      <c r="E1059" t="inlineStr"/>
      <c r="F1059" t="inlineStr"/>
      <c r="G1059" t="inlineStr"/>
      <c r="H1059" t="inlineStr"/>
      <c r="I1059" t="inlineStr"/>
      <c r="J1059" t="b">
        <v>0</v>
      </c>
      <c r="K1059" t="n">
        <v>0</v>
      </c>
      <c r="L1059" t="inlineStr"/>
      <c r="M1059" t="inlineStr"/>
    </row>
    <row r="1060">
      <c r="A1060" t="inlineStr">
        <is>
          <t>No</t>
        </is>
      </c>
      <c r="B1060" t="inlineStr"/>
      <c r="C1060" t="inlineStr"/>
      <c r="D1060" t="inlineStr"/>
      <c r="E1060" t="inlineStr">
        <is>
          <t>Child is our youngest and needs independence</t>
        </is>
      </c>
      <c r="F1060" t="inlineStr">
        <is>
          <t>Wants Child to Have Independent Experience</t>
        </is>
      </c>
      <c r="G1060" t="inlineStr">
        <is>
          <t>Wants Child to Have Independent Experience</t>
        </is>
      </c>
      <c r="H1060" t="inlineStr"/>
      <c r="I1060" t="inlineStr">
        <is>
          <t>Family's Own Choice</t>
        </is>
      </c>
      <c r="J1060" t="b">
        <v>0</v>
      </c>
      <c r="K1060" t="n">
        <v>1</v>
      </c>
      <c r="L1060" t="inlineStr"/>
      <c r="M1060" t="inlineStr"/>
    </row>
    <row r="1061">
      <c r="A1061" t="inlineStr">
        <is>
          <t>No</t>
        </is>
      </c>
      <c r="B1061" t="inlineStr"/>
      <c r="C1061" t="inlineStr"/>
      <c r="D1061" t="inlineStr"/>
      <c r="E1061" t="inlineStr">
        <is>
          <t>Wanted him to be without parents to prepare for a mission</t>
        </is>
      </c>
      <c r="F1061" t="inlineStr">
        <is>
          <t>Wants Child to Have Independent Experience</t>
        </is>
      </c>
      <c r="G1061" t="inlineStr">
        <is>
          <t>Wants Child to Have Independent Experience; Other Life Commitment</t>
        </is>
      </c>
      <c r="H1061" t="inlineStr"/>
      <c r="I1061" t="inlineStr">
        <is>
          <t>Family's Own Choice</t>
        </is>
      </c>
      <c r="J1061" t="b">
        <v>0</v>
      </c>
      <c r="K1061" t="n">
        <v>2</v>
      </c>
      <c r="L1061" t="inlineStr"/>
      <c r="M1061" t="inlineStr"/>
    </row>
    <row r="1062">
      <c r="A1062" t="inlineStr">
        <is>
          <t>Yes</t>
        </is>
      </c>
      <c r="B1062" t="inlineStr">
        <is>
          <t>want to serve with my son</t>
        </is>
      </c>
      <c r="C1062" t="inlineStr">
        <is>
          <t>Faith / Service Motivation</t>
        </is>
      </c>
      <c r="D1062" t="inlineStr">
        <is>
          <t>Faith / Service Motivation</t>
        </is>
      </c>
      <c r="E1062" t="inlineStr"/>
      <c r="F1062" t="inlineStr"/>
      <c r="G1062" t="inlineStr"/>
      <c r="H1062" t="inlineStr"/>
      <c r="I1062" t="inlineStr"/>
      <c r="J1062" t="b">
        <v>0</v>
      </c>
      <c r="K1062" t="n">
        <v>0</v>
      </c>
      <c r="L1062" t="inlineStr"/>
      <c r="M1062" t="inlineStr"/>
    </row>
    <row r="1063">
      <c r="A1063" t="inlineStr">
        <is>
          <t>No</t>
        </is>
      </c>
      <c r="B1063" t="inlineStr"/>
      <c r="C1063" t="inlineStr"/>
      <c r="D1063" t="inlineStr"/>
      <c r="E1063" t="inlineStr">
        <is>
          <t>My kid needs his own experience</t>
        </is>
      </c>
      <c r="F1063" t="inlineStr">
        <is>
          <t>Wants Child to Have Independent Experience</t>
        </is>
      </c>
      <c r="G1063" t="inlineStr">
        <is>
          <t>Wants Child to Have Independent Experience</t>
        </is>
      </c>
      <c r="H1063" t="inlineStr"/>
      <c r="I1063" t="inlineStr">
        <is>
          <t>Family's Own Choice</t>
        </is>
      </c>
      <c r="J1063" t="b">
        <v>0</v>
      </c>
      <c r="K1063" t="n">
        <v>1</v>
      </c>
      <c r="L1063" t="inlineStr"/>
      <c r="M1063" t="inlineStr"/>
    </row>
    <row r="1064">
      <c r="A1064" t="inlineStr">
        <is>
          <t>Yes</t>
        </is>
      </c>
      <c r="B1064" t="inlineStr">
        <is>
          <t>International trip with spiritual undercurrent</t>
        </is>
      </c>
      <c r="C1064" t="inlineStr">
        <is>
          <t>Faith / Service Motivation</t>
        </is>
      </c>
      <c r="D1064" t="inlineStr">
        <is>
          <t>Faith / Service Motivation</t>
        </is>
      </c>
      <c r="E1064" t="inlineStr"/>
      <c r="F1064" t="inlineStr"/>
      <c r="G1064" t="inlineStr"/>
      <c r="H1064" t="inlineStr"/>
      <c r="I1064" t="inlineStr"/>
      <c r="J1064" t="b">
        <v>0</v>
      </c>
      <c r="K1064" t="n">
        <v>0</v>
      </c>
      <c r="L1064" t="inlineStr"/>
      <c r="M1064" t="inlineStr"/>
    </row>
    <row r="1065">
      <c r="A1065" t="inlineStr">
        <is>
          <t>No</t>
        </is>
      </c>
      <c r="B1065" t="inlineStr"/>
      <c r="C1065" t="inlineStr"/>
      <c r="D1065" t="inlineStr"/>
      <c r="E1065" t="inlineStr">
        <is>
          <t>money and time</t>
        </is>
      </c>
      <c r="F1065" t="inlineStr">
        <is>
          <t>Cost / Finances</t>
        </is>
      </c>
      <c r="G1065" t="inlineStr">
        <is>
          <t>Cost / Finances; Work Schedule / Time Off</t>
        </is>
      </c>
      <c r="H1065" t="inlineStr"/>
      <c r="I1065" t="inlineStr">
        <is>
          <t>HXP Can Directly Fix</t>
        </is>
      </c>
      <c r="J1065" t="b">
        <v>0</v>
      </c>
      <c r="K1065" t="n">
        <v>2</v>
      </c>
      <c r="L1065" t="inlineStr"/>
      <c r="M1065" t="inlineStr"/>
    </row>
    <row r="1066">
      <c r="A1066" t="inlineStr">
        <is>
          <t>No</t>
        </is>
      </c>
      <c r="B1066" t="inlineStr"/>
      <c r="C1066" t="inlineStr"/>
      <c r="D1066" t="inlineStr"/>
      <c r="E1066" t="inlineStr">
        <is>
          <t>Want her to have her own experience</t>
        </is>
      </c>
      <c r="F1066" t="inlineStr">
        <is>
          <t>Wants Child to Have Independent Experience</t>
        </is>
      </c>
      <c r="G1066" t="inlineStr">
        <is>
          <t>Wants Child to Have Independent Experience</t>
        </is>
      </c>
      <c r="H1066" t="inlineStr"/>
      <c r="I1066" t="inlineStr">
        <is>
          <t>Family's Own Choice</t>
        </is>
      </c>
      <c r="J1066" t="b">
        <v>0</v>
      </c>
      <c r="K1066" t="n">
        <v>1</v>
      </c>
      <c r="L1066" t="inlineStr"/>
      <c r="M1066" t="inlineStr"/>
    </row>
    <row r="1067">
      <c r="A1067" t="inlineStr">
        <is>
          <t>No</t>
        </is>
      </c>
      <c r="B1067" t="inlineStr"/>
      <c r="C1067" t="inlineStr"/>
      <c r="D1067" t="inlineStr"/>
      <c r="E1067" t="inlineStr">
        <is>
          <t>My child did not want me to go</t>
        </is>
      </c>
      <c r="F1067" t="inlineStr">
        <is>
          <t>Child Didn't Want Parent to Come</t>
        </is>
      </c>
      <c r="G1067" t="inlineStr">
        <is>
          <t>Child Didn't Want Parent to Come</t>
        </is>
      </c>
      <c r="H1067" t="inlineStr"/>
      <c r="I1067" t="inlineStr">
        <is>
          <t>Family's Own Choice</t>
        </is>
      </c>
      <c r="J1067" t="b">
        <v>0</v>
      </c>
      <c r="K1067" t="n">
        <v>1</v>
      </c>
      <c r="L1067" t="inlineStr"/>
      <c r="M1067" t="inlineStr"/>
    </row>
    <row r="1068">
      <c r="A1068" t="inlineStr">
        <is>
          <t>No</t>
        </is>
      </c>
      <c r="B1068" t="inlineStr"/>
      <c r="C1068" t="inlineStr"/>
      <c r="D1068" t="inlineStr"/>
      <c r="E1068" t="inlineStr">
        <is>
          <t>Timing and price</t>
        </is>
      </c>
      <c r="F1068" t="inlineStr">
        <is>
          <t>Cost / Finances</t>
        </is>
      </c>
      <c r="G1068" t="inlineStr">
        <is>
          <t>Cost / Finances; Work Schedule / Time Off</t>
        </is>
      </c>
      <c r="H1068" t="inlineStr"/>
      <c r="I1068" t="inlineStr">
        <is>
          <t>HXP Can Directly Fix</t>
        </is>
      </c>
      <c r="J1068" t="b">
        <v>0</v>
      </c>
      <c r="K1068" t="n">
        <v>2</v>
      </c>
      <c r="L1068" t="inlineStr"/>
      <c r="M1068" t="inlineStr"/>
    </row>
    <row r="1069">
      <c r="A1069" t="inlineStr">
        <is>
          <t>No</t>
        </is>
      </c>
      <c r="B1069" t="inlineStr"/>
      <c r="C1069" t="inlineStr"/>
      <c r="D1069" t="inlineStr"/>
      <c r="E1069" t="inlineStr">
        <is>
          <t>just started a new job, can't take that much time off</t>
        </is>
      </c>
      <c r="F1069" t="inlineStr">
        <is>
          <t>Work Schedule / Time Off</t>
        </is>
      </c>
      <c r="G1069" t="inlineStr">
        <is>
          <t>Work Schedule / Time Off</t>
        </is>
      </c>
      <c r="H1069" t="inlineStr"/>
      <c r="I1069" t="inlineStr">
        <is>
          <t>HXP Can Influence</t>
        </is>
      </c>
      <c r="J1069" t="b">
        <v>0</v>
      </c>
      <c r="K1069" t="n">
        <v>1</v>
      </c>
      <c r="L1069" t="inlineStr"/>
      <c r="M1069" t="inlineStr"/>
    </row>
    <row r="1070">
      <c r="A1070" t="inlineStr">
        <is>
          <t>No</t>
        </is>
      </c>
      <c r="B1070" t="inlineStr"/>
      <c r="C1070" t="inlineStr"/>
      <c r="D1070" t="inlineStr"/>
      <c r="E1070" t="inlineStr">
        <is>
          <t>Didn't realize I could go as a parent builder.</t>
        </is>
      </c>
      <c r="F1070" t="inlineStr">
        <is>
          <t>Not Aware It Was an Option</t>
        </is>
      </c>
      <c r="G1070" t="inlineStr">
        <is>
          <t>Not Aware It Was an Option</t>
        </is>
      </c>
      <c r="H1070" t="inlineStr"/>
      <c r="I1070" t="inlineStr">
        <is>
          <t>HXP Can Directly Fix</t>
        </is>
      </c>
      <c r="J1070" t="b">
        <v>0</v>
      </c>
      <c r="K1070" t="n">
        <v>1</v>
      </c>
      <c r="L1070" t="inlineStr"/>
      <c r="M1070" t="inlineStr"/>
    </row>
    <row r="1071">
      <c r="A1071" t="inlineStr">
        <is>
          <t>No</t>
        </is>
      </c>
      <c r="B1071" t="inlineStr"/>
      <c r="C1071" t="inlineStr"/>
      <c r="D1071" t="inlineStr"/>
      <c r="E1071" t="inlineStr">
        <is>
          <t>expense</t>
        </is>
      </c>
      <c r="F1071" t="inlineStr">
        <is>
          <t>Cost / Finances</t>
        </is>
      </c>
      <c r="G1071" t="inlineStr">
        <is>
          <t>Cost / Finances</t>
        </is>
      </c>
      <c r="H1071" t="inlineStr"/>
      <c r="I1071" t="inlineStr">
        <is>
          <t>HXP Can Directly Fix</t>
        </is>
      </c>
      <c r="J1071" t="b">
        <v>0</v>
      </c>
      <c r="K1071" t="n">
        <v>1</v>
      </c>
      <c r="L1071" t="inlineStr"/>
      <c r="M1071" t="inlineStr"/>
    </row>
    <row r="1072">
      <c r="A1072" t="inlineStr">
        <is>
          <t>Yes</t>
        </is>
      </c>
      <c r="B1072" t="inlineStr">
        <is>
          <t>Other parents going with their kids, and I haven't gone to Africa or on a mission.</t>
        </is>
      </c>
      <c r="C1072" t="inlineStr">
        <is>
          <t>Faith / Service Motivation</t>
        </is>
      </c>
      <c r="D1072" t="inlineStr">
        <is>
          <t>Faith / Service Motivation</t>
        </is>
      </c>
      <c r="E1072" t="inlineStr"/>
      <c r="F1072" t="inlineStr"/>
      <c r="G1072" t="inlineStr"/>
      <c r="H1072" t="inlineStr"/>
      <c r="I1072" t="inlineStr"/>
      <c r="J1072" t="b">
        <v>0</v>
      </c>
      <c r="K1072" t="n">
        <v>0</v>
      </c>
      <c r="L1072" t="inlineStr"/>
      <c r="M1072" t="inlineStr"/>
    </row>
    <row r="1073">
      <c r="A1073" t="inlineStr">
        <is>
          <t>No</t>
        </is>
      </c>
      <c r="B1073" t="inlineStr"/>
      <c r="C1073" t="inlineStr"/>
      <c r="D1073" t="inlineStr"/>
      <c r="E1073" t="inlineStr">
        <is>
          <t>Kids at home</t>
        </is>
      </c>
      <c r="F1073" t="inlineStr">
        <is>
          <t>Other Kids / Family at Home</t>
        </is>
      </c>
      <c r="G1073" t="inlineStr">
        <is>
          <t>Other Kids / Family at Home</t>
        </is>
      </c>
      <c r="H1073" t="inlineStr"/>
      <c r="I1073" t="inlineStr">
        <is>
          <t>Family's Own Choice</t>
        </is>
      </c>
      <c r="J1073" t="b">
        <v>0</v>
      </c>
      <c r="K1073" t="n">
        <v>1</v>
      </c>
      <c r="L1073" t="inlineStr"/>
      <c r="M1073" t="inlineStr"/>
    </row>
    <row r="1074">
      <c r="A1074" t="inlineStr">
        <is>
          <t>Yes</t>
        </is>
      </c>
      <c r="B1074" t="inlineStr">
        <is>
          <t>Last year my daughter got hurt, and overlooked. It was 3 days before we knew she made it. I plan to never let a parent go through that if I can help it.</t>
        </is>
      </c>
      <c r="C1074" t="inlineStr">
        <is>
          <t>Previous Positive Experience</t>
        </is>
      </c>
      <c r="D1074" t="inlineStr">
        <is>
          <t>Previous Positive Experience</t>
        </is>
      </c>
      <c r="E1074" t="inlineStr"/>
      <c r="F1074" t="inlineStr"/>
      <c r="G1074" t="inlineStr"/>
      <c r="H1074" t="inlineStr"/>
      <c r="I1074" t="inlineStr"/>
      <c r="J1074" t="b">
        <v>0</v>
      </c>
      <c r="K1074" t="n">
        <v>0</v>
      </c>
      <c r="L1074" t="inlineStr"/>
      <c r="M1074" t="inlineStr"/>
    </row>
    <row r="1075">
      <c r="A1075" t="inlineStr">
        <is>
          <t>No</t>
        </is>
      </c>
      <c r="B1075" t="inlineStr"/>
      <c r="C1075" t="inlineStr"/>
      <c r="D1075" t="inlineStr"/>
      <c r="E1075" t="inlineStr">
        <is>
          <t>my son didn't want me to go</t>
        </is>
      </c>
      <c r="F1075" t="inlineStr">
        <is>
          <t>Child Didn't Want Parent to Come</t>
        </is>
      </c>
      <c r="G1075" t="inlineStr">
        <is>
          <t>Child Didn't Want Parent to Come</t>
        </is>
      </c>
      <c r="H1075" t="inlineStr"/>
      <c r="I1075" t="inlineStr">
        <is>
          <t>Family's Own Choice</t>
        </is>
      </c>
      <c r="J1075" t="b">
        <v>0</v>
      </c>
      <c r="K1075" t="n">
        <v>1</v>
      </c>
      <c r="L1075" t="inlineStr"/>
      <c r="M1075" t="inlineStr"/>
    </row>
    <row r="1076">
      <c r="A1076" t="inlineStr">
        <is>
          <t>No</t>
        </is>
      </c>
      <c r="B1076" t="inlineStr"/>
      <c r="C1076" t="inlineStr"/>
      <c r="D1076" t="inlineStr"/>
      <c r="E1076" t="inlineStr"/>
      <c r="F1076" t="inlineStr"/>
      <c r="G1076" t="inlineStr"/>
      <c r="H1076" t="inlineStr"/>
      <c r="I1076" t="inlineStr"/>
      <c r="J1076" t="b">
        <v>0</v>
      </c>
      <c r="K1076" t="n">
        <v>0</v>
      </c>
      <c r="L1076" t="inlineStr"/>
      <c r="M1076" t="inlineStr"/>
    </row>
    <row r="1077">
      <c r="A1077" t="inlineStr">
        <is>
          <t>No</t>
        </is>
      </c>
      <c r="B1077" t="inlineStr"/>
      <c r="C1077" t="inlineStr"/>
      <c r="D1077" t="inlineStr"/>
      <c r="E1077" t="inlineStr">
        <is>
          <t>My youth didn't want me to go</t>
        </is>
      </c>
      <c r="F1077" t="inlineStr">
        <is>
          <t>Child Didn't Want Parent to Come</t>
        </is>
      </c>
      <c r="G1077" t="inlineStr">
        <is>
          <t>Child Didn't Want Parent to Come</t>
        </is>
      </c>
      <c r="H1077" t="inlineStr"/>
      <c r="I1077" t="inlineStr">
        <is>
          <t>Family's Own Choice</t>
        </is>
      </c>
      <c r="J1077" t="b">
        <v>0</v>
      </c>
      <c r="K1077" t="n">
        <v>1</v>
      </c>
      <c r="L1077" t="inlineStr"/>
      <c r="M1077" t="inlineStr"/>
    </row>
    <row r="1078">
      <c r="A1078" t="inlineStr">
        <is>
          <t>No</t>
        </is>
      </c>
      <c r="B1078" t="inlineStr"/>
      <c r="C1078" t="inlineStr"/>
      <c r="D1078" t="inlineStr"/>
      <c r="E1078" t="inlineStr"/>
      <c r="F1078" t="inlineStr"/>
      <c r="G1078" t="inlineStr"/>
      <c r="H1078" t="inlineStr"/>
      <c r="I1078" t="inlineStr"/>
      <c r="J1078" t="b">
        <v>0</v>
      </c>
      <c r="K1078" t="n">
        <v>0</v>
      </c>
      <c r="L1078" t="inlineStr"/>
      <c r="M1078" t="inlineStr"/>
    </row>
    <row r="1079">
      <c r="A1079" t="inlineStr">
        <is>
          <t>No</t>
        </is>
      </c>
      <c r="B1079" t="inlineStr"/>
      <c r="C1079" t="inlineStr"/>
      <c r="D1079" t="inlineStr"/>
      <c r="E1079" t="inlineStr">
        <is>
          <t>Worried that my daughter wouldn't participate as much if I was there</t>
        </is>
      </c>
      <c r="F1079" t="inlineStr">
        <is>
          <t>Wants Child to Have Independent Experience</t>
        </is>
      </c>
      <c r="G1079" t="inlineStr">
        <is>
          <t>Wants Child to Have Independent Experience</t>
        </is>
      </c>
      <c r="H1079" t="inlineStr"/>
      <c r="I1079" t="inlineStr">
        <is>
          <t>Family's Own Choice</t>
        </is>
      </c>
      <c r="J1079" t="b">
        <v>0</v>
      </c>
      <c r="K1079" t="n">
        <v>1</v>
      </c>
      <c r="L1079" t="inlineStr"/>
      <c r="M1079" t="inlineStr"/>
    </row>
    <row r="1080">
      <c r="A1080" t="inlineStr">
        <is>
          <t>No</t>
        </is>
      </c>
      <c r="B1080" t="inlineStr"/>
      <c r="C1080" t="inlineStr"/>
      <c r="D1080" t="inlineStr"/>
      <c r="E1080" t="inlineStr">
        <is>
          <t>Like them to go solo</t>
        </is>
      </c>
      <c r="F1080" t="inlineStr">
        <is>
          <t>Wants Child to Have Independent Experience</t>
        </is>
      </c>
      <c r="G1080" t="inlineStr">
        <is>
          <t>Wants Child to Have Independent Experience</t>
        </is>
      </c>
      <c r="H1080" t="inlineStr"/>
      <c r="I1080" t="inlineStr">
        <is>
          <t>Family's Own Choice</t>
        </is>
      </c>
      <c r="J1080" t="b">
        <v>0</v>
      </c>
      <c r="K1080" t="n">
        <v>1</v>
      </c>
      <c r="L1080" t="inlineStr"/>
      <c r="M1080" t="inlineStr"/>
    </row>
    <row r="1081">
      <c r="A1081" t="inlineStr">
        <is>
          <t>No</t>
        </is>
      </c>
      <c r="B1081" t="inlineStr"/>
      <c r="C1081" t="inlineStr"/>
      <c r="D1081" t="inlineStr"/>
      <c r="E1081" t="inlineStr">
        <is>
          <t>Experience testimonials from ones that have gone on a trip before</t>
        </is>
      </c>
      <c r="F1081" t="inlineStr">
        <is>
          <t>Wants Child to Have Independent Experience</t>
        </is>
      </c>
      <c r="G1081" t="inlineStr">
        <is>
          <t>Wants Child to Have Independent Experience</t>
        </is>
      </c>
      <c r="H1081" t="inlineStr"/>
      <c r="I1081" t="inlineStr">
        <is>
          <t>Family's Own Choice</t>
        </is>
      </c>
      <c r="J1081" t="b">
        <v>0</v>
      </c>
      <c r="K1081" t="n">
        <v>1</v>
      </c>
      <c r="L1081" t="inlineStr"/>
      <c r="M1081" t="inlineStr"/>
    </row>
    <row r="1082">
      <c r="A1082" t="inlineStr">
        <is>
          <t>No</t>
        </is>
      </c>
      <c r="B1082" t="inlineStr"/>
      <c r="C1082" t="inlineStr"/>
      <c r="D1082" t="inlineStr"/>
      <c r="E1082" t="inlineStr"/>
      <c r="F1082" t="inlineStr"/>
      <c r="G1082" t="inlineStr"/>
      <c r="H1082" t="inlineStr"/>
      <c r="I1082" t="inlineStr"/>
      <c r="J1082" t="b">
        <v>0</v>
      </c>
      <c r="K1082" t="n">
        <v>0</v>
      </c>
      <c r="L1082" t="inlineStr"/>
      <c r="M1082" t="inlineStr"/>
    </row>
    <row r="1083">
      <c r="A1083" t="inlineStr">
        <is>
          <t>No</t>
        </is>
      </c>
      <c r="B1083" t="inlineStr"/>
      <c r="C1083" t="inlineStr"/>
      <c r="D1083" t="inlineStr"/>
      <c r="E1083" t="inlineStr">
        <is>
          <t>I am too busy</t>
        </is>
      </c>
      <c r="F1083" t="inlineStr">
        <is>
          <t>Work Schedule / Time Off</t>
        </is>
      </c>
      <c r="G1083" t="inlineStr">
        <is>
          <t>Work Schedule / Time Off</t>
        </is>
      </c>
      <c r="H1083" t="inlineStr"/>
      <c r="I1083" t="inlineStr">
        <is>
          <t>HXP Can Influence</t>
        </is>
      </c>
      <c r="J1083" t="b">
        <v>0</v>
      </c>
      <c r="K1083" t="n">
        <v>1</v>
      </c>
      <c r="L1083" t="inlineStr"/>
      <c r="M1083" t="inlineStr"/>
    </row>
    <row r="1084">
      <c r="A1084" t="inlineStr">
        <is>
          <t>No</t>
        </is>
      </c>
      <c r="B1084" t="inlineStr"/>
      <c r="C1084" t="inlineStr"/>
      <c r="D1084" t="inlineStr"/>
      <c r="E1084" t="inlineStr">
        <is>
          <t>Time, money</t>
        </is>
      </c>
      <c r="F1084" t="inlineStr">
        <is>
          <t>Cost / Finances</t>
        </is>
      </c>
      <c r="G1084" t="inlineStr">
        <is>
          <t>Cost / Finances; Work Schedule / Time Off</t>
        </is>
      </c>
      <c r="H1084" t="inlineStr"/>
      <c r="I1084" t="inlineStr">
        <is>
          <t>HXP Can Directly Fix</t>
        </is>
      </c>
      <c r="J1084" t="b">
        <v>0</v>
      </c>
      <c r="K1084" t="n">
        <v>2</v>
      </c>
      <c r="L1084" t="inlineStr"/>
      <c r="M1084" t="inlineStr"/>
    </row>
    <row r="1085">
      <c r="A1085" t="inlineStr">
        <is>
          <t>No</t>
        </is>
      </c>
      <c r="B1085" t="inlineStr"/>
      <c r="C1085" t="inlineStr"/>
      <c r="D1085" t="inlineStr"/>
      <c r="E1085" t="inlineStr">
        <is>
          <t>Price</t>
        </is>
      </c>
      <c r="F1085" t="inlineStr">
        <is>
          <t>Cost / Finances</t>
        </is>
      </c>
      <c r="G1085" t="inlineStr">
        <is>
          <t>Cost / Finances</t>
        </is>
      </c>
      <c r="H1085" t="inlineStr"/>
      <c r="I1085" t="inlineStr">
        <is>
          <t>HXP Can Directly Fix</t>
        </is>
      </c>
      <c r="J1085" t="b">
        <v>0</v>
      </c>
      <c r="K1085" t="n">
        <v>1</v>
      </c>
      <c r="L1085" t="inlineStr"/>
      <c r="M1085" t="inlineStr"/>
    </row>
    <row r="1086">
      <c r="A1086" t="inlineStr">
        <is>
          <t>Yes</t>
        </is>
      </c>
      <c r="B1086" t="inlineStr">
        <is>
          <t>Served my mission there</t>
        </is>
      </c>
      <c r="C1086" t="inlineStr">
        <is>
          <t>Faith / Service Motivation</t>
        </is>
      </c>
      <c r="D1086" t="inlineStr">
        <is>
          <t>Faith / Service Motivation</t>
        </is>
      </c>
      <c r="E1086" t="inlineStr"/>
      <c r="F1086" t="inlineStr"/>
      <c r="G1086" t="inlineStr"/>
      <c r="H1086" t="inlineStr"/>
      <c r="I1086" t="inlineStr"/>
      <c r="J1086" t="b">
        <v>0</v>
      </c>
      <c r="K1086" t="n">
        <v>0</v>
      </c>
      <c r="L1086" t="inlineStr"/>
      <c r="M1086" t="inlineStr"/>
    </row>
    <row r="1087">
      <c r="A1087" t="inlineStr">
        <is>
          <t>No</t>
        </is>
      </c>
      <c r="B1087" t="inlineStr"/>
      <c r="C1087" t="inlineStr"/>
      <c r="D1087" t="inlineStr"/>
      <c r="E1087" t="inlineStr">
        <is>
          <t>Cost and unable to take work off for that long</t>
        </is>
      </c>
      <c r="F1087" t="inlineStr">
        <is>
          <t>Cost / Finances</t>
        </is>
      </c>
      <c r="G1087" t="inlineStr">
        <is>
          <t>Cost / Finances; Work Schedule / Time Off; Other Kids / Family at Home</t>
        </is>
      </c>
      <c r="H1087" t="inlineStr"/>
      <c r="I1087" t="inlineStr">
        <is>
          <t>HXP Can Directly Fix</t>
        </is>
      </c>
      <c r="J1087" t="b">
        <v>0</v>
      </c>
      <c r="K1087" t="n">
        <v>3</v>
      </c>
      <c r="L1087" t="inlineStr"/>
      <c r="M1087" t="inlineStr"/>
    </row>
    <row r="1088">
      <c r="A1088" t="inlineStr">
        <is>
          <t>No</t>
        </is>
      </c>
      <c r="B1088" t="inlineStr"/>
      <c r="C1088" t="inlineStr"/>
      <c r="D1088" t="inlineStr"/>
      <c r="E1088" t="inlineStr">
        <is>
          <t>Cost</t>
        </is>
      </c>
      <c r="F1088" t="inlineStr">
        <is>
          <t>Cost / Finances</t>
        </is>
      </c>
      <c r="G1088" t="inlineStr">
        <is>
          <t>Cost / Finances</t>
        </is>
      </c>
      <c r="H1088" t="inlineStr"/>
      <c r="I1088" t="inlineStr">
        <is>
          <t>HXP Can Directly Fix</t>
        </is>
      </c>
      <c r="J1088" t="b">
        <v>0</v>
      </c>
      <c r="K1088" t="n">
        <v>1</v>
      </c>
      <c r="L1088" t="inlineStr"/>
      <c r="M1088" t="inlineStr"/>
    </row>
    <row r="1089">
      <c r="A1089" t="inlineStr">
        <is>
          <t>No</t>
        </is>
      </c>
      <c r="B1089" t="inlineStr"/>
      <c r="C1089" t="inlineStr"/>
      <c r="D1089" t="inlineStr"/>
      <c r="E1089" t="inlineStr"/>
      <c r="F1089" t="inlineStr"/>
      <c r="G1089" t="inlineStr"/>
      <c r="H1089" t="inlineStr"/>
      <c r="I1089" t="inlineStr"/>
      <c r="J1089" t="b">
        <v>0</v>
      </c>
      <c r="K1089" t="n">
        <v>0</v>
      </c>
      <c r="L1089" t="inlineStr"/>
      <c r="M1089" t="inlineStr"/>
    </row>
    <row r="1090">
      <c r="A1090" t="inlineStr">
        <is>
          <t>No</t>
        </is>
      </c>
      <c r="B1090" t="inlineStr"/>
      <c r="C1090" t="inlineStr"/>
      <c r="D1090" t="inlineStr"/>
      <c r="E1090" t="inlineStr"/>
      <c r="F1090" t="inlineStr"/>
      <c r="G1090" t="inlineStr"/>
      <c r="H1090" t="inlineStr"/>
      <c r="I1090" t="inlineStr"/>
      <c r="J1090" t="b">
        <v>0</v>
      </c>
      <c r="K1090" t="n">
        <v>0</v>
      </c>
      <c r="L1090" t="inlineStr"/>
      <c r="M1090" t="inlineStr"/>
    </row>
    <row r="1091">
      <c r="A1091" t="inlineStr">
        <is>
          <t>No</t>
        </is>
      </c>
      <c r="B1091" t="inlineStr"/>
      <c r="C1091" t="inlineStr"/>
      <c r="D1091" t="inlineStr"/>
      <c r="E1091" t="inlineStr">
        <is>
          <t>Let me son have this experience first himself. I'll go next year</t>
        </is>
      </c>
      <c r="F1091" t="inlineStr">
        <is>
          <t>Wants Child to Have Independent Experience</t>
        </is>
      </c>
      <c r="G1091" t="inlineStr">
        <is>
          <t>Wants Child to Have Independent Experience</t>
        </is>
      </c>
      <c r="H1091" t="inlineStr"/>
      <c r="I1091" t="inlineStr">
        <is>
          <t>Family's Own Choice</t>
        </is>
      </c>
      <c r="J1091" t="b">
        <v>1</v>
      </c>
      <c r="K1091" t="n">
        <v>1</v>
      </c>
      <c r="L1091" t="inlineStr"/>
      <c r="M1091" t="inlineStr"/>
    </row>
    <row r="1092">
      <c r="A1092" t="inlineStr">
        <is>
          <t>No</t>
        </is>
      </c>
      <c r="B1092" t="inlineStr"/>
      <c r="C1092" t="inlineStr"/>
      <c r="D1092" t="inlineStr"/>
      <c r="E1092" t="inlineStr"/>
      <c r="F1092" t="inlineStr"/>
      <c r="G1092" t="inlineStr"/>
      <c r="H1092" t="inlineStr"/>
      <c r="I1092" t="inlineStr"/>
      <c r="J1092" t="b">
        <v>0</v>
      </c>
      <c r="K1092" t="n">
        <v>0</v>
      </c>
      <c r="L1092" t="inlineStr"/>
      <c r="M1092" t="inlineStr"/>
    </row>
    <row r="1093">
      <c r="A1093" t="inlineStr">
        <is>
          <t>No</t>
        </is>
      </c>
      <c r="B1093" t="inlineStr"/>
      <c r="C1093" t="inlineStr"/>
      <c r="D1093" t="inlineStr"/>
      <c r="E1093" t="inlineStr">
        <is>
          <t>Can't do it this year, but I am planning on doing it next year if finances allow.</t>
        </is>
      </c>
      <c r="F1093" t="inlineStr">
        <is>
          <t>Cost / Finances</t>
        </is>
      </c>
      <c r="G1093" t="inlineStr">
        <is>
          <t>Cost / Finances</t>
        </is>
      </c>
      <c r="H1093" t="inlineStr"/>
      <c r="I1093" t="inlineStr">
        <is>
          <t>HXP Can Directly Fix</t>
        </is>
      </c>
      <c r="J1093" t="b">
        <v>1</v>
      </c>
      <c r="K1093" t="n">
        <v>1</v>
      </c>
      <c r="L1093" t="inlineStr"/>
      <c r="M1093" t="inlineStr"/>
    </row>
    <row r="1094">
      <c r="A1094" t="inlineStr">
        <is>
          <t>No</t>
        </is>
      </c>
      <c r="B1094" t="inlineStr"/>
      <c r="C1094" t="inlineStr"/>
      <c r="D1094" t="inlineStr"/>
      <c r="E1094" t="inlineStr">
        <is>
          <t>Other children at home</t>
        </is>
      </c>
      <c r="F1094" t="inlineStr">
        <is>
          <t>Other Kids / Family at Home</t>
        </is>
      </c>
      <c r="G1094" t="inlineStr">
        <is>
          <t>Other Kids / Family at Home</t>
        </is>
      </c>
      <c r="H1094" t="inlineStr"/>
      <c r="I1094" t="inlineStr">
        <is>
          <t>Family's Own Choice</t>
        </is>
      </c>
      <c r="J1094" t="b">
        <v>0</v>
      </c>
      <c r="K1094" t="n">
        <v>1</v>
      </c>
      <c r="L1094" t="inlineStr"/>
      <c r="M1094" t="inlineStr"/>
    </row>
    <row r="1095">
      <c r="A1095" t="inlineStr">
        <is>
          <t>No</t>
        </is>
      </c>
      <c r="B1095" t="inlineStr"/>
      <c r="C1095" t="inlineStr"/>
      <c r="D1095" t="inlineStr"/>
      <c r="E1095" t="inlineStr">
        <is>
          <t>Finances and my other three kids at home</t>
        </is>
      </c>
      <c r="F1095" t="inlineStr">
        <is>
          <t>Cost / Finances</t>
        </is>
      </c>
      <c r="G1095" t="inlineStr">
        <is>
          <t>Cost / Finances; Other Kids / Family at Home</t>
        </is>
      </c>
      <c r="H1095" t="inlineStr"/>
      <c r="I1095" t="inlineStr">
        <is>
          <t>HXP Can Directly Fix</t>
        </is>
      </c>
      <c r="J1095" t="b">
        <v>0</v>
      </c>
      <c r="K1095" t="n">
        <v>2</v>
      </c>
      <c r="L1095" t="inlineStr"/>
      <c r="M1095" t="inlineStr"/>
    </row>
    <row r="1096">
      <c r="A1096" t="inlineStr">
        <is>
          <t>Yes</t>
        </is>
      </c>
      <c r="B1096" t="inlineStr">
        <is>
          <t>Passion for the humanitarian work and the opportunity to connect with my son</t>
        </is>
      </c>
      <c r="C1096" t="inlineStr">
        <is>
          <t>Faith / Service Motivation</t>
        </is>
      </c>
      <c r="D1096" t="inlineStr">
        <is>
          <t>Faith / Service Motivation</t>
        </is>
      </c>
      <c r="E1096" t="inlineStr"/>
      <c r="F1096" t="inlineStr"/>
      <c r="G1096" t="inlineStr"/>
      <c r="H1096" t="inlineStr"/>
      <c r="I1096" t="inlineStr"/>
      <c r="J1096" t="b">
        <v>0</v>
      </c>
      <c r="K1096" t="n">
        <v>0</v>
      </c>
      <c r="L1096" t="inlineStr"/>
      <c r="M1096" t="inlineStr"/>
    </row>
    <row r="1097">
      <c r="A1097" t="inlineStr">
        <is>
          <t>No</t>
        </is>
      </c>
      <c r="B1097" t="inlineStr"/>
      <c r="C1097" t="inlineStr"/>
      <c r="D1097" t="inlineStr"/>
      <c r="E1097" t="inlineStr">
        <is>
          <t>Expense, time, hard to make arrangements for other kids, child wanting to go in her own.</t>
        </is>
      </c>
      <c r="F1097" t="inlineStr">
        <is>
          <t>Cost / Finances</t>
        </is>
      </c>
      <c r="G1097" t="inlineStr">
        <is>
          <t>Cost / Finances; Work Schedule / Time Off; Other Kids / Family at Home</t>
        </is>
      </c>
      <c r="H1097" t="inlineStr"/>
      <c r="I1097" t="inlineStr">
        <is>
          <t>HXP Can Directly Fix</t>
        </is>
      </c>
      <c r="J1097" t="b">
        <v>0</v>
      </c>
      <c r="K1097" t="n">
        <v>3</v>
      </c>
      <c r="L1097" t="inlineStr"/>
      <c r="M1097" t="inlineStr"/>
    </row>
    <row r="1098">
      <c r="A1098" t="inlineStr">
        <is>
          <t>No</t>
        </is>
      </c>
      <c r="B1098" t="inlineStr"/>
      <c r="C1098" t="inlineStr"/>
      <c r="D1098" t="inlineStr"/>
      <c r="E1098" t="inlineStr">
        <is>
          <t>Other kids at home</t>
        </is>
      </c>
      <c r="F1098" t="inlineStr">
        <is>
          <t>Other Kids / Family at Home</t>
        </is>
      </c>
      <c r="G1098" t="inlineStr">
        <is>
          <t>Other Kids / Family at Home</t>
        </is>
      </c>
      <c r="H1098" t="inlineStr"/>
      <c r="I1098" t="inlineStr">
        <is>
          <t>Family's Own Choice</t>
        </is>
      </c>
      <c r="J1098" t="b">
        <v>0</v>
      </c>
      <c r="K1098" t="n">
        <v>1</v>
      </c>
      <c r="L1098" t="inlineStr"/>
      <c r="M1098" t="inlineStr"/>
    </row>
    <row r="1099">
      <c r="A1099" t="inlineStr">
        <is>
          <t>No</t>
        </is>
      </c>
      <c r="B1099" t="inlineStr"/>
      <c r="C1099" t="inlineStr"/>
      <c r="D1099" t="inlineStr"/>
      <c r="E1099" t="inlineStr">
        <is>
          <t>My builder didn't want a parent to go - she wants to experience this on her own.</t>
        </is>
      </c>
      <c r="F1099" t="inlineStr">
        <is>
          <t>Child Didn't Want Parent to Come</t>
        </is>
      </c>
      <c r="G1099" t="inlineStr">
        <is>
          <t>Child Didn't Want Parent to Come; Wants Child to Have Independent Experience</t>
        </is>
      </c>
      <c r="H1099" t="inlineStr"/>
      <c r="I1099" t="inlineStr">
        <is>
          <t>Family's Own Choice</t>
        </is>
      </c>
      <c r="J1099" t="b">
        <v>0</v>
      </c>
      <c r="K1099" t="n">
        <v>2</v>
      </c>
      <c r="L1099" t="inlineStr"/>
      <c r="M1099" t="inlineStr"/>
    </row>
    <row r="1100">
      <c r="A1100" t="inlineStr">
        <is>
          <t>No</t>
        </is>
      </c>
      <c r="B1100" t="inlineStr"/>
      <c r="C1100" t="inlineStr"/>
      <c r="D1100" t="inlineStr"/>
      <c r="E1100" t="inlineStr">
        <is>
          <t>Daughter wanted to go on her own</t>
        </is>
      </c>
      <c r="F1100" t="inlineStr">
        <is>
          <t>Wants Child to Have Independent Experience</t>
        </is>
      </c>
      <c r="G1100" t="inlineStr">
        <is>
          <t>Wants Child to Have Independent Experience</t>
        </is>
      </c>
      <c r="H1100" t="inlineStr"/>
      <c r="I1100" t="inlineStr">
        <is>
          <t>Family's Own Choice</t>
        </is>
      </c>
      <c r="J1100" t="b">
        <v>0</v>
      </c>
      <c r="K1100" t="n">
        <v>1</v>
      </c>
      <c r="L1100" t="inlineStr"/>
      <c r="M1100" t="inlineStr"/>
    </row>
    <row r="1101">
      <c r="A1101" t="inlineStr">
        <is>
          <t>No</t>
        </is>
      </c>
      <c r="B1101" t="inlineStr"/>
      <c r="C1101" t="inlineStr"/>
      <c r="D1101" t="inlineStr"/>
      <c r="E1101" t="inlineStr">
        <is>
          <t>Have other home responsibilities, child is fine traveling alone, want them to have their own experience</t>
        </is>
      </c>
      <c r="F1101" t="inlineStr">
        <is>
          <t>Work Schedule / Time Off</t>
        </is>
      </c>
      <c r="G1101" t="inlineStr">
        <is>
          <t>Work Schedule / Time Off; Wants Child to Have Independent Experience</t>
        </is>
      </c>
      <c r="H1101" t="inlineStr"/>
      <c r="I1101" t="inlineStr">
        <is>
          <t>HXP Can Influence</t>
        </is>
      </c>
      <c r="J1101" t="b">
        <v>0</v>
      </c>
      <c r="K1101" t="n">
        <v>2</v>
      </c>
      <c r="L1101" t="inlineStr"/>
      <c r="M1101" t="inlineStr"/>
    </row>
    <row r="1102">
      <c r="A1102" t="inlineStr">
        <is>
          <t>No</t>
        </is>
      </c>
      <c r="B1102" t="inlineStr"/>
      <c r="C1102" t="inlineStr"/>
      <c r="D1102" t="inlineStr"/>
      <c r="E1102" t="inlineStr">
        <is>
          <t>Prefer my child to have this experience without a parent present.</t>
        </is>
      </c>
      <c r="F1102" t="inlineStr">
        <is>
          <t>Wants Child to Have Independent Experience</t>
        </is>
      </c>
      <c r="G1102" t="inlineStr">
        <is>
          <t>Wants Child to Have Independent Experience</t>
        </is>
      </c>
      <c r="H1102" t="inlineStr"/>
      <c r="I1102" t="inlineStr">
        <is>
          <t>Family's Own Choice</t>
        </is>
      </c>
      <c r="J1102" t="b">
        <v>0</v>
      </c>
      <c r="K1102" t="n">
        <v>1</v>
      </c>
      <c r="L1102" t="inlineStr"/>
      <c r="M1102" t="inlineStr"/>
    </row>
    <row r="1103">
      <c r="A1103" t="inlineStr">
        <is>
          <t>No</t>
        </is>
      </c>
      <c r="B1103" t="inlineStr"/>
      <c r="C1103" t="inlineStr"/>
      <c r="D1103" t="inlineStr"/>
      <c r="E1103" t="inlineStr">
        <is>
          <t>Cost</t>
        </is>
      </c>
      <c r="F1103" t="inlineStr">
        <is>
          <t>Cost / Finances</t>
        </is>
      </c>
      <c r="G1103" t="inlineStr">
        <is>
          <t>Cost / Finances</t>
        </is>
      </c>
      <c r="H1103" t="inlineStr"/>
      <c r="I1103" t="inlineStr">
        <is>
          <t>HXP Can Directly Fix</t>
        </is>
      </c>
      <c r="J1103" t="b">
        <v>0</v>
      </c>
      <c r="K1103" t="n">
        <v>1</v>
      </c>
      <c r="L1103" t="inlineStr"/>
      <c r="M1103" t="inlineStr"/>
    </row>
    <row r="1104">
      <c r="A1104" t="inlineStr">
        <is>
          <t>No</t>
        </is>
      </c>
      <c r="B1104" t="inlineStr"/>
      <c r="C1104" t="inlineStr"/>
      <c r="D1104" t="inlineStr"/>
      <c r="E1104" t="inlineStr">
        <is>
          <t>Cost, Time Commitment</t>
        </is>
      </c>
      <c r="F1104" t="inlineStr">
        <is>
          <t>Cost / Finances</t>
        </is>
      </c>
      <c r="G1104" t="inlineStr">
        <is>
          <t>Cost / Finances; Work Schedule / Time Off</t>
        </is>
      </c>
      <c r="H1104" t="inlineStr"/>
      <c r="I1104" t="inlineStr">
        <is>
          <t>HXP Can Directly Fix</t>
        </is>
      </c>
      <c r="J1104" t="b">
        <v>0</v>
      </c>
      <c r="K1104" t="n">
        <v>2</v>
      </c>
      <c r="L1104" t="inlineStr"/>
      <c r="M1104" t="inlineStr"/>
    </row>
    <row r="1105">
      <c r="A1105" t="inlineStr">
        <is>
          <t>Yes</t>
        </is>
      </c>
      <c r="B1105" t="inlineStr">
        <is>
          <t>Ensuring a spot for my son</t>
        </is>
      </c>
      <c r="C1105" t="inlineStr">
        <is>
          <t>Other / Uncategorized</t>
        </is>
      </c>
      <c r="D1105" t="inlineStr"/>
      <c r="E1105" t="inlineStr"/>
      <c r="F1105" t="inlineStr"/>
      <c r="G1105" t="inlineStr"/>
      <c r="H1105" t="inlineStr"/>
      <c r="I1105" t="inlineStr"/>
      <c r="J1105" t="b">
        <v>0</v>
      </c>
      <c r="K1105" t="n">
        <v>0</v>
      </c>
      <c r="L1105" t="inlineStr"/>
      <c r="M1105" t="inlineStr"/>
    </row>
    <row r="1106">
      <c r="A1106" t="inlineStr">
        <is>
          <t>No</t>
        </is>
      </c>
      <c r="B1106" t="inlineStr"/>
      <c r="C1106" t="inlineStr"/>
      <c r="D1106" t="inlineStr"/>
      <c r="E1106" t="inlineStr">
        <is>
          <t>I can't afford it</t>
        </is>
      </c>
      <c r="F1106" t="inlineStr">
        <is>
          <t>Cost / Finances</t>
        </is>
      </c>
      <c r="G1106" t="inlineStr">
        <is>
          <t>Cost / Finances</t>
        </is>
      </c>
      <c r="H1106" t="inlineStr"/>
      <c r="I1106" t="inlineStr">
        <is>
          <t>HXP Can Directly Fix</t>
        </is>
      </c>
      <c r="J1106" t="b">
        <v>0</v>
      </c>
      <c r="K1106" t="n">
        <v>1</v>
      </c>
      <c r="L1106" t="inlineStr"/>
      <c r="M1106" t="inlineStr"/>
    </row>
    <row r="1107">
      <c r="A1107" t="inlineStr">
        <is>
          <t>No</t>
        </is>
      </c>
      <c r="B1107" t="inlineStr"/>
      <c r="C1107" t="inlineStr"/>
      <c r="D1107" t="inlineStr"/>
      <c r="E1107" t="inlineStr"/>
      <c r="F1107" t="inlineStr"/>
      <c r="G1107" t="inlineStr"/>
      <c r="H1107" t="inlineStr"/>
      <c r="I1107" t="inlineStr"/>
      <c r="J1107" t="b">
        <v>0</v>
      </c>
      <c r="K1107" t="n">
        <v>0</v>
      </c>
      <c r="L1107" t="inlineStr"/>
      <c r="M1107" t="inlineStr"/>
    </row>
    <row r="1108">
      <c r="A1108" t="inlineStr">
        <is>
          <t>No</t>
        </is>
      </c>
      <c r="B1108" t="inlineStr"/>
      <c r="C1108" t="inlineStr"/>
      <c r="D1108" t="inlineStr"/>
      <c r="E1108" t="inlineStr">
        <is>
          <t>Time</t>
        </is>
      </c>
      <c r="F1108" t="inlineStr">
        <is>
          <t>Work Schedule / Time Off</t>
        </is>
      </c>
      <c r="G1108" t="inlineStr">
        <is>
          <t>Work Schedule / Time Off</t>
        </is>
      </c>
      <c r="H1108" t="inlineStr"/>
      <c r="I1108" t="inlineStr">
        <is>
          <t>HXP Can Influence</t>
        </is>
      </c>
      <c r="J1108" t="b">
        <v>0</v>
      </c>
      <c r="K1108" t="n">
        <v>1</v>
      </c>
      <c r="L1108" t="inlineStr"/>
      <c r="M1108" t="inlineStr"/>
    </row>
    <row r="1109">
      <c r="A1109" t="inlineStr">
        <is>
          <t>No</t>
        </is>
      </c>
      <c r="B1109" t="inlineStr"/>
      <c r="C1109" t="inlineStr"/>
      <c r="D1109" t="inlineStr"/>
      <c r="E1109" t="inlineStr">
        <is>
          <t>Too much time away from work.</t>
        </is>
      </c>
      <c r="F1109" t="inlineStr">
        <is>
          <t>Work Schedule / Time Off</t>
        </is>
      </c>
      <c r="G1109" t="inlineStr">
        <is>
          <t>Work Schedule / Time Off</t>
        </is>
      </c>
      <c r="H1109" t="inlineStr"/>
      <c r="I1109" t="inlineStr">
        <is>
          <t>HXP Can Influence</t>
        </is>
      </c>
      <c r="J1109" t="b">
        <v>0</v>
      </c>
      <c r="K1109" t="n">
        <v>1</v>
      </c>
      <c r="L1109" t="inlineStr"/>
      <c r="M1109" t="inlineStr"/>
    </row>
    <row r="1110">
      <c r="A1110" t="inlineStr">
        <is>
          <t>No</t>
        </is>
      </c>
      <c r="B1110" t="inlineStr"/>
      <c r="C1110" t="inlineStr"/>
      <c r="D1110" t="inlineStr"/>
      <c r="E1110" t="inlineStr">
        <is>
          <t>Cost</t>
        </is>
      </c>
      <c r="F1110" t="inlineStr">
        <is>
          <t>Cost / Finances</t>
        </is>
      </c>
      <c r="G1110" t="inlineStr">
        <is>
          <t>Cost / Finances</t>
        </is>
      </c>
      <c r="H1110" t="inlineStr"/>
      <c r="I1110" t="inlineStr">
        <is>
          <t>HXP Can Directly Fix</t>
        </is>
      </c>
      <c r="J1110" t="b">
        <v>0</v>
      </c>
      <c r="K1110" t="n">
        <v>1</v>
      </c>
      <c r="L1110" t="inlineStr"/>
      <c r="M1110" t="inlineStr"/>
    </row>
    <row r="1111">
      <c r="A1111" t="inlineStr">
        <is>
          <t>No</t>
        </is>
      </c>
      <c r="B1111" t="inlineStr"/>
      <c r="C1111" t="inlineStr"/>
      <c r="D1111" t="inlineStr"/>
      <c r="E1111" t="inlineStr">
        <is>
          <t>Too many responsibilities and not enough money.</t>
        </is>
      </c>
      <c r="F1111" t="inlineStr">
        <is>
          <t>Cost / Finances</t>
        </is>
      </c>
      <c r="G1111" t="inlineStr">
        <is>
          <t>Cost / Finances; Work Schedule / Time Off</t>
        </is>
      </c>
      <c r="H1111" t="inlineStr"/>
      <c r="I1111" t="inlineStr">
        <is>
          <t>HXP Can Directly Fix</t>
        </is>
      </c>
      <c r="J1111" t="b">
        <v>0</v>
      </c>
      <c r="K1111" t="n">
        <v>2</v>
      </c>
      <c r="L1111" t="inlineStr"/>
      <c r="M1111" t="inlineStr"/>
    </row>
    <row r="1112">
      <c r="A1112" t="inlineStr">
        <is>
          <t>Maybe</t>
        </is>
      </c>
      <c r="B1112" t="inlineStr"/>
      <c r="C1112" t="inlineStr"/>
      <c r="D1112" t="inlineStr"/>
      <c r="E1112" t="inlineStr"/>
      <c r="F1112" t="inlineStr"/>
      <c r="G1112" t="inlineStr"/>
      <c r="H1112" t="inlineStr"/>
      <c r="I1112" t="inlineStr"/>
      <c r="J1112" t="b">
        <v>0</v>
      </c>
      <c r="K1112" t="n">
        <v>0</v>
      </c>
      <c r="L1112" t="inlineStr"/>
      <c r="M1112" t="inlineStr"/>
    </row>
    <row r="1113">
      <c r="A1113" t="inlineStr">
        <is>
          <t>No</t>
        </is>
      </c>
      <c r="B1113" t="inlineStr"/>
      <c r="C1113" t="inlineStr"/>
      <c r="D1113" t="inlineStr"/>
      <c r="E1113" t="inlineStr">
        <is>
          <t>I have 5 other kids and am too busy right now.</t>
        </is>
      </c>
      <c r="F1113" t="inlineStr">
        <is>
          <t>Work Schedule / Time Off</t>
        </is>
      </c>
      <c r="G1113" t="inlineStr">
        <is>
          <t>Work Schedule / Time Off; Other Kids / Family at Home</t>
        </is>
      </c>
      <c r="H1113" t="inlineStr"/>
      <c r="I1113" t="inlineStr">
        <is>
          <t>HXP Can Influence</t>
        </is>
      </c>
      <c r="J1113" t="b">
        <v>0</v>
      </c>
      <c r="K1113" t="n">
        <v>2</v>
      </c>
      <c r="L1113" t="inlineStr"/>
      <c r="M1113" t="inlineStr"/>
    </row>
    <row r="1114">
      <c r="A1114" t="inlineStr">
        <is>
          <t>Yes</t>
        </is>
      </c>
      <c r="B1114" t="inlineStr">
        <is>
          <t>My husband has done this and had a wonderful experience.</t>
        </is>
      </c>
      <c r="C1114" t="inlineStr">
        <is>
          <t>Wanted Shared Experience with Child</t>
        </is>
      </c>
      <c r="D1114" t="inlineStr">
        <is>
          <t>Wanted Shared Experience with Child</t>
        </is>
      </c>
      <c r="E1114" t="inlineStr"/>
      <c r="F1114" t="inlineStr"/>
      <c r="G1114" t="inlineStr"/>
      <c r="H1114" t="inlineStr"/>
      <c r="I1114" t="inlineStr"/>
      <c r="J1114" t="b">
        <v>0</v>
      </c>
      <c r="K1114" t="n">
        <v>0</v>
      </c>
      <c r="L1114" t="inlineStr"/>
      <c r="M1114" t="inlineStr"/>
    </row>
    <row r="1115">
      <c r="A1115" t="inlineStr">
        <is>
          <t>Yes</t>
        </is>
      </c>
      <c r="B1115" t="inlineStr">
        <is>
          <t>The trip needed parent builders. The idea to spend time with my kid</t>
        </is>
      </c>
      <c r="C1115" t="inlineStr">
        <is>
          <t>Wanted Shared Experience with Child</t>
        </is>
      </c>
      <c r="D1115" t="inlineStr">
        <is>
          <t>Wanted Shared Experience with Child</t>
        </is>
      </c>
      <c r="E1115" t="inlineStr"/>
      <c r="F1115" t="inlineStr"/>
      <c r="G1115" t="inlineStr"/>
      <c r="H1115" t="inlineStr"/>
      <c r="I1115" t="inlineStr"/>
      <c r="J1115" t="b">
        <v>0</v>
      </c>
      <c r="K1115" t="n">
        <v>0</v>
      </c>
      <c r="L1115" t="inlineStr"/>
      <c r="M1115" t="inlineStr"/>
    </row>
    <row r="1116">
      <c r="A1116" t="inlineStr">
        <is>
          <t>No</t>
        </is>
      </c>
      <c r="B1116" t="inlineStr"/>
      <c r="C1116" t="inlineStr"/>
      <c r="D1116" t="inlineStr"/>
      <c r="E1116" t="inlineStr">
        <is>
          <t>Don't have the time</t>
        </is>
      </c>
      <c r="F1116" t="inlineStr">
        <is>
          <t>Work Schedule / Time Off</t>
        </is>
      </c>
      <c r="G1116" t="inlineStr">
        <is>
          <t>Work Schedule / Time Off</t>
        </is>
      </c>
      <c r="H1116" t="inlineStr"/>
      <c r="I1116" t="inlineStr">
        <is>
          <t>HXP Can Influence</t>
        </is>
      </c>
      <c r="J1116" t="b">
        <v>0</v>
      </c>
      <c r="K1116" t="n">
        <v>1</v>
      </c>
      <c r="L1116" t="inlineStr"/>
      <c r="M1116" t="inlineStr"/>
    </row>
    <row r="1117">
      <c r="A1117" t="inlineStr">
        <is>
          <t>No</t>
        </is>
      </c>
      <c r="B1117" t="inlineStr"/>
      <c r="C1117" t="inlineStr"/>
      <c r="D1117" t="inlineStr"/>
      <c r="E1117" t="inlineStr">
        <is>
          <t>My other kids at home</t>
        </is>
      </c>
      <c r="F1117" t="inlineStr">
        <is>
          <t>Other Kids / Family at Home</t>
        </is>
      </c>
      <c r="G1117" t="inlineStr">
        <is>
          <t>Other Kids / Family at Home</t>
        </is>
      </c>
      <c r="H1117" t="inlineStr"/>
      <c r="I1117" t="inlineStr">
        <is>
          <t>Family's Own Choice</t>
        </is>
      </c>
      <c r="J1117" t="b">
        <v>0</v>
      </c>
      <c r="K1117" t="n">
        <v>1</v>
      </c>
      <c r="L1117" t="inlineStr"/>
      <c r="M1117" t="inlineStr"/>
    </row>
    <row r="1118">
      <c r="A1118" t="inlineStr">
        <is>
          <t>No</t>
        </is>
      </c>
      <c r="B1118" t="inlineStr"/>
      <c r="C1118" t="inlineStr"/>
      <c r="D1118" t="inlineStr"/>
      <c r="E1118" t="inlineStr">
        <is>
          <t>want my child to have his own experience</t>
        </is>
      </c>
      <c r="F1118" t="inlineStr">
        <is>
          <t>Wants Child to Have Independent Experience</t>
        </is>
      </c>
      <c r="G1118" t="inlineStr">
        <is>
          <t>Wants Child to Have Independent Experience</t>
        </is>
      </c>
      <c r="H1118" t="inlineStr"/>
      <c r="I1118" t="inlineStr">
        <is>
          <t>Family's Own Choice</t>
        </is>
      </c>
      <c r="J1118" t="b">
        <v>0</v>
      </c>
      <c r="K1118" t="n">
        <v>1</v>
      </c>
      <c r="L1118" t="inlineStr"/>
      <c r="M1118" t="inlineStr"/>
    </row>
    <row r="1119">
      <c r="A1119" t="inlineStr">
        <is>
          <t>No</t>
        </is>
      </c>
      <c r="B1119" t="inlineStr"/>
      <c r="C1119" t="inlineStr"/>
      <c r="D1119" t="inlineStr"/>
      <c r="E1119" t="inlineStr">
        <is>
          <t>I can't leave my young family</t>
        </is>
      </c>
      <c r="F1119" t="inlineStr">
        <is>
          <t>Other Kids / Family at Home</t>
        </is>
      </c>
      <c r="G1119" t="inlineStr">
        <is>
          <t>Other Kids / Family at Home</t>
        </is>
      </c>
      <c r="H1119" t="inlineStr"/>
      <c r="I1119" t="inlineStr">
        <is>
          <t>Family's Own Choice</t>
        </is>
      </c>
      <c r="J1119" t="b">
        <v>0</v>
      </c>
      <c r="K1119" t="n">
        <v>1</v>
      </c>
      <c r="L1119" t="inlineStr"/>
      <c r="M1119" t="inlineStr"/>
    </row>
    <row r="1120">
      <c r="A1120" t="inlineStr">
        <is>
          <t>No</t>
        </is>
      </c>
      <c r="B1120" t="inlineStr"/>
      <c r="C1120" t="inlineStr"/>
      <c r="D1120" t="inlineStr"/>
      <c r="E1120" t="inlineStr">
        <is>
          <t>My son told me he thought he would reach out more if I wasn't there. I would love to go in the future!</t>
        </is>
      </c>
      <c r="F1120" t="inlineStr">
        <is>
          <t>Wants Child to Have Independent Experience</t>
        </is>
      </c>
      <c r="G1120" t="inlineStr">
        <is>
          <t>Wants Child to Have Independent Experience</t>
        </is>
      </c>
      <c r="H1120" t="inlineStr"/>
      <c r="I1120" t="inlineStr">
        <is>
          <t>Family's Own Choice</t>
        </is>
      </c>
      <c r="J1120" t="b">
        <v>1</v>
      </c>
      <c r="K1120" t="n">
        <v>1</v>
      </c>
      <c r="L1120" t="inlineStr"/>
      <c r="M1120" t="inlineStr"/>
    </row>
    <row r="1121">
      <c r="A1121" t="inlineStr">
        <is>
          <t>No</t>
        </is>
      </c>
      <c r="B1121" t="inlineStr"/>
      <c r="C1121" t="inlineStr"/>
      <c r="D1121" t="inlineStr"/>
      <c r="E1121" t="inlineStr">
        <is>
          <t>Kids at home, wanting our son to have an experience without us around</t>
        </is>
      </c>
      <c r="F1121" t="inlineStr">
        <is>
          <t>Other Kids / Family at Home</t>
        </is>
      </c>
      <c r="G1121" t="inlineStr">
        <is>
          <t>Other Kids / Family at Home; Wants Child to Have Independent Experience</t>
        </is>
      </c>
      <c r="H1121" t="inlineStr"/>
      <c r="I1121" t="inlineStr">
        <is>
          <t>Family's Own Choice</t>
        </is>
      </c>
      <c r="J1121" t="b">
        <v>0</v>
      </c>
      <c r="K1121" t="n">
        <v>2</v>
      </c>
      <c r="L1121" t="inlineStr"/>
      <c r="M1121" t="inlineStr"/>
    </row>
    <row r="1122">
      <c r="A1122" t="inlineStr">
        <is>
          <t>No</t>
        </is>
      </c>
      <c r="B1122" t="inlineStr"/>
      <c r="C1122" t="inlineStr"/>
      <c r="D1122" t="inlineStr"/>
      <c r="E1122" t="inlineStr">
        <is>
          <t>This year is was money and time. I went two years ago and loved it!</t>
        </is>
      </c>
      <c r="F1122" t="inlineStr">
        <is>
          <t>Cost / Finances</t>
        </is>
      </c>
      <c r="G1122" t="inlineStr">
        <is>
          <t>Cost / Finances; Work Schedule / Time Off</t>
        </is>
      </c>
      <c r="H1122" t="inlineStr"/>
      <c r="I1122" t="inlineStr">
        <is>
          <t>HXP Can Directly Fix</t>
        </is>
      </c>
      <c r="J1122" t="b">
        <v>0</v>
      </c>
      <c r="K1122" t="n">
        <v>2</v>
      </c>
      <c r="L1122" t="inlineStr"/>
      <c r="M1122" t="inlineStr"/>
    </row>
    <row r="1123">
      <c r="A1123" t="inlineStr">
        <is>
          <t>No</t>
        </is>
      </c>
      <c r="B1123" t="inlineStr"/>
      <c r="C1123" t="inlineStr"/>
      <c r="D1123" t="inlineStr"/>
      <c r="E1123" t="inlineStr">
        <is>
          <t>Can't afford it</t>
        </is>
      </c>
      <c r="F1123" t="inlineStr">
        <is>
          <t>Cost / Finances</t>
        </is>
      </c>
      <c r="G1123" t="inlineStr">
        <is>
          <t>Cost / Finances</t>
        </is>
      </c>
      <c r="H1123" t="inlineStr"/>
      <c r="I1123" t="inlineStr">
        <is>
          <t>HXP Can Directly Fix</t>
        </is>
      </c>
      <c r="J1123" t="b">
        <v>0</v>
      </c>
      <c r="K1123" t="n">
        <v>1</v>
      </c>
      <c r="L1123" t="inlineStr"/>
      <c r="M1123" t="inlineStr"/>
    </row>
    <row r="1124">
      <c r="A1124" t="inlineStr">
        <is>
          <t>No</t>
        </is>
      </c>
      <c r="B1124" t="inlineStr"/>
      <c r="C1124" t="inlineStr"/>
      <c r="D1124" t="inlineStr"/>
      <c r="E1124" t="inlineStr">
        <is>
          <t>No availability</t>
        </is>
      </c>
      <c r="F1124" t="inlineStr">
        <is>
          <t>Work Schedule / Time Off</t>
        </is>
      </c>
      <c r="G1124" t="inlineStr">
        <is>
          <t>Work Schedule / Time Off</t>
        </is>
      </c>
      <c r="H1124" t="inlineStr"/>
      <c r="I1124" t="inlineStr">
        <is>
          <t>HXP Can Influence</t>
        </is>
      </c>
      <c r="J1124" t="b">
        <v>0</v>
      </c>
      <c r="K1124" t="n">
        <v>1</v>
      </c>
      <c r="L1124" t="inlineStr"/>
      <c r="M1124" t="inlineStr"/>
    </row>
    <row r="1125">
      <c r="A1125" t="inlineStr">
        <is>
          <t>No</t>
        </is>
      </c>
      <c r="B1125" t="inlineStr"/>
      <c r="C1125" t="inlineStr"/>
      <c r="D1125" t="inlineStr"/>
      <c r="E1125" t="inlineStr">
        <is>
          <t>Want daughter to have her own experience.</t>
        </is>
      </c>
      <c r="F1125" t="inlineStr">
        <is>
          <t>Wants Child to Have Independent Experience</t>
        </is>
      </c>
      <c r="G1125" t="inlineStr">
        <is>
          <t>Wants Child to Have Independent Experience</t>
        </is>
      </c>
      <c r="H1125" t="inlineStr"/>
      <c r="I1125" t="inlineStr">
        <is>
          <t>Family's Own Choice</t>
        </is>
      </c>
      <c r="J1125" t="b">
        <v>0</v>
      </c>
      <c r="K1125" t="n">
        <v>1</v>
      </c>
      <c r="L1125" t="inlineStr"/>
      <c r="M1125" t="inlineStr"/>
    </row>
    <row r="1126">
      <c r="A1126" t="inlineStr">
        <is>
          <t>No</t>
        </is>
      </c>
      <c r="B1126" t="inlineStr"/>
      <c r="C1126" t="inlineStr"/>
      <c r="D1126" t="inlineStr"/>
      <c r="E1126" t="inlineStr">
        <is>
          <t>I went 2 years ago</t>
        </is>
      </c>
      <c r="F1126" t="inlineStr">
        <is>
          <t>Other / Uncategorized</t>
        </is>
      </c>
      <c r="G1126" t="inlineStr"/>
      <c r="H1126" t="inlineStr"/>
      <c r="I1126" t="inlineStr">
        <is>
          <t>Unknown</t>
        </is>
      </c>
      <c r="J1126" t="b">
        <v>0</v>
      </c>
      <c r="K1126" t="n">
        <v>0</v>
      </c>
      <c r="L1126" t="inlineStr"/>
      <c r="M1126" t="inlineStr"/>
    </row>
    <row r="1127">
      <c r="A1127" t="inlineStr">
        <is>
          <t>No</t>
        </is>
      </c>
      <c r="B1127" t="inlineStr"/>
      <c r="C1127" t="inlineStr"/>
      <c r="D1127" t="inlineStr"/>
      <c r="E1127" t="inlineStr">
        <is>
          <t>Cost</t>
        </is>
      </c>
      <c r="F1127" t="inlineStr">
        <is>
          <t>Cost / Finances</t>
        </is>
      </c>
      <c r="G1127" t="inlineStr">
        <is>
          <t>Cost / Finances</t>
        </is>
      </c>
      <c r="H1127" t="inlineStr"/>
      <c r="I1127" t="inlineStr">
        <is>
          <t>HXP Can Directly Fix</t>
        </is>
      </c>
      <c r="J1127" t="b">
        <v>0</v>
      </c>
      <c r="K1127" t="n">
        <v>1</v>
      </c>
      <c r="L1127" t="inlineStr"/>
      <c r="M1127" t="inlineStr"/>
    </row>
    <row r="1128">
      <c r="A1128" t="inlineStr">
        <is>
          <t>No</t>
        </is>
      </c>
      <c r="B1128" t="inlineStr"/>
      <c r="C1128" t="inlineStr"/>
      <c r="D1128" t="inlineStr"/>
      <c r="E1128" t="inlineStr">
        <is>
          <t>Cost</t>
        </is>
      </c>
      <c r="F1128" t="inlineStr">
        <is>
          <t>Cost / Finances</t>
        </is>
      </c>
      <c r="G1128" t="inlineStr">
        <is>
          <t>Cost / Finances</t>
        </is>
      </c>
      <c r="H1128" t="inlineStr"/>
      <c r="I1128" t="inlineStr">
        <is>
          <t>HXP Can Directly Fix</t>
        </is>
      </c>
      <c r="J1128" t="b">
        <v>0</v>
      </c>
      <c r="K1128" t="n">
        <v>1</v>
      </c>
      <c r="L1128" t="inlineStr"/>
      <c r="M1128" t="inlineStr"/>
    </row>
    <row r="1129">
      <c r="A1129" t="inlineStr">
        <is>
          <t>No</t>
        </is>
      </c>
      <c r="B1129" t="inlineStr"/>
      <c r="C1129" t="inlineStr"/>
      <c r="D1129" t="inlineStr"/>
      <c r="E1129" t="inlineStr">
        <is>
          <t>My daughter would not want me there and I'm not sure I would be good at it.</t>
        </is>
      </c>
      <c r="F1129" t="inlineStr">
        <is>
          <t>Child Didn't Want Parent to Come</t>
        </is>
      </c>
      <c r="G1129" t="inlineStr">
        <is>
          <t>Child Didn't Want Parent to Come</t>
        </is>
      </c>
      <c r="H1129" t="inlineStr"/>
      <c r="I1129" t="inlineStr">
        <is>
          <t>Family's Own Choice</t>
        </is>
      </c>
      <c r="J1129" t="b">
        <v>0</v>
      </c>
      <c r="K1129" t="n">
        <v>1</v>
      </c>
      <c r="L1129" t="inlineStr"/>
      <c r="M1129" t="inlineStr"/>
    </row>
    <row r="1130">
      <c r="A1130" t="inlineStr">
        <is>
          <t>No</t>
        </is>
      </c>
      <c r="B1130" t="inlineStr"/>
      <c r="C1130" t="inlineStr"/>
      <c r="D1130" t="inlineStr"/>
      <c r="E1130" t="inlineStr">
        <is>
          <t>Cost and other kids at home</t>
        </is>
      </c>
      <c r="F1130" t="inlineStr">
        <is>
          <t>Cost / Finances</t>
        </is>
      </c>
      <c r="G1130" t="inlineStr">
        <is>
          <t>Cost / Finances; Other Kids / Family at Home</t>
        </is>
      </c>
      <c r="H1130" t="inlineStr"/>
      <c r="I1130" t="inlineStr">
        <is>
          <t>HXP Can Directly Fix</t>
        </is>
      </c>
      <c r="J1130" t="b">
        <v>0</v>
      </c>
      <c r="K1130" t="n">
        <v>2</v>
      </c>
      <c r="L1130" t="inlineStr"/>
      <c r="M1130" t="inlineStr"/>
    </row>
    <row r="1131">
      <c r="A1131" t="inlineStr">
        <is>
          <t>No</t>
        </is>
      </c>
      <c r="B1131" t="inlineStr"/>
      <c r="C1131" t="inlineStr"/>
      <c r="D1131" t="inlineStr"/>
      <c r="E1131" t="inlineStr">
        <is>
          <t>Work and home responsibilities</t>
        </is>
      </c>
      <c r="F1131" t="inlineStr">
        <is>
          <t>Work Schedule / Time Off</t>
        </is>
      </c>
      <c r="G1131" t="inlineStr">
        <is>
          <t>Work Schedule / Time Off</t>
        </is>
      </c>
      <c r="H1131" t="inlineStr"/>
      <c r="I1131" t="inlineStr">
        <is>
          <t>HXP Can Influence</t>
        </is>
      </c>
      <c r="J1131" t="b">
        <v>0</v>
      </c>
      <c r="K1131" t="n">
        <v>1</v>
      </c>
      <c r="L1131" t="inlineStr"/>
      <c r="M1131" t="inlineStr"/>
    </row>
    <row r="1132">
      <c r="A1132" t="inlineStr">
        <is>
          <t>No</t>
        </is>
      </c>
      <c r="B1132" t="inlineStr"/>
      <c r="C1132" t="inlineStr"/>
      <c r="D1132" t="inlineStr"/>
      <c r="E1132" t="inlineStr"/>
      <c r="F1132" t="inlineStr"/>
      <c r="G1132" t="inlineStr"/>
      <c r="H1132" t="inlineStr"/>
      <c r="I1132" t="inlineStr"/>
      <c r="J1132" t="b">
        <v>0</v>
      </c>
      <c r="K1132" t="n">
        <v>0</v>
      </c>
      <c r="L1132" t="inlineStr"/>
      <c r="M1132" t="inlineStr"/>
    </row>
    <row r="1133">
      <c r="A1133" t="inlineStr">
        <is>
          <t>No</t>
        </is>
      </c>
      <c r="B1133" t="inlineStr"/>
      <c r="C1133" t="inlineStr"/>
      <c r="D1133" t="inlineStr"/>
      <c r="E1133" t="inlineStr">
        <is>
          <t>Cost and I want me child to have an individual experience without me.</t>
        </is>
      </c>
      <c r="F1133" t="inlineStr">
        <is>
          <t>Cost / Finances</t>
        </is>
      </c>
      <c r="G1133" t="inlineStr">
        <is>
          <t>Cost / Finances; Wants Child to Have Independent Experience</t>
        </is>
      </c>
      <c r="H1133" t="inlineStr"/>
      <c r="I1133" t="inlineStr">
        <is>
          <t>HXP Can Directly Fix</t>
        </is>
      </c>
      <c r="J1133" t="b">
        <v>0</v>
      </c>
      <c r="K1133" t="n">
        <v>2</v>
      </c>
      <c r="L1133" t="inlineStr"/>
      <c r="M1133" t="inlineStr"/>
    </row>
    <row r="1134">
      <c r="A1134" t="inlineStr">
        <is>
          <t>No</t>
        </is>
      </c>
      <c r="B1134" t="inlineStr"/>
      <c r="C1134" t="inlineStr"/>
      <c r="D1134" t="inlineStr"/>
      <c r="E1134" t="inlineStr">
        <is>
          <t>Price</t>
        </is>
      </c>
      <c r="F1134" t="inlineStr">
        <is>
          <t>Cost / Finances</t>
        </is>
      </c>
      <c r="G1134" t="inlineStr">
        <is>
          <t>Cost / Finances</t>
        </is>
      </c>
      <c r="H1134" t="inlineStr"/>
      <c r="I1134" t="inlineStr">
        <is>
          <t>HXP Can Directly Fix</t>
        </is>
      </c>
      <c r="J1134" t="b">
        <v>0</v>
      </c>
      <c r="K1134" t="n">
        <v>1</v>
      </c>
      <c r="L1134" t="inlineStr"/>
      <c r="M1134" t="inlineStr"/>
    </row>
    <row r="1135">
      <c r="A1135" t="inlineStr">
        <is>
          <t>Maybe</t>
        </is>
      </c>
      <c r="B1135" t="inlineStr"/>
      <c r="C1135" t="inlineStr"/>
      <c r="D1135" t="inlineStr"/>
      <c r="E1135" t="inlineStr"/>
      <c r="F1135" t="inlineStr"/>
      <c r="G1135" t="inlineStr"/>
      <c r="H1135" t="inlineStr">
        <is>
          <t>I tried to be a parent builder when we signed up but there was a mess up in the process and all our choices were gone. So I figured it wasn't meant to be this time.</t>
        </is>
      </c>
      <c r="I1135" t="inlineStr"/>
      <c r="J1135" t="b">
        <v>0</v>
      </c>
      <c r="K1135" t="n">
        <v>0</v>
      </c>
      <c r="L1135" t="inlineStr">
        <is>
          <t>Time / Scheduling</t>
        </is>
      </c>
      <c r="M1135" t="inlineStr">
        <is>
          <t>Time / Scheduling; Registration / Spot Availability</t>
        </is>
      </c>
    </row>
    <row r="1136">
      <c r="A1136" t="inlineStr">
        <is>
          <t>No</t>
        </is>
      </c>
      <c r="B1136" t="inlineStr"/>
      <c r="C1136" t="inlineStr"/>
      <c r="D1136" t="inlineStr"/>
      <c r="E1136" t="inlineStr">
        <is>
          <t>Husband is going</t>
        </is>
      </c>
      <c r="F1136" t="inlineStr">
        <is>
          <t>Another Family Member Going Instead</t>
        </is>
      </c>
      <c r="G1136" t="inlineStr">
        <is>
          <t>Another Family Member Going Instead</t>
        </is>
      </c>
      <c r="H1136" t="inlineStr"/>
      <c r="I1136" t="inlineStr">
        <is>
          <t>Family's Own Choice</t>
        </is>
      </c>
      <c r="J1136" t="b">
        <v>0</v>
      </c>
      <c r="K1136" t="n">
        <v>1</v>
      </c>
      <c r="L1136" t="inlineStr"/>
      <c r="M1136" t="inlineStr"/>
    </row>
    <row r="1137">
      <c r="A1137" t="inlineStr">
        <is>
          <t>No</t>
        </is>
      </c>
      <c r="B1137" t="inlineStr"/>
      <c r="C1137" t="inlineStr"/>
      <c r="D1137" t="inlineStr"/>
      <c r="E1137" t="inlineStr">
        <is>
          <t>Want my kid to be independent</t>
        </is>
      </c>
      <c r="F1137" t="inlineStr">
        <is>
          <t>Wants Child to Have Independent Experience</t>
        </is>
      </c>
      <c r="G1137" t="inlineStr">
        <is>
          <t>Wants Child to Have Independent Experience</t>
        </is>
      </c>
      <c r="H1137" t="inlineStr"/>
      <c r="I1137" t="inlineStr">
        <is>
          <t>Family's Own Choice</t>
        </is>
      </c>
      <c r="J1137" t="b">
        <v>0</v>
      </c>
      <c r="K1137" t="n">
        <v>1</v>
      </c>
      <c r="L1137" t="inlineStr"/>
      <c r="M1137" t="inlineStr"/>
    </row>
    <row r="1138">
      <c r="A1138" t="inlineStr">
        <is>
          <t>No</t>
        </is>
      </c>
      <c r="B1138" t="inlineStr"/>
      <c r="C1138" t="inlineStr"/>
      <c r="D1138" t="inlineStr"/>
      <c r="E1138" t="inlineStr">
        <is>
          <t>Letting my kids experience something on their own.</t>
        </is>
      </c>
      <c r="F1138" t="inlineStr">
        <is>
          <t>Wants Child to Have Independent Experience</t>
        </is>
      </c>
      <c r="G1138" t="inlineStr">
        <is>
          <t>Wants Child to Have Independent Experience</t>
        </is>
      </c>
      <c r="H1138" t="inlineStr"/>
      <c r="I1138" t="inlineStr">
        <is>
          <t>Family's Own Choice</t>
        </is>
      </c>
      <c r="J1138" t="b">
        <v>0</v>
      </c>
      <c r="K1138" t="n">
        <v>1</v>
      </c>
      <c r="L1138" t="inlineStr"/>
      <c r="M1138" t="inlineStr"/>
    </row>
    <row r="1139">
      <c r="A1139" t="inlineStr">
        <is>
          <t>No</t>
        </is>
      </c>
      <c r="B1139" t="inlineStr"/>
      <c r="C1139" t="inlineStr"/>
      <c r="D1139" t="inlineStr"/>
      <c r="E1139" t="inlineStr">
        <is>
          <t>Time and money</t>
        </is>
      </c>
      <c r="F1139" t="inlineStr">
        <is>
          <t>Cost / Finances</t>
        </is>
      </c>
      <c r="G1139" t="inlineStr">
        <is>
          <t>Cost / Finances; Work Schedule / Time Off</t>
        </is>
      </c>
      <c r="H1139" t="inlineStr"/>
      <c r="I1139" t="inlineStr">
        <is>
          <t>HXP Can Directly Fix</t>
        </is>
      </c>
      <c r="J1139" t="b">
        <v>0</v>
      </c>
      <c r="K1139" t="n">
        <v>2</v>
      </c>
      <c r="L1139" t="inlineStr"/>
      <c r="M1139" t="inlineStr"/>
    </row>
    <row r="1140">
      <c r="A1140" t="inlineStr">
        <is>
          <t>No</t>
        </is>
      </c>
      <c r="B1140" t="inlineStr"/>
      <c r="C1140" t="inlineStr"/>
      <c r="D1140" t="inlineStr"/>
      <c r="E1140" t="inlineStr"/>
      <c r="F1140" t="inlineStr"/>
      <c r="G1140" t="inlineStr"/>
      <c r="H1140" t="inlineStr"/>
      <c r="I1140" t="inlineStr"/>
      <c r="J1140" t="b">
        <v>0</v>
      </c>
      <c r="K1140" t="n">
        <v>0</v>
      </c>
      <c r="L1140" t="inlineStr"/>
      <c r="M1140" t="inlineStr"/>
    </row>
    <row r="1141">
      <c r="A1141" t="inlineStr">
        <is>
          <t>Yes</t>
        </is>
      </c>
      <c r="B1141" t="inlineStr">
        <is>
          <t>I love the opportunity to serve people and see new places</t>
        </is>
      </c>
      <c r="C1141" t="inlineStr">
        <is>
          <t>Faith / Service Motivation</t>
        </is>
      </c>
      <c r="D1141" t="inlineStr">
        <is>
          <t>Faith / Service Motivation</t>
        </is>
      </c>
      <c r="E1141" t="inlineStr"/>
      <c r="F1141" t="inlineStr"/>
      <c r="G1141" t="inlineStr"/>
      <c r="H1141" t="inlineStr"/>
      <c r="I1141" t="inlineStr"/>
      <c r="J1141" t="b">
        <v>0</v>
      </c>
      <c r="K1141" t="n">
        <v>0</v>
      </c>
      <c r="L1141" t="inlineStr"/>
      <c r="M1141" t="inlineStr"/>
    </row>
    <row r="1142">
      <c r="A1142" t="inlineStr">
        <is>
          <t>No</t>
        </is>
      </c>
      <c r="B1142" t="inlineStr"/>
      <c r="C1142" t="inlineStr"/>
      <c r="D1142" t="inlineStr"/>
      <c r="E1142" t="inlineStr"/>
      <c r="F1142" t="inlineStr"/>
      <c r="G1142" t="inlineStr"/>
      <c r="H1142" t="inlineStr"/>
      <c r="I1142" t="inlineStr"/>
      <c r="J1142" t="b">
        <v>0</v>
      </c>
      <c r="K1142" t="n">
        <v>0</v>
      </c>
      <c r="L1142" t="inlineStr"/>
      <c r="M1142" t="inlineStr"/>
    </row>
    <row r="1143">
      <c r="A1143" t="inlineStr">
        <is>
          <t>No</t>
        </is>
      </c>
      <c r="B1143" t="inlineStr"/>
      <c r="C1143" t="inlineStr"/>
      <c r="D1143" t="inlineStr"/>
      <c r="E1143" t="inlineStr">
        <is>
          <t>My daughter wanted to go alone</t>
        </is>
      </c>
      <c r="F1143" t="inlineStr">
        <is>
          <t>Wants Child to Have Independent Experience</t>
        </is>
      </c>
      <c r="G1143" t="inlineStr">
        <is>
          <t>Wants Child to Have Independent Experience</t>
        </is>
      </c>
      <c r="H1143" t="inlineStr"/>
      <c r="I1143" t="inlineStr">
        <is>
          <t>Family's Own Choice</t>
        </is>
      </c>
      <c r="J1143" t="b">
        <v>0</v>
      </c>
      <c r="K1143" t="n">
        <v>1</v>
      </c>
      <c r="L1143" t="inlineStr"/>
      <c r="M1143" t="inlineStr"/>
    </row>
    <row r="1144">
      <c r="A1144" t="inlineStr">
        <is>
          <t>No</t>
        </is>
      </c>
      <c r="B1144" t="inlineStr"/>
      <c r="C1144" t="inlineStr"/>
      <c r="D1144" t="inlineStr"/>
      <c r="E1144" t="inlineStr">
        <is>
          <t>cost and time</t>
        </is>
      </c>
      <c r="F1144" t="inlineStr">
        <is>
          <t>Cost / Finances</t>
        </is>
      </c>
      <c r="G1144" t="inlineStr">
        <is>
          <t>Cost / Finances; Work Schedule / Time Off</t>
        </is>
      </c>
      <c r="H1144" t="inlineStr"/>
      <c r="I1144" t="inlineStr">
        <is>
          <t>HXP Can Directly Fix</t>
        </is>
      </c>
      <c r="J1144" t="b">
        <v>0</v>
      </c>
      <c r="K1144" t="n">
        <v>2</v>
      </c>
      <c r="L1144" t="inlineStr"/>
      <c r="M1144" t="inlineStr"/>
    </row>
    <row r="1145">
      <c r="A1145" t="inlineStr">
        <is>
          <t>No</t>
        </is>
      </c>
      <c r="B1145" t="inlineStr"/>
      <c r="C1145" t="inlineStr"/>
      <c r="D1145" t="inlineStr"/>
      <c r="E1145" t="inlineStr">
        <is>
          <t>$$$$$</t>
        </is>
      </c>
      <c r="F1145" t="inlineStr">
        <is>
          <t>Cost / Finances</t>
        </is>
      </c>
      <c r="G1145" t="inlineStr">
        <is>
          <t>Cost / Finances</t>
        </is>
      </c>
      <c r="H1145" t="inlineStr"/>
      <c r="I1145" t="inlineStr">
        <is>
          <t>HXP Can Directly Fix</t>
        </is>
      </c>
      <c r="J1145" t="b">
        <v>0</v>
      </c>
      <c r="K1145" t="n">
        <v>1</v>
      </c>
      <c r="L1145" t="inlineStr"/>
      <c r="M1145" t="inlineStr"/>
    </row>
    <row r="1146">
      <c r="A1146" t="inlineStr">
        <is>
          <t>No</t>
        </is>
      </c>
      <c r="B1146" t="inlineStr"/>
      <c r="C1146" t="inlineStr"/>
      <c r="D1146" t="inlineStr"/>
      <c r="E1146" t="inlineStr">
        <is>
          <t>Cost and I want my younger child to go next</t>
        </is>
      </c>
      <c r="F1146" t="inlineStr">
        <is>
          <t>Cost / Finances</t>
        </is>
      </c>
      <c r="G1146" t="inlineStr">
        <is>
          <t>Cost / Finances; Other Kids / Family at Home</t>
        </is>
      </c>
      <c r="H1146" t="inlineStr"/>
      <c r="I1146" t="inlineStr">
        <is>
          <t>HXP Can Directly Fix</t>
        </is>
      </c>
      <c r="J1146" t="b">
        <v>0</v>
      </c>
      <c r="K1146" t="n">
        <v>2</v>
      </c>
      <c r="L1146" t="inlineStr"/>
      <c r="M1146" t="inlineStr"/>
    </row>
    <row r="1147">
      <c r="A1147" t="inlineStr">
        <is>
          <t>No</t>
        </is>
      </c>
      <c r="B1147" t="inlineStr"/>
      <c r="C1147" t="inlineStr"/>
      <c r="D1147" t="inlineStr"/>
      <c r="E1147" t="inlineStr">
        <is>
          <t>Time, want my builder to have her own experience</t>
        </is>
      </c>
      <c r="F1147" t="inlineStr">
        <is>
          <t>Work Schedule / Time Off</t>
        </is>
      </c>
      <c r="G1147" t="inlineStr">
        <is>
          <t>Work Schedule / Time Off; Wants Child to Have Independent Experience</t>
        </is>
      </c>
      <c r="H1147" t="inlineStr"/>
      <c r="I1147" t="inlineStr">
        <is>
          <t>HXP Can Influence</t>
        </is>
      </c>
      <c r="J1147" t="b">
        <v>0</v>
      </c>
      <c r="K1147" t="n">
        <v>2</v>
      </c>
      <c r="L1147" t="inlineStr"/>
      <c r="M1147" t="inlineStr"/>
    </row>
    <row r="1148">
      <c r="A1148" t="inlineStr">
        <is>
          <t>No</t>
        </is>
      </c>
      <c r="B1148" t="inlineStr"/>
      <c r="C1148" t="inlineStr"/>
      <c r="D1148" t="inlineStr"/>
      <c r="E1148" t="inlineStr">
        <is>
          <t>Money</t>
        </is>
      </c>
      <c r="F1148" t="inlineStr">
        <is>
          <t>Cost / Finances</t>
        </is>
      </c>
      <c r="G1148" t="inlineStr">
        <is>
          <t>Cost / Finances</t>
        </is>
      </c>
      <c r="H1148" t="inlineStr"/>
      <c r="I1148" t="inlineStr">
        <is>
          <t>HXP Can Directly Fix</t>
        </is>
      </c>
      <c r="J1148" t="b">
        <v>0</v>
      </c>
      <c r="K1148" t="n">
        <v>1</v>
      </c>
      <c r="L1148" t="inlineStr"/>
      <c r="M1148" t="inlineStr"/>
    </row>
    <row r="1149">
      <c r="A1149" t="inlineStr">
        <is>
          <t>No</t>
        </is>
      </c>
      <c r="B1149" t="inlineStr"/>
      <c r="C1149" t="inlineStr"/>
      <c r="D1149" t="inlineStr"/>
      <c r="E1149" t="inlineStr">
        <is>
          <t>Price</t>
        </is>
      </c>
      <c r="F1149" t="inlineStr">
        <is>
          <t>Cost / Finances</t>
        </is>
      </c>
      <c r="G1149" t="inlineStr">
        <is>
          <t>Cost / Finances</t>
        </is>
      </c>
      <c r="H1149" t="inlineStr"/>
      <c r="I1149" t="inlineStr">
        <is>
          <t>HXP Can Directly Fix</t>
        </is>
      </c>
      <c r="J1149" t="b">
        <v>0</v>
      </c>
      <c r="K1149" t="n">
        <v>1</v>
      </c>
      <c r="L1149" t="inlineStr"/>
      <c r="M1149" t="inlineStr"/>
    </row>
    <row r="1150">
      <c r="A1150" t="inlineStr">
        <is>
          <t>No</t>
        </is>
      </c>
      <c r="B1150" t="inlineStr"/>
      <c r="C1150" t="inlineStr"/>
      <c r="D1150" t="inlineStr"/>
      <c r="E1150" t="inlineStr">
        <is>
          <t>Not interested</t>
        </is>
      </c>
      <c r="F1150" t="inlineStr">
        <is>
          <t>Not a Traveler / Personal Preference</t>
        </is>
      </c>
      <c r="G1150" t="inlineStr">
        <is>
          <t>Not a Traveler / Personal Preference</t>
        </is>
      </c>
      <c r="H1150" t="inlineStr"/>
      <c r="I1150" t="inlineStr">
        <is>
          <t>HXP Can Influence</t>
        </is>
      </c>
      <c r="J1150" t="b">
        <v>0</v>
      </c>
      <c r="K1150" t="n">
        <v>1</v>
      </c>
      <c r="L1150" t="inlineStr"/>
      <c r="M1150" t="inlineStr"/>
    </row>
    <row r="1151">
      <c r="A1151" t="inlineStr">
        <is>
          <t>Maybe</t>
        </is>
      </c>
      <c r="B1151" t="inlineStr"/>
      <c r="C1151" t="inlineStr"/>
      <c r="D1151" t="inlineStr"/>
      <c r="E1151" t="inlineStr"/>
      <c r="F1151" t="inlineStr"/>
      <c r="G1151" t="inlineStr"/>
      <c r="H1151" t="inlineStr">
        <is>
          <t>Having more time to go. We had a super busy summer this year.</t>
        </is>
      </c>
      <c r="I1151" t="inlineStr"/>
      <c r="J1151" t="b">
        <v>0</v>
      </c>
      <c r="K1151" t="n">
        <v>0</v>
      </c>
      <c r="L1151" t="inlineStr">
        <is>
          <t>Time / Scheduling</t>
        </is>
      </c>
      <c r="M1151" t="inlineStr">
        <is>
          <t>Time / Scheduling</t>
        </is>
      </c>
    </row>
    <row r="1152">
      <c r="A1152" t="inlineStr">
        <is>
          <t>No</t>
        </is>
      </c>
      <c r="B1152" t="inlineStr"/>
      <c r="C1152" t="inlineStr"/>
      <c r="D1152" t="inlineStr"/>
      <c r="E1152" t="inlineStr">
        <is>
          <t>I have other kids at home.</t>
        </is>
      </c>
      <c r="F1152" t="inlineStr">
        <is>
          <t>Other Kids / Family at Home</t>
        </is>
      </c>
      <c r="G1152" t="inlineStr">
        <is>
          <t>Other Kids / Family at Home</t>
        </is>
      </c>
      <c r="H1152" t="inlineStr"/>
      <c r="I1152" t="inlineStr">
        <is>
          <t>Family's Own Choice</t>
        </is>
      </c>
      <c r="J1152" t="b">
        <v>0</v>
      </c>
      <c r="K1152" t="n">
        <v>1</v>
      </c>
      <c r="L1152" t="inlineStr"/>
      <c r="M1152" t="inlineStr"/>
    </row>
    <row r="1153">
      <c r="A1153" t="inlineStr">
        <is>
          <t>Yes</t>
        </is>
      </c>
      <c r="B1153" t="inlineStr">
        <is>
          <t>son</t>
        </is>
      </c>
      <c r="C1153" t="inlineStr">
        <is>
          <t>Family Member Was the Reason (No Elaboration)</t>
        </is>
      </c>
      <c r="D1153" t="inlineStr">
        <is>
          <t>Family Member Was the Reason (No Elaboration)</t>
        </is>
      </c>
      <c r="E1153" t="inlineStr"/>
      <c r="F1153" t="inlineStr"/>
      <c r="G1153" t="inlineStr"/>
      <c r="H1153" t="inlineStr"/>
      <c r="I1153" t="inlineStr"/>
      <c r="J1153" t="b">
        <v>0</v>
      </c>
      <c r="K1153" t="n">
        <v>0</v>
      </c>
      <c r="L1153" t="inlineStr"/>
      <c r="M1153" t="inlineStr"/>
    </row>
    <row r="1154">
      <c r="A1154" t="inlineStr">
        <is>
          <t>No</t>
        </is>
      </c>
      <c r="B1154" t="inlineStr"/>
      <c r="C1154" t="inlineStr"/>
      <c r="D1154" t="inlineStr"/>
      <c r="E1154" t="inlineStr">
        <is>
          <t>Cost</t>
        </is>
      </c>
      <c r="F1154" t="inlineStr">
        <is>
          <t>Cost / Finances</t>
        </is>
      </c>
      <c r="G1154" t="inlineStr">
        <is>
          <t>Cost / Finances</t>
        </is>
      </c>
      <c r="H1154" t="inlineStr"/>
      <c r="I1154" t="inlineStr">
        <is>
          <t>HXP Can Directly Fix</t>
        </is>
      </c>
      <c r="J1154" t="b">
        <v>0</v>
      </c>
      <c r="K1154" t="n">
        <v>1</v>
      </c>
      <c r="L1154" t="inlineStr"/>
      <c r="M1154" t="inlineStr"/>
    </row>
    <row r="1155">
      <c r="A1155" t="inlineStr">
        <is>
          <t>Yes</t>
        </is>
      </c>
      <c r="B1155" t="inlineStr">
        <is>
          <t>Late to sign my son up so it was necessary.</t>
        </is>
      </c>
      <c r="C1155" t="inlineStr">
        <is>
          <t>Securing/Ensuring Child's Spot (Registration Timing)</t>
        </is>
      </c>
      <c r="D1155" t="inlineStr">
        <is>
          <t>Securing/Ensuring Child's Spot (Registration Timing)</t>
        </is>
      </c>
      <c r="E1155" t="inlineStr"/>
      <c r="F1155" t="inlineStr"/>
      <c r="G1155" t="inlineStr"/>
      <c r="H1155" t="inlineStr"/>
      <c r="I1155" t="inlineStr"/>
      <c r="J1155" t="b">
        <v>0</v>
      </c>
      <c r="K1155" t="n">
        <v>0</v>
      </c>
      <c r="L1155" t="inlineStr"/>
      <c r="M1155" t="inlineStr"/>
    </row>
    <row r="1156">
      <c r="A1156" t="inlineStr">
        <is>
          <t>No</t>
        </is>
      </c>
      <c r="B1156" t="inlineStr"/>
      <c r="C1156" t="inlineStr"/>
      <c r="D1156" t="inlineStr"/>
      <c r="E1156" t="inlineStr">
        <is>
          <t>We wanted our son to have the experience on his own. He is great and will be so much fun on the trip and we wanted to have him have something of his own.</t>
        </is>
      </c>
      <c r="F1156" t="inlineStr">
        <is>
          <t>Wants Child to Have Independent Experience</t>
        </is>
      </c>
      <c r="G1156" t="inlineStr">
        <is>
          <t>Wants Child to Have Independent Experience</t>
        </is>
      </c>
      <c r="H1156" t="inlineStr"/>
      <c r="I1156" t="inlineStr">
        <is>
          <t>Family's Own Choice</t>
        </is>
      </c>
      <c r="J1156" t="b">
        <v>0</v>
      </c>
      <c r="K1156" t="n">
        <v>1</v>
      </c>
      <c r="L1156" t="inlineStr"/>
      <c r="M1156" t="inlineStr"/>
    </row>
    <row r="1157">
      <c r="A1157" t="inlineStr">
        <is>
          <t>Yes</t>
        </is>
      </c>
      <c r="B1157" t="inlineStr">
        <is>
          <t>Wanted to do something with my daughter</t>
        </is>
      </c>
      <c r="C1157" t="inlineStr">
        <is>
          <t>Wanted Shared Experience with Child</t>
        </is>
      </c>
      <c r="D1157" t="inlineStr">
        <is>
          <t>Wanted Shared Experience with Child</t>
        </is>
      </c>
      <c r="E1157" t="inlineStr"/>
      <c r="F1157" t="inlineStr"/>
      <c r="G1157" t="inlineStr"/>
      <c r="H1157" t="inlineStr"/>
      <c r="I1157" t="inlineStr"/>
      <c r="J1157" t="b">
        <v>0</v>
      </c>
      <c r="K1157" t="n">
        <v>0</v>
      </c>
      <c r="L1157" t="inlineStr"/>
      <c r="M1157" t="inlineStr"/>
    </row>
    <row r="1158">
      <c r="A1158" t="inlineStr">
        <is>
          <t>Yes</t>
        </is>
      </c>
      <c r="B1158" t="inlineStr">
        <is>
          <t>My daughter really wanted me to go.</t>
        </is>
      </c>
      <c r="C1158" t="inlineStr">
        <is>
          <t>Child/Spouse Asked Them to Go</t>
        </is>
      </c>
      <c r="D1158" t="inlineStr">
        <is>
          <t>Child/Spouse Asked Them to Go</t>
        </is>
      </c>
      <c r="E1158" t="inlineStr"/>
      <c r="F1158" t="inlineStr"/>
      <c r="G1158" t="inlineStr"/>
      <c r="H1158" t="inlineStr"/>
      <c r="I1158" t="inlineStr"/>
      <c r="J1158" t="b">
        <v>0</v>
      </c>
      <c r="K1158" t="n">
        <v>0</v>
      </c>
      <c r="L1158" t="inlineStr"/>
      <c r="M1158" t="inlineStr"/>
    </row>
    <row r="1159">
      <c r="A1159" t="inlineStr">
        <is>
          <t>No</t>
        </is>
      </c>
      <c r="B1159" t="inlineStr"/>
      <c r="C1159" t="inlineStr"/>
      <c r="D1159" t="inlineStr"/>
      <c r="E1159" t="inlineStr">
        <is>
          <t>Does not work for my life situation at this time</t>
        </is>
      </c>
      <c r="F1159" t="inlineStr">
        <is>
          <t>Work Schedule / Time Off</t>
        </is>
      </c>
      <c r="G1159" t="inlineStr">
        <is>
          <t>Work Schedule / Time Off</t>
        </is>
      </c>
      <c r="H1159" t="inlineStr"/>
      <c r="I1159" t="inlineStr">
        <is>
          <t>HXP Can Influence</t>
        </is>
      </c>
      <c r="J1159" t="b">
        <v>0</v>
      </c>
      <c r="K1159" t="n">
        <v>1</v>
      </c>
      <c r="L1159" t="inlineStr"/>
      <c r="M1159" t="inlineStr"/>
    </row>
    <row r="1160">
      <c r="A1160" t="inlineStr">
        <is>
          <t>No</t>
        </is>
      </c>
      <c r="B1160" t="inlineStr"/>
      <c r="C1160" t="inlineStr"/>
      <c r="D1160" t="inlineStr"/>
      <c r="E1160" t="inlineStr">
        <is>
          <t>Space</t>
        </is>
      </c>
      <c r="F1160" t="inlineStr">
        <is>
          <t>Other / Uncategorized</t>
        </is>
      </c>
      <c r="G1160" t="inlineStr"/>
      <c r="H1160" t="inlineStr"/>
      <c r="I1160" t="inlineStr">
        <is>
          <t>Unknown</t>
        </is>
      </c>
      <c r="J1160" t="b">
        <v>0</v>
      </c>
      <c r="K1160" t="n">
        <v>0</v>
      </c>
      <c r="L1160" t="inlineStr"/>
      <c r="M1160" t="inlineStr"/>
    </row>
    <row r="1161">
      <c r="A1161" t="inlineStr">
        <is>
          <t>No</t>
        </is>
      </c>
      <c r="B1161" t="inlineStr"/>
      <c r="C1161" t="inlineStr"/>
      <c r="D1161" t="inlineStr"/>
      <c r="E1161" t="inlineStr">
        <is>
          <t>My daughter's preference to have her own experience.</t>
        </is>
      </c>
      <c r="F1161" t="inlineStr">
        <is>
          <t>Wants Child to Have Independent Experience</t>
        </is>
      </c>
      <c r="G1161" t="inlineStr">
        <is>
          <t>Wants Child to Have Independent Experience</t>
        </is>
      </c>
      <c r="H1161" t="inlineStr"/>
      <c r="I1161" t="inlineStr">
        <is>
          <t>Family's Own Choice</t>
        </is>
      </c>
      <c r="J1161" t="b">
        <v>0</v>
      </c>
      <c r="K1161" t="n">
        <v>1</v>
      </c>
      <c r="L1161" t="inlineStr"/>
      <c r="M1161" t="inlineStr"/>
    </row>
    <row r="1162">
      <c r="A1162" t="inlineStr">
        <is>
          <t>Yes</t>
        </is>
      </c>
      <c r="B1162" t="inlineStr">
        <is>
          <t>I have done 2 other humanitarian trips with another organization and my other daughters. I was excited to be apart of another one with my daughter Esmee</t>
        </is>
      </c>
      <c r="C1162" t="inlineStr">
        <is>
          <t>Wanted Shared Experience with Child</t>
        </is>
      </c>
      <c r="D1162" t="inlineStr">
        <is>
          <t>Wanted Shared Experience with Child; Faith / Service Motivation</t>
        </is>
      </c>
      <c r="E1162" t="inlineStr"/>
      <c r="F1162" t="inlineStr"/>
      <c r="G1162" t="inlineStr"/>
      <c r="H1162" t="inlineStr"/>
      <c r="I1162" t="inlineStr"/>
      <c r="J1162" t="b">
        <v>0</v>
      </c>
      <c r="K1162" t="n">
        <v>0</v>
      </c>
      <c r="L1162" t="inlineStr"/>
      <c r="M1162" t="inlineStr"/>
    </row>
    <row r="1163">
      <c r="A1163" t="inlineStr">
        <is>
          <t>Maybe</t>
        </is>
      </c>
      <c r="B1163" t="inlineStr"/>
      <c r="C1163" t="inlineStr"/>
      <c r="D1163" t="inlineStr"/>
      <c r="E1163" t="inlineStr"/>
      <c r="F1163" t="inlineStr"/>
      <c r="G1163" t="inlineStr"/>
      <c r="H1163" t="inlineStr">
        <is>
          <t>I would love to go, but I would rather made sure there is money for one of my kids to go</t>
        </is>
      </c>
      <c r="I1163" t="inlineStr"/>
      <c r="J1163" t="b">
        <v>0</v>
      </c>
      <c r="K1163" t="n">
        <v>0</v>
      </c>
      <c r="L1163" t="inlineStr">
        <is>
          <t>Cost / Financial Assistance</t>
        </is>
      </c>
      <c r="M1163" t="inlineStr">
        <is>
          <t>Cost / Financial Assistance</t>
        </is>
      </c>
    </row>
    <row r="1164">
      <c r="A1164" t="inlineStr">
        <is>
          <t>No</t>
        </is>
      </c>
      <c r="B1164" t="inlineStr"/>
      <c r="C1164" t="inlineStr"/>
      <c r="D1164" t="inlineStr"/>
      <c r="E1164" t="inlineStr">
        <is>
          <t>Child didn't want me to go.</t>
        </is>
      </c>
      <c r="F1164" t="inlineStr">
        <is>
          <t>Child Didn't Want Parent to Come</t>
        </is>
      </c>
      <c r="G1164" t="inlineStr">
        <is>
          <t>Child Didn't Want Parent to Come</t>
        </is>
      </c>
      <c r="H1164" t="inlineStr"/>
      <c r="I1164" t="inlineStr">
        <is>
          <t>Family's Own Choice</t>
        </is>
      </c>
      <c r="J1164" t="b">
        <v>0</v>
      </c>
      <c r="K1164" t="n">
        <v>1</v>
      </c>
      <c r="L1164" t="inlineStr"/>
      <c r="M1164" t="inlineStr"/>
    </row>
    <row r="1165">
      <c r="A1165" t="inlineStr">
        <is>
          <t>No</t>
        </is>
      </c>
      <c r="B1165" t="inlineStr"/>
      <c r="C1165" t="inlineStr"/>
      <c r="D1165" t="inlineStr"/>
      <c r="E1165" t="inlineStr">
        <is>
          <t>Time away from younger kids</t>
        </is>
      </c>
      <c r="F1165" t="inlineStr">
        <is>
          <t>Work Schedule / Time Off</t>
        </is>
      </c>
      <c r="G1165" t="inlineStr">
        <is>
          <t>Work Schedule / Time Off; Other Kids / Family at Home</t>
        </is>
      </c>
      <c r="H1165" t="inlineStr"/>
      <c r="I1165" t="inlineStr">
        <is>
          <t>HXP Can Influence</t>
        </is>
      </c>
      <c r="J1165" t="b">
        <v>0</v>
      </c>
      <c r="K1165" t="n">
        <v>2</v>
      </c>
      <c r="L1165" t="inlineStr"/>
      <c r="M1165" t="inlineStr"/>
    </row>
    <row r="1166">
      <c r="A1166" t="inlineStr">
        <is>
          <t>No</t>
        </is>
      </c>
      <c r="B1166" t="inlineStr"/>
      <c r="C1166" t="inlineStr"/>
      <c r="D1166" t="inlineStr"/>
      <c r="E1166" t="inlineStr">
        <is>
          <t>Couldn't leave family for that long again. I might come next year.</t>
        </is>
      </c>
      <c r="F1166" t="inlineStr">
        <is>
          <t>Other Kids / Family at Home</t>
        </is>
      </c>
      <c r="G1166" t="inlineStr">
        <is>
          <t>Other Kids / Family at Home</t>
        </is>
      </c>
      <c r="H1166" t="inlineStr"/>
      <c r="I1166" t="inlineStr">
        <is>
          <t>Family's Own Choice</t>
        </is>
      </c>
      <c r="J1166" t="b">
        <v>1</v>
      </c>
      <c r="K1166" t="n">
        <v>1</v>
      </c>
      <c r="L1166" t="inlineStr"/>
      <c r="M1166" t="inlineStr"/>
    </row>
    <row r="1167">
      <c r="A1167" t="inlineStr">
        <is>
          <t>No</t>
        </is>
      </c>
      <c r="B1167" t="inlineStr"/>
      <c r="C1167" t="inlineStr"/>
      <c r="D1167" t="inlineStr"/>
      <c r="E1167" t="inlineStr">
        <is>
          <t>Younger kids at home</t>
        </is>
      </c>
      <c r="F1167" t="inlineStr">
        <is>
          <t>Other Kids / Family at Home</t>
        </is>
      </c>
      <c r="G1167" t="inlineStr">
        <is>
          <t>Other Kids / Family at Home</t>
        </is>
      </c>
      <c r="H1167" t="inlineStr"/>
      <c r="I1167" t="inlineStr">
        <is>
          <t>Family's Own Choice</t>
        </is>
      </c>
      <c r="J1167" t="b">
        <v>0</v>
      </c>
      <c r="K1167" t="n">
        <v>1</v>
      </c>
      <c r="L1167" t="inlineStr"/>
      <c r="M1167" t="inlineStr"/>
    </row>
    <row r="1168">
      <c r="A1168" t="inlineStr">
        <is>
          <t>No</t>
        </is>
      </c>
      <c r="B1168" t="inlineStr"/>
      <c r="C1168" t="inlineStr"/>
      <c r="D1168" t="inlineStr"/>
      <c r="E1168" t="inlineStr">
        <is>
          <t>My daughter wanted to go on her own</t>
        </is>
      </c>
      <c r="F1168" t="inlineStr">
        <is>
          <t>Wants Child to Have Independent Experience</t>
        </is>
      </c>
      <c r="G1168" t="inlineStr">
        <is>
          <t>Wants Child to Have Independent Experience</t>
        </is>
      </c>
      <c r="H1168" t="inlineStr"/>
      <c r="I1168" t="inlineStr">
        <is>
          <t>Family's Own Choice</t>
        </is>
      </c>
      <c r="J1168" t="b">
        <v>0</v>
      </c>
      <c r="K1168" t="n">
        <v>1</v>
      </c>
      <c r="L1168" t="inlineStr"/>
      <c r="M1168" t="inlineStr"/>
    </row>
    <row r="1169">
      <c r="A1169" t="inlineStr">
        <is>
          <t>No</t>
        </is>
      </c>
      <c r="B1169" t="inlineStr"/>
      <c r="C1169" t="inlineStr"/>
      <c r="D1169" t="inlineStr"/>
      <c r="E1169" t="inlineStr">
        <is>
          <t>work</t>
        </is>
      </c>
      <c r="F1169" t="inlineStr">
        <is>
          <t>Work Schedule / Time Off</t>
        </is>
      </c>
      <c r="G1169" t="inlineStr">
        <is>
          <t>Work Schedule / Time Off</t>
        </is>
      </c>
      <c r="H1169" t="inlineStr"/>
      <c r="I1169" t="inlineStr">
        <is>
          <t>HXP Can Influence</t>
        </is>
      </c>
      <c r="J1169" t="b">
        <v>0</v>
      </c>
      <c r="K1169" t="n">
        <v>1</v>
      </c>
      <c r="L1169" t="inlineStr"/>
      <c r="M1169" t="inlineStr"/>
    </row>
    <row r="1170">
      <c r="A1170" t="inlineStr">
        <is>
          <t>No</t>
        </is>
      </c>
      <c r="B1170" t="inlineStr"/>
      <c r="C1170" t="inlineStr"/>
      <c r="D1170" t="inlineStr"/>
      <c r="E1170" t="inlineStr"/>
      <c r="F1170" t="inlineStr"/>
      <c r="G1170" t="inlineStr"/>
      <c r="H1170" t="inlineStr"/>
      <c r="I1170" t="inlineStr"/>
      <c r="J1170" t="b">
        <v>0</v>
      </c>
      <c r="K1170" t="n">
        <v>0</v>
      </c>
      <c r="L1170" t="inlineStr"/>
      <c r="M1170" t="inlineStr"/>
    </row>
    <row r="1171">
      <c r="A1171" t="inlineStr">
        <is>
          <t>No</t>
        </is>
      </c>
      <c r="B1171" t="inlineStr"/>
      <c r="C1171" t="inlineStr"/>
      <c r="D1171" t="inlineStr"/>
      <c r="E1171" t="inlineStr">
        <is>
          <t>Unable to take time off work.</t>
        </is>
      </c>
      <c r="F1171" t="inlineStr">
        <is>
          <t>Work Schedule / Time Off</t>
        </is>
      </c>
      <c r="G1171" t="inlineStr">
        <is>
          <t>Work Schedule / Time Off</t>
        </is>
      </c>
      <c r="H1171" t="inlineStr"/>
      <c r="I1171" t="inlineStr">
        <is>
          <t>HXP Can Influence</t>
        </is>
      </c>
      <c r="J1171" t="b">
        <v>0</v>
      </c>
      <c r="K1171" t="n">
        <v>1</v>
      </c>
      <c r="L1171" t="inlineStr"/>
      <c r="M1171" t="inlineStr"/>
    </row>
    <row r="1172">
      <c r="A1172" t="inlineStr">
        <is>
          <t>No</t>
        </is>
      </c>
      <c r="B1172" t="inlineStr"/>
      <c r="C1172" t="inlineStr"/>
      <c r="D1172" t="inlineStr"/>
      <c r="E1172" t="inlineStr"/>
      <c r="F1172" t="inlineStr"/>
      <c r="G1172" t="inlineStr"/>
      <c r="H1172" t="inlineStr"/>
      <c r="I1172" t="inlineStr"/>
      <c r="J1172" t="b">
        <v>0</v>
      </c>
      <c r="K1172" t="n">
        <v>0</v>
      </c>
      <c r="L1172" t="inlineStr"/>
      <c r="M1172" t="inlineStr"/>
    </row>
    <row r="1173">
      <c r="A1173" t="inlineStr">
        <is>
          <t>No</t>
        </is>
      </c>
      <c r="B1173" t="inlineStr"/>
      <c r="C1173" t="inlineStr"/>
      <c r="D1173" t="inlineStr"/>
      <c r="E1173" t="inlineStr"/>
      <c r="F1173" t="inlineStr"/>
      <c r="G1173" t="inlineStr"/>
      <c r="H1173" t="inlineStr"/>
      <c r="I1173" t="inlineStr"/>
      <c r="J1173" t="b">
        <v>0</v>
      </c>
      <c r="K1173" t="n">
        <v>0</v>
      </c>
      <c r="L1173" t="inlineStr"/>
      <c r="M1173" t="inlineStr"/>
    </row>
    <row r="1174">
      <c r="A1174" t="inlineStr">
        <is>
          <t>No</t>
        </is>
      </c>
      <c r="B1174" t="inlineStr"/>
      <c r="C1174" t="inlineStr"/>
      <c r="D1174" t="inlineStr"/>
      <c r="E1174" t="inlineStr">
        <is>
          <t>Wife went last year. Was great! Sometimes point of trip is for kids go experience new.</t>
        </is>
      </c>
      <c r="F1174" t="inlineStr">
        <is>
          <t>Another Family Member Going Instead</t>
        </is>
      </c>
      <c r="G1174" t="inlineStr">
        <is>
          <t>Another Family Member Going Instead; Wants Child to Have Independent Experience</t>
        </is>
      </c>
      <c r="H1174" t="inlineStr"/>
      <c r="I1174" t="inlineStr">
        <is>
          <t>Family's Own Choice</t>
        </is>
      </c>
      <c r="J1174" t="b">
        <v>0</v>
      </c>
      <c r="K1174" t="n">
        <v>2</v>
      </c>
      <c r="L1174" t="inlineStr"/>
      <c r="M1174" t="inlineStr"/>
    </row>
    <row r="1175">
      <c r="A1175" t="inlineStr">
        <is>
          <t>No</t>
        </is>
      </c>
      <c r="B1175" t="inlineStr"/>
      <c r="C1175" t="inlineStr"/>
      <c r="D1175" t="inlineStr"/>
      <c r="E1175" t="inlineStr">
        <is>
          <t>Money</t>
        </is>
      </c>
      <c r="F1175" t="inlineStr">
        <is>
          <t>Cost / Finances</t>
        </is>
      </c>
      <c r="G1175" t="inlineStr">
        <is>
          <t>Cost / Finances</t>
        </is>
      </c>
      <c r="H1175" t="inlineStr"/>
      <c r="I1175" t="inlineStr">
        <is>
          <t>HXP Can Directly Fix</t>
        </is>
      </c>
      <c r="J1175" t="b">
        <v>0</v>
      </c>
      <c r="K1175" t="n">
        <v>1</v>
      </c>
      <c r="L1175" t="inlineStr"/>
      <c r="M1175" t="inlineStr"/>
    </row>
    <row r="1176">
      <c r="A1176" t="inlineStr">
        <is>
          <t>No</t>
        </is>
      </c>
      <c r="B1176" t="inlineStr"/>
      <c r="C1176" t="inlineStr"/>
      <c r="D1176" t="inlineStr"/>
      <c r="E1176" t="inlineStr"/>
      <c r="F1176" t="inlineStr"/>
      <c r="G1176" t="inlineStr"/>
      <c r="H1176" t="inlineStr"/>
      <c r="I1176" t="inlineStr"/>
      <c r="J1176" t="b">
        <v>0</v>
      </c>
      <c r="K1176" t="n">
        <v>0</v>
      </c>
      <c r="L1176" t="inlineStr"/>
      <c r="M1176" t="inlineStr"/>
    </row>
    <row r="1177">
      <c r="A1177" t="inlineStr">
        <is>
          <t>No</t>
        </is>
      </c>
      <c r="B1177" t="inlineStr"/>
      <c r="C1177" t="inlineStr"/>
      <c r="D1177" t="inlineStr"/>
      <c r="E1177" t="inlineStr"/>
      <c r="F1177" t="inlineStr"/>
      <c r="G1177" t="inlineStr"/>
      <c r="H1177" t="inlineStr"/>
      <c r="I1177" t="inlineStr"/>
      <c r="J1177" t="b">
        <v>0</v>
      </c>
      <c r="K1177" t="n">
        <v>0</v>
      </c>
      <c r="L1177" t="inlineStr"/>
      <c r="M1177" t="inlineStr"/>
    </row>
    <row r="1178">
      <c r="A1178" t="inlineStr">
        <is>
          <t>No</t>
        </is>
      </c>
      <c r="B1178" t="inlineStr"/>
      <c r="C1178" t="inlineStr"/>
      <c r="D1178" t="inlineStr"/>
      <c r="E1178" t="inlineStr"/>
      <c r="F1178" t="inlineStr"/>
      <c r="G1178" t="inlineStr"/>
      <c r="H1178" t="inlineStr"/>
      <c r="I1178" t="inlineStr"/>
      <c r="J1178" t="b">
        <v>0</v>
      </c>
      <c r="K1178" t="n">
        <v>0</v>
      </c>
      <c r="L1178" t="inlineStr"/>
      <c r="M1178" t="inlineStr"/>
    </row>
    <row r="1179">
      <c r="A1179" t="inlineStr">
        <is>
          <t>No</t>
        </is>
      </c>
      <c r="B1179" t="inlineStr"/>
      <c r="C1179" t="inlineStr"/>
      <c r="D1179" t="inlineStr"/>
      <c r="E1179" t="inlineStr"/>
      <c r="F1179" t="inlineStr"/>
      <c r="G1179" t="inlineStr"/>
      <c r="H1179" t="inlineStr"/>
      <c r="I1179" t="inlineStr"/>
      <c r="J1179" t="b">
        <v>0</v>
      </c>
      <c r="K1179" t="n">
        <v>0</v>
      </c>
      <c r="L1179" t="inlineStr"/>
      <c r="M1179" t="inlineStr"/>
    </row>
    <row r="1180">
      <c r="A1180" t="inlineStr">
        <is>
          <t>No</t>
        </is>
      </c>
      <c r="B1180" t="inlineStr"/>
      <c r="C1180" t="inlineStr"/>
      <c r="D1180" t="inlineStr"/>
      <c r="E1180" t="inlineStr"/>
      <c r="F1180" t="inlineStr"/>
      <c r="G1180" t="inlineStr"/>
      <c r="H1180" t="inlineStr"/>
      <c r="I1180" t="inlineStr"/>
      <c r="J1180" t="b">
        <v>0</v>
      </c>
      <c r="K1180" t="n">
        <v>0</v>
      </c>
      <c r="L1180" t="inlineStr"/>
      <c r="M1180" t="inlineStr"/>
    </row>
    <row r="1181">
      <c r="A1181" t="inlineStr">
        <is>
          <t>No</t>
        </is>
      </c>
      <c r="B1181" t="inlineStr"/>
      <c r="C1181" t="inlineStr"/>
      <c r="D1181" t="inlineStr"/>
      <c r="E1181" t="inlineStr">
        <is>
          <t>time away from work</t>
        </is>
      </c>
      <c r="F1181" t="inlineStr">
        <is>
          <t>Work Schedule / Time Off</t>
        </is>
      </c>
      <c r="G1181" t="inlineStr">
        <is>
          <t>Work Schedule / Time Off</t>
        </is>
      </c>
      <c r="H1181" t="inlineStr"/>
      <c r="I1181" t="inlineStr">
        <is>
          <t>HXP Can Influence</t>
        </is>
      </c>
      <c r="J1181" t="b">
        <v>0</v>
      </c>
      <c r="K1181" t="n">
        <v>1</v>
      </c>
      <c r="L1181" t="inlineStr"/>
      <c r="M1181" t="inlineStr"/>
    </row>
    <row r="1182">
      <c r="A1182" t="inlineStr">
        <is>
          <t>No</t>
        </is>
      </c>
      <c r="B1182" t="inlineStr"/>
      <c r="C1182" t="inlineStr"/>
      <c r="D1182" t="inlineStr"/>
      <c r="E1182" t="inlineStr"/>
      <c r="F1182" t="inlineStr"/>
      <c r="G1182" t="inlineStr"/>
      <c r="H1182" t="inlineStr"/>
      <c r="I1182" t="inlineStr"/>
      <c r="J1182" t="b">
        <v>0</v>
      </c>
      <c r="K1182" t="n">
        <v>0</v>
      </c>
      <c r="L1182" t="inlineStr"/>
      <c r="M1182" t="inlineStr"/>
    </row>
    <row r="1183">
      <c r="A1183" t="inlineStr">
        <is>
          <t>No</t>
        </is>
      </c>
      <c r="B1183" t="inlineStr"/>
      <c r="C1183" t="inlineStr"/>
      <c r="D1183" t="inlineStr"/>
      <c r="E1183" t="inlineStr">
        <is>
          <t>Finances</t>
        </is>
      </c>
      <c r="F1183" t="inlineStr">
        <is>
          <t>Cost / Finances</t>
        </is>
      </c>
      <c r="G1183" t="inlineStr">
        <is>
          <t>Cost / Finances</t>
        </is>
      </c>
      <c r="H1183" t="inlineStr"/>
      <c r="I1183" t="inlineStr">
        <is>
          <t>HXP Can Directly Fix</t>
        </is>
      </c>
      <c r="J1183" t="b">
        <v>0</v>
      </c>
      <c r="K1183" t="n">
        <v>1</v>
      </c>
      <c r="L1183" t="inlineStr"/>
      <c r="M1183" t="inlineStr"/>
    </row>
    <row r="1184">
      <c r="A1184" t="inlineStr">
        <is>
          <t>No</t>
        </is>
      </c>
      <c r="B1184" t="inlineStr"/>
      <c r="C1184" t="inlineStr"/>
      <c r="D1184" t="inlineStr"/>
      <c r="E1184" t="inlineStr"/>
      <c r="F1184" t="inlineStr"/>
      <c r="G1184" t="inlineStr"/>
      <c r="H1184" t="inlineStr"/>
      <c r="I1184" t="inlineStr"/>
      <c r="J1184" t="b">
        <v>0</v>
      </c>
      <c r="K1184" t="n">
        <v>0</v>
      </c>
      <c r="L1184" t="inlineStr"/>
      <c r="M1184" t="inlineStr"/>
    </row>
    <row r="1185">
      <c r="A1185" t="inlineStr">
        <is>
          <t>No</t>
        </is>
      </c>
      <c r="B1185" t="inlineStr"/>
      <c r="C1185" t="inlineStr"/>
      <c r="D1185" t="inlineStr"/>
      <c r="E1185" t="inlineStr">
        <is>
          <t>My child said absolutely no, I was not welcome with him.</t>
        </is>
      </c>
      <c r="F1185" t="inlineStr">
        <is>
          <t>Child Didn't Want Parent to Come</t>
        </is>
      </c>
      <c r="G1185" t="inlineStr">
        <is>
          <t>Child Didn't Want Parent to Come</t>
        </is>
      </c>
      <c r="H1185" t="inlineStr"/>
      <c r="I1185" t="inlineStr">
        <is>
          <t>Family's Own Choice</t>
        </is>
      </c>
      <c r="J1185" t="b">
        <v>0</v>
      </c>
      <c r="K1185" t="n">
        <v>1</v>
      </c>
      <c r="L1185" t="inlineStr"/>
      <c r="M1185" t="inlineStr"/>
    </row>
    <row r="1186">
      <c r="A1186" t="inlineStr">
        <is>
          <t>No</t>
        </is>
      </c>
      <c r="B1186" t="inlineStr"/>
      <c r="C1186" t="inlineStr"/>
      <c r="D1186" t="inlineStr"/>
      <c r="E1186" t="inlineStr"/>
      <c r="F1186" t="inlineStr"/>
      <c r="G1186" t="inlineStr"/>
      <c r="H1186" t="inlineStr"/>
      <c r="I1186" t="inlineStr"/>
      <c r="J1186" t="b">
        <v>0</v>
      </c>
      <c r="K1186" t="n">
        <v>0</v>
      </c>
      <c r="L1186" t="inlineStr"/>
      <c r="M1186" t="inlineStr"/>
    </row>
    <row r="1187">
      <c r="A1187" t="inlineStr">
        <is>
          <t>No</t>
        </is>
      </c>
      <c r="B1187" t="inlineStr"/>
      <c r="C1187" t="inlineStr"/>
      <c r="D1187" t="inlineStr"/>
      <c r="E1187" t="inlineStr">
        <is>
          <t>I felt my child would have a better exp without a parent there</t>
        </is>
      </c>
      <c r="F1187" t="inlineStr">
        <is>
          <t>Wants Child to Have Independent Experience</t>
        </is>
      </c>
      <c r="G1187" t="inlineStr">
        <is>
          <t>Wants Child to Have Independent Experience</t>
        </is>
      </c>
      <c r="H1187" t="inlineStr"/>
      <c r="I1187" t="inlineStr">
        <is>
          <t>Family's Own Choice</t>
        </is>
      </c>
      <c r="J1187" t="b">
        <v>0</v>
      </c>
      <c r="K1187" t="n">
        <v>1</v>
      </c>
      <c r="L1187" t="inlineStr"/>
      <c r="M1187" t="inlineStr"/>
    </row>
    <row r="1188">
      <c r="A1188" t="inlineStr">
        <is>
          <t>No</t>
        </is>
      </c>
      <c r="B1188" t="inlineStr"/>
      <c r="C1188" t="inlineStr"/>
      <c r="D1188" t="inlineStr"/>
      <c r="E1188" t="inlineStr">
        <is>
          <t>Money</t>
        </is>
      </c>
      <c r="F1188" t="inlineStr">
        <is>
          <t>Cost / Finances</t>
        </is>
      </c>
      <c r="G1188" t="inlineStr">
        <is>
          <t>Cost / Finances</t>
        </is>
      </c>
      <c r="H1188" t="inlineStr"/>
      <c r="I1188" t="inlineStr">
        <is>
          <t>HXP Can Directly Fix</t>
        </is>
      </c>
      <c r="J1188" t="b">
        <v>0</v>
      </c>
      <c r="K1188" t="n">
        <v>1</v>
      </c>
      <c r="L1188" t="inlineStr"/>
      <c r="M1188" t="inlineStr"/>
    </row>
    <row r="1189">
      <c r="A1189" t="inlineStr">
        <is>
          <t>No</t>
        </is>
      </c>
      <c r="B1189" t="inlineStr"/>
      <c r="C1189" t="inlineStr"/>
      <c r="D1189" t="inlineStr"/>
      <c r="E1189" t="inlineStr">
        <is>
          <t>Can't take time from work.</t>
        </is>
      </c>
      <c r="F1189" t="inlineStr">
        <is>
          <t>Work Schedule / Time Off</t>
        </is>
      </c>
      <c r="G1189" t="inlineStr">
        <is>
          <t>Work Schedule / Time Off</t>
        </is>
      </c>
      <c r="H1189" t="inlineStr"/>
      <c r="I1189" t="inlineStr">
        <is>
          <t>HXP Can Influence</t>
        </is>
      </c>
      <c r="J1189" t="b">
        <v>0</v>
      </c>
      <c r="K1189" t="n">
        <v>1</v>
      </c>
      <c r="L1189" t="inlineStr"/>
      <c r="M1189" t="inlineStr"/>
    </row>
    <row r="1190">
      <c r="A1190" t="inlineStr">
        <is>
          <t>Maybe</t>
        </is>
      </c>
      <c r="B1190" t="inlineStr"/>
      <c r="C1190" t="inlineStr"/>
      <c r="D1190" t="inlineStr"/>
      <c r="E1190" t="inlineStr"/>
      <c r="F1190" t="inlineStr"/>
      <c r="G1190" t="inlineStr"/>
      <c r="H1190" t="inlineStr">
        <is>
          <t>Cost</t>
        </is>
      </c>
      <c r="I1190" t="inlineStr"/>
      <c r="J1190" t="b">
        <v>0</v>
      </c>
      <c r="K1190" t="n">
        <v>0</v>
      </c>
      <c r="L1190" t="inlineStr">
        <is>
          <t>Cost / Financial Assistance</t>
        </is>
      </c>
      <c r="M1190" t="inlineStr">
        <is>
          <t>Cost / Financial Assistance</t>
        </is>
      </c>
    </row>
  </sheetData>
  <autoFilter ref="A1:M1190"/>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4"/>
  <sheetViews>
    <sheetView workbookViewId="0">
      <pane ySplit="1" topLeftCell="A2" activePane="bottomLeft" state="frozen"/>
      <selection pane="bottomLeft" activeCell="A1" sqref="A1"/>
    </sheetView>
  </sheetViews>
  <sheetFormatPr baseColWidth="8" defaultRowHeight="15"/>
  <cols>
    <col width="24" customWidth="1" min="1" max="1"/>
    <col width="45" customWidth="1" min="2" max="2"/>
    <col width="12" customWidth="1" min="3" max="3"/>
  </cols>
  <sheetData>
    <row r="1">
      <c r="A1" s="13" t="inlineStr">
        <is>
          <t>Insight</t>
        </is>
      </c>
      <c r="B1" s="13" t="inlineStr">
        <is>
          <t>Metric</t>
        </is>
      </c>
      <c r="C1" s="13" t="inlineStr">
        <is>
          <t>Value</t>
        </is>
      </c>
    </row>
    <row r="2">
      <c r="A2" t="inlineStr">
        <is>
          <t>1. Controllability</t>
        </is>
      </c>
      <c r="B2" t="inlineStr">
        <is>
          <t>HXP Can Directly Fix</t>
        </is>
      </c>
      <c r="C2" t="inlineStr">
        <is>
          <t>239</t>
        </is>
      </c>
    </row>
    <row r="3">
      <c r="A3" t="inlineStr">
        <is>
          <t>1. Controllability</t>
        </is>
      </c>
      <c r="B3" t="inlineStr">
        <is>
          <t>HXP Can Directly Fix (% of reasons given)</t>
        </is>
      </c>
      <c r="C3" t="inlineStr">
        <is>
          <t>26.7</t>
        </is>
      </c>
    </row>
    <row r="4">
      <c r="A4" t="inlineStr">
        <is>
          <t>1. Controllability</t>
        </is>
      </c>
      <c r="B4" t="inlineStr">
        <is>
          <t>HXP Can Influence</t>
        </is>
      </c>
      <c r="C4" t="inlineStr">
        <is>
          <t>222</t>
        </is>
      </c>
    </row>
    <row r="5">
      <c r="A5" t="inlineStr">
        <is>
          <t>1. Controllability</t>
        </is>
      </c>
      <c r="B5" t="inlineStr">
        <is>
          <t>HXP Can Influence (% of reasons given)</t>
        </is>
      </c>
      <c r="C5" t="inlineStr">
        <is>
          <t>24.8</t>
        </is>
      </c>
    </row>
    <row r="6">
      <c r="A6" t="inlineStr">
        <is>
          <t>1. Controllability</t>
        </is>
      </c>
      <c r="B6" t="inlineStr">
        <is>
          <t>Family's Own Choice</t>
        </is>
      </c>
      <c r="C6" t="inlineStr">
        <is>
          <t>418</t>
        </is>
      </c>
    </row>
    <row r="7">
      <c r="A7" t="inlineStr">
        <is>
          <t>1. Controllability</t>
        </is>
      </c>
      <c r="B7" t="inlineStr">
        <is>
          <t>Family's Own Choice (% of reasons given)</t>
        </is>
      </c>
      <c r="C7" t="inlineStr">
        <is>
          <t>46.7</t>
        </is>
      </c>
    </row>
    <row r="8">
      <c r="A8" t="inlineStr">
        <is>
          <t>1. Controllability</t>
        </is>
      </c>
      <c r="B8" t="inlineStr">
        <is>
          <t>Unknown</t>
        </is>
      </c>
      <c r="C8" t="inlineStr">
        <is>
          <t>17</t>
        </is>
      </c>
    </row>
    <row r="9">
      <c r="A9" t="inlineStr">
        <is>
          <t>1. Controllability</t>
        </is>
      </c>
      <c r="B9" t="inlineStr">
        <is>
          <t>Unknown (% of reasons given)</t>
        </is>
      </c>
      <c r="C9" t="inlineStr">
        <is>
          <t>1.9</t>
        </is>
      </c>
    </row>
    <row r="10">
      <c r="A10" t="inlineStr">
        <is>
          <t>2. Soft No Signal</t>
        </is>
      </c>
      <c r="B10" t="inlineStr">
        <is>
          <t>Responses hinting at future interest</t>
        </is>
      </c>
      <c r="C10" t="inlineStr">
        <is>
          <t>30</t>
        </is>
      </c>
    </row>
    <row r="11">
      <c r="A11" t="inlineStr">
        <is>
          <t>2. Soft No Signal</t>
        </is>
      </c>
      <c r="B11" t="inlineStr">
        <is>
          <t>% of 'No' reasons given</t>
        </is>
      </c>
      <c r="C11" t="inlineStr">
        <is>
          <t>3.3</t>
        </is>
      </c>
    </row>
    <row r="12">
      <c r="A12" t="inlineStr">
        <is>
          <t>3. Reason Stack Count</t>
        </is>
      </c>
      <c r="B12" t="inlineStr">
        <is>
          <t>Single-theme responses</t>
        </is>
      </c>
      <c r="C12" t="inlineStr">
        <is>
          <t>668</t>
        </is>
      </c>
    </row>
    <row r="13">
      <c r="A13" t="inlineStr">
        <is>
          <t>3. Reason Stack Count</t>
        </is>
      </c>
      <c r="B13" t="inlineStr">
        <is>
          <t>Multi-theme responses (2+ stacked reasons)</t>
        </is>
      </c>
      <c r="C13" t="inlineStr">
        <is>
          <t>211</t>
        </is>
      </c>
    </row>
    <row r="14">
      <c r="A14" t="inlineStr">
        <is>
          <t>3. Reason Stack Count</t>
        </is>
      </c>
      <c r="B14" t="inlineStr">
        <is>
          <t>Multi-theme (% of 'No' reasons given)</t>
        </is>
      </c>
      <c r="C14" t="inlineStr">
        <is>
          <t>23.5</t>
        </is>
      </c>
    </row>
    <row r="15">
      <c r="A15" t="inlineStr">
        <is>
          <t>4. Would-Help Themes</t>
        </is>
      </c>
      <c r="B15" t="inlineStr">
        <is>
          <t>Total 'Maybe' respondents (persuadable segment)</t>
        </is>
      </c>
      <c r="C15" t="inlineStr">
        <is>
          <t>42</t>
        </is>
      </c>
    </row>
    <row r="16">
      <c r="A16" t="inlineStr">
        <is>
          <t>4. Would-Help Themes</t>
        </is>
      </c>
      <c r="B16" t="inlineStr">
        <is>
          <t>Cost / Financial Assistance</t>
        </is>
      </c>
      <c r="C16" t="inlineStr">
        <is>
          <t>16</t>
        </is>
      </c>
    </row>
    <row r="17">
      <c r="A17" t="inlineStr">
        <is>
          <t>4. Would-Help Themes</t>
        </is>
      </c>
      <c r="B17" t="inlineStr">
        <is>
          <t>Time / Scheduling</t>
        </is>
      </c>
      <c r="C17" t="inlineStr">
        <is>
          <t>4</t>
        </is>
      </c>
    </row>
    <row r="18">
      <c r="A18" t="inlineStr">
        <is>
          <t>4. Would-Help Themes</t>
        </is>
      </c>
      <c r="B18" t="inlineStr">
        <is>
          <t>Childcare for Other Kids</t>
        </is>
      </c>
      <c r="C18" t="inlineStr">
        <is>
          <t>3</t>
        </is>
      </c>
    </row>
    <row r="19">
      <c r="A19" t="inlineStr">
        <is>
          <t>4. Would-Help Themes</t>
        </is>
      </c>
      <c r="B19" t="inlineStr">
        <is>
          <t>Waiting for Right Timing (kids' ages)</t>
        </is>
      </c>
      <c r="C19" t="inlineStr">
        <is>
          <t>3</t>
        </is>
      </c>
    </row>
    <row r="20">
      <c r="A20" t="inlineStr">
        <is>
          <t>4. Would-Help Themes</t>
        </is>
      </c>
      <c r="B20" t="inlineStr">
        <is>
          <t>Other / Uncategorized</t>
        </is>
      </c>
      <c r="C20" t="inlineStr">
        <is>
          <t>2</t>
        </is>
      </c>
    </row>
    <row r="21">
      <c r="A21" t="inlineStr">
        <is>
          <t>4. Would-Help Themes</t>
        </is>
      </c>
      <c r="B21" t="inlineStr">
        <is>
          <t>No Specific Ask / Undecided</t>
        </is>
      </c>
      <c r="C21" t="inlineStr">
        <is>
          <t>2</t>
        </is>
      </c>
    </row>
    <row r="22">
      <c r="A22" t="inlineStr">
        <is>
          <t>4. Would-Help Themes</t>
        </is>
      </c>
      <c r="B22" t="inlineStr">
        <is>
          <t>More Information / Awareness</t>
        </is>
      </c>
      <c r="C22" t="inlineStr">
        <is>
          <t>1</t>
        </is>
      </c>
    </row>
    <row r="23">
      <c r="A23" t="inlineStr">
        <is>
          <t>4. Would-Help Themes</t>
        </is>
      </c>
      <c r="B23" t="inlineStr">
        <is>
          <t>Health</t>
        </is>
      </c>
      <c r="C23" t="inlineStr">
        <is>
          <t>1</t>
        </is>
      </c>
    </row>
    <row r="24">
      <c r="A24" t="inlineStr">
        <is>
          <t>4. Would-Help Themes</t>
        </is>
      </c>
      <c r="B24" t="inlineStr">
        <is>
          <t>Registration / Spot Availability</t>
        </is>
      </c>
      <c r="C24" t="inlineStr">
        <is>
          <t>1</t>
        </is>
      </c>
    </row>
  </sheetData>
  <autoFilter ref="A1:C24"/>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2026-08-07T00:44:19Z</dcterms:created>
  <dcterms:modified xsi:type="dcterms:W3CDTF">2026-08-07T00:44:19Z</dcterms:modified>
</cp:coreProperties>
</file>