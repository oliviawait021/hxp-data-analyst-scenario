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rt Data" sheetId="2" state="visible" r:id="rId2"/>
    <sheet name="Raw Data" sheetId="3" state="visible" r:id="rId3"/>
    <sheet name="Cleaned + Categorized" sheetId="4" state="visible" r:id="rId4"/>
    <sheet name="Insights" sheetId="5" state="visible" r:id="rId5"/>
    <sheet name="Insights Summary" sheetId="6" state="visible" r:id="rId6"/>
  </sheets>
  <definedNames>
    <definedName name="_xlnm._FilterDatabase" localSheetId="2" hidden="1">'Raw Data'!$A$1:$D$1316</definedName>
    <definedName name="_xlnm._FilterDatabase" localSheetId="3" hidden="1">'Cleaned + Categorized'!$A$1:$H$1190</definedName>
    <definedName name="_xlnm._FilterDatabase" localSheetId="4" hidden="1">'Insights'!$A$1:$M$1190</definedName>
    <definedName name="_xlnm._FilterDatabase" localSheetId="5" hidden="1">'Insights Summary'!$A$1:$C$24</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i val="1"/>
      <color rgb="0052514E"/>
      <sz val="9"/>
    </font>
    <font>
      <b val="1"/>
      <sz val="11"/>
    </font>
    <font>
      <b val="1"/>
    </font>
    <font>
      <b val="1"/>
      <color rgb="00FFFFFF"/>
    </font>
    <font>
      <b val="1"/>
      <color rgb="000B0B0B"/>
      <sz val="18"/>
    </font>
    <font>
      <i val="1"/>
      <color rgb="0052514E"/>
      <sz val="11"/>
    </font>
    <font>
      <b val="1"/>
      <color rgb="000B0B0B"/>
      <sz val="26"/>
    </font>
    <font>
      <color rgb="0052514E"/>
      <sz val="10"/>
    </font>
    <font>
      <b val="1"/>
      <color rgb="00EB6834"/>
      <sz val="26"/>
    </font>
    <font>
      <b val="1"/>
      <color rgb="002A78D6"/>
      <sz val="26"/>
    </font>
    <font>
      <b val="1"/>
      <color rgb="00898781"/>
      <sz val="26"/>
    </font>
    <font>
      <i val="1"/>
      <color rgb="0052514E"/>
    </font>
  </fonts>
  <fills count="4">
    <fill>
      <patternFill/>
    </fill>
    <fill>
      <patternFill patternType="gray125"/>
    </fill>
    <fill>
      <patternFill patternType="solid">
        <fgColor rgb="002A78D6"/>
      </patternFill>
    </fill>
    <fill>
      <patternFill patternType="solid">
        <fgColor rgb="00F9F9F7"/>
      </patternFill>
    </fill>
  </fills>
  <borders count="2">
    <border>
      <left/>
      <right/>
      <top/>
      <bottom/>
      <diagonal/>
    </border>
    <border>
      <left style="thin">
        <color rgb="00C3C2B7"/>
      </left>
      <right style="thin">
        <color rgb="00C3C2B7"/>
      </right>
      <top style="thin">
        <color rgb="00C3C2B7"/>
      </top>
      <bottom style="thin">
        <color rgb="00C3C2B7"/>
      </bottom>
    </border>
  </borders>
  <cellStyleXfs count="1">
    <xf numFmtId="0" fontId="0" fillId="0" borderId="0"/>
  </cellStyleXfs>
  <cellXfs count="15">
    <xf numFmtId="0" fontId="0" fillId="0" borderId="0" pivotButton="0" quotePrefix="0" xfId="0"/>
    <xf numFmtId="0" fontId="5" fillId="0" borderId="0" pivotButton="0" quotePrefix="0" xfId="0"/>
    <xf numFmtId="0" fontId="6" fillId="0" borderId="0" pivotButton="0" quotePrefix="0" xfId="0"/>
    <xf numFmtId="3" fontId="7" fillId="3" borderId="1" applyAlignment="1" pivotButton="0" quotePrefix="0" xfId="0">
      <alignment horizontal="center" vertical="center"/>
    </xf>
    <xf numFmtId="0" fontId="0" fillId="3" borderId="1" pivotButton="0" quotePrefix="0" xfId="0"/>
    <xf numFmtId="164" fontId="9" fillId="3" borderId="1" applyAlignment="1" pivotButton="0" quotePrefix="0" xfId="0">
      <alignment horizontal="center" vertical="center"/>
    </xf>
    <xf numFmtId="164" fontId="10" fillId="3" borderId="1" applyAlignment="1" pivotButton="0" quotePrefix="0" xfId="0">
      <alignment horizontal="center" vertical="center"/>
    </xf>
    <xf numFmtId="3" fontId="11" fillId="3" borderId="1" applyAlignment="1" pivotButton="0" quotePrefix="0" xfId="0">
      <alignment horizontal="center" vertical="center"/>
    </xf>
    <xf numFmtId="3" fontId="9" fillId="3" borderId="1" applyAlignment="1" pivotButton="0" quotePrefix="0" xfId="0">
      <alignment horizontal="center" vertical="center"/>
    </xf>
    <xf numFmtId="0" fontId="8" fillId="3" borderId="1" applyAlignment="1" pivotButton="0" quotePrefix="0" xfId="0">
      <alignment horizontal="center" vertical="center" wrapText="1"/>
    </xf>
    <xf numFmtId="0" fontId="2" fillId="0" borderId="0" pivotButton="0" quotePrefix="0" xfId="0"/>
    <xf numFmtId="0" fontId="12" fillId="0" borderId="0" pivotButton="0" quotePrefix="0" xfId="0"/>
    <xf numFmtId="0" fontId="1" fillId="0" borderId="0" pivotButton="0" quotePrefix="0" xfId="0"/>
    <xf numFmtId="0" fontId="3" fillId="0" borderId="0" pivotButton="0" quotePrefix="0" xfId="0"/>
    <xf numFmtId="0" fontId="4"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Why Parents Don't Go</a:t>
            </a:r>
          </a:p>
        </rich>
      </tx>
    </title>
    <plotArea>
      <barChart>
        <barDir val="bar"/>
        <grouping val="clustered"/>
        <ser>
          <idx val="0"/>
          <order val="0"/>
          <tx>
            <strRef>
              <f>'Chart Data'!B4</f>
            </strRef>
          </tx>
          <spPr>
            <a:solidFill>
              <a:srgbClr val="2A78D6"/>
            </a:solidFill>
            <a:ln>
              <a:prstDash val="solid"/>
            </a:ln>
          </spPr>
          <cat>
            <numRef>
              <f>'Chart Data'!$A$5:$A$18</f>
            </numRef>
          </cat>
          <val>
            <numRef>
              <f>'Chart Data'!$B$5:$B$18</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Easy Conversions (low-effort fixes)</a:t>
            </a:r>
          </a:p>
        </rich>
      </tx>
    </title>
    <plotArea>
      <barChart>
        <barDir val="bar"/>
        <grouping val="clustered"/>
        <ser>
          <idx val="0"/>
          <order val="0"/>
          <tx>
            <strRef>
              <f>'Chart Data'!B67</f>
            </strRef>
          </tx>
          <spPr>
            <a:solidFill>
              <a:srgbClr val="EB6834"/>
            </a:solidFill>
            <a:ln>
              <a:prstDash val="solid"/>
            </a:ln>
          </spPr>
          <cat>
            <numRef>
              <f>'Chart Data'!$A$68:$A$69</f>
            </numRef>
          </cat>
          <val>
            <numRef>
              <f>'Chart Data'!$B$68:$B$69</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Why Parents Do Go</a:t>
            </a:r>
          </a:p>
        </rich>
      </tx>
    </title>
    <plotArea>
      <barChart>
        <barDir val="bar"/>
        <grouping val="clustered"/>
        <ser>
          <idx val="0"/>
          <order val="0"/>
          <tx>
            <strRef>
              <f>'Chart Data'!B22</f>
            </strRef>
          </tx>
          <spPr>
            <a:solidFill>
              <a:srgbClr val="2A78D6"/>
            </a:solidFill>
            <a:ln>
              <a:prstDash val="solid"/>
            </a:ln>
          </spPr>
          <cat>
            <numRef>
              <f>'Chart Data'!$A$23:$A$32</f>
            </numRef>
          </cat>
          <val>
            <numRef>
              <f>'Chart Data'!$B$23:$B$32</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What Would Help "Maybe" Parents Decide</a:t>
            </a:r>
          </a:p>
        </rich>
      </tx>
    </title>
    <plotArea>
      <barChart>
        <barDir val="bar"/>
        <grouping val="clustered"/>
        <ser>
          <idx val="0"/>
          <order val="0"/>
          <tx>
            <strRef>
              <f>'Chart Data'!B44</f>
            </strRef>
          </tx>
          <spPr>
            <a:solidFill>
              <a:srgbClr val="EB6834"/>
            </a:solidFill>
            <a:ln>
              <a:prstDash val="solid"/>
            </a:ln>
          </spPr>
          <cat>
            <numRef>
              <f>'Chart Data'!$A$45:$A$53</f>
            </numRef>
          </cat>
          <val>
            <numRef>
              <f>'Chart Data'!$B$45:$B$53</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28</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648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B2:P52"/>
  <sheetViews>
    <sheetView showGridLines="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2">
      <c r="B2" s="1" t="inlineStr">
        <is>
          <t>HXP Parent Builder Survey — Dashboard</t>
        </is>
      </c>
    </row>
    <row r="3">
      <c r="B3" s="2" t="inlineStr">
        <is>
          <t>1,189 parent responses collected before this year's trips</t>
        </is>
      </c>
    </row>
    <row r="5">
      <c r="B5" s="3">
        <f>COUNTA(Insights!A2:A1190)</f>
        <v/>
      </c>
      <c r="C5" s="4" t="n"/>
      <c r="D5" s="4" t="n"/>
      <c r="E5" s="5">
        <f>COUNTIF(Insights!A2:A1190,"No")/COUNTA(Insights!A2:A1190)</f>
        <v/>
      </c>
      <c r="F5" s="4" t="n"/>
      <c r="G5" s="4" t="n"/>
      <c r="H5" s="6">
        <f>(COUNTIF(Insights!I2:I1190,"HXP Can Directly Fix")+COUNTIF(Insights!I2:I1190,"HXP Can Influence"))/SUM('Chart Data'!B37:B40)</f>
        <v/>
      </c>
      <c r="I5" s="4" t="n"/>
      <c r="J5" s="4" t="n"/>
      <c r="K5" s="7">
        <f>COUNTIF(Insights!I2:I1190,"Family's Own Choice")</f>
        <v/>
      </c>
      <c r="L5" s="4" t="n"/>
      <c r="M5" s="4" t="n"/>
      <c r="N5" s="8">
        <f>COUNTIF(Insights!J2:J1190,TRUE)</f>
        <v/>
      </c>
      <c r="O5" s="4" t="n"/>
      <c r="P5" s="4" t="n"/>
    </row>
    <row r="6">
      <c r="B6" s="4" t="n"/>
      <c r="C6" s="4" t="n"/>
      <c r="D6" s="4" t="n"/>
      <c r="E6" s="4" t="n"/>
      <c r="F6" s="4" t="n"/>
      <c r="G6" s="4" t="n"/>
      <c r="H6" s="4" t="n"/>
      <c r="I6" s="4" t="n"/>
      <c r="J6" s="4" t="n"/>
      <c r="K6" s="4" t="n"/>
      <c r="L6" s="4" t="n"/>
      <c r="M6" s="4" t="n"/>
      <c r="N6" s="4" t="n"/>
      <c r="O6" s="4" t="n"/>
      <c r="P6" s="4" t="n"/>
    </row>
    <row r="7">
      <c r="B7" s="4" t="n"/>
      <c r="C7" s="4" t="n"/>
      <c r="D7" s="4" t="n"/>
      <c r="E7" s="4" t="n"/>
      <c r="F7" s="4" t="n"/>
      <c r="G7" s="4" t="n"/>
      <c r="H7" s="4" t="n"/>
      <c r="I7" s="4" t="n"/>
      <c r="J7" s="4" t="n"/>
      <c r="K7" s="4" t="n"/>
      <c r="L7" s="4" t="n"/>
      <c r="M7" s="4" t="n"/>
      <c r="N7" s="4" t="n"/>
      <c r="O7" s="4" t="n"/>
      <c r="P7" s="4" t="n"/>
    </row>
    <row r="8">
      <c r="B8" s="9" t="inlineStr">
        <is>
          <t>Total Responses</t>
        </is>
      </c>
      <c r="C8" s="4" t="n"/>
      <c r="D8" s="4" t="n"/>
      <c r="E8" s="9" t="inlineStr">
        <is>
          <t>Not Going (No)</t>
        </is>
      </c>
      <c r="F8" s="4" t="n"/>
      <c r="G8" s="4" t="n"/>
      <c r="H8" s="9" t="inlineStr">
        <is>
          <t>Of Those 'No's, % HXP Can Control</t>
        </is>
      </c>
      <c r="I8" s="4" t="n"/>
      <c r="J8" s="4" t="n"/>
      <c r="K8" s="9" t="inlineStr">
        <is>
          <t>'No's That Are Family Preference</t>
        </is>
      </c>
      <c r="L8" s="4" t="n"/>
      <c r="M8" s="4" t="n"/>
      <c r="N8" s="9" t="inlineStr">
        <is>
          <t>Warm Leads (Soft 'No' Signal)</t>
        </is>
      </c>
      <c r="O8" s="4" t="n"/>
      <c r="P8" s="4" t="n"/>
    </row>
    <row r="47">
      <c r="B47" s="10" t="inlineStr">
        <is>
          <t>Sample "Warm Lead" Quotes (parents who said no, but hinted they'd reconsider)</t>
        </is>
      </c>
    </row>
    <row r="48">
      <c r="B48" s="11" t="inlineStr">
        <is>
          <t>“My job and time off. I would really love to go another year.”</t>
        </is>
      </c>
    </row>
    <row r="49">
      <c r="B49" s="11" t="inlineStr">
        <is>
          <t>“Other obligations this year, but I hope to go in the future!”</t>
        </is>
      </c>
    </row>
    <row r="50">
      <c r="B50" s="11" t="inlineStr">
        <is>
          <t>“My daughter needs the experience without me. But I would love to go!”</t>
        </is>
      </c>
    </row>
    <row r="51">
      <c r="B51" s="11" t="inlineStr">
        <is>
          <t>“I would really like to go in the future. I am sending 3 teens this year. Finance is a part of why I am not going. And then it would be tough for me...”</t>
        </is>
      </c>
    </row>
    <row r="52">
      <c r="B52" s="11" t="inlineStr">
        <is>
          <t>“I went last year and loved it. I will go again next year.”</t>
        </is>
      </c>
    </row>
  </sheetData>
  <mergeCells count="15">
    <mergeCell ref="E5:G7"/>
    <mergeCell ref="K5:M7"/>
    <mergeCell ref="H5:J7"/>
    <mergeCell ref="K8:M8"/>
    <mergeCell ref="B48:I48"/>
    <mergeCell ref="B52:I52"/>
    <mergeCell ref="B5:D7"/>
    <mergeCell ref="B8:D8"/>
    <mergeCell ref="B51:I51"/>
    <mergeCell ref="E8:G8"/>
    <mergeCell ref="H8:J8"/>
    <mergeCell ref="N8:P8"/>
    <mergeCell ref="N5:P7"/>
    <mergeCell ref="B49:I49"/>
    <mergeCell ref="B50:I50"/>
  </mergeCells>
  <pageMargins left="0.75" right="0.75" top="1" bottom="1" header="0.5" footer="0.5"/>
  <drawing r:id="rId1"/>
</worksheet>
</file>

<file path=xl/worksheets/sheet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42" customWidth="1" min="1" max="1"/>
    <col width="10" customWidth="1" min="2" max="2"/>
  </cols>
  <sheetData>
    <row r="1">
      <c r="A1" s="12" t="inlineStr">
        <is>
          <t>Backing data for the Dashboard charts - safe to leave visible, not meant for managers to read directly.</t>
        </is>
      </c>
    </row>
    <row r="3">
      <c r="A3" s="10" t="inlineStr">
        <is>
          <t>Why Parents Don't Go</t>
        </is>
      </c>
    </row>
    <row r="4">
      <c r="A4" s="13" t="inlineStr">
        <is>
          <t>Category</t>
        </is>
      </c>
      <c r="B4" s="13" t="inlineStr">
        <is>
          <t>Count</t>
        </is>
      </c>
    </row>
    <row r="5">
      <c r="A5" t="inlineStr">
        <is>
          <t>Cost / Finances</t>
        </is>
      </c>
      <c r="B5">
        <f>COUNTIF(Insights!$F$2:$F$1190,"Cost / Finances")</f>
        <v/>
      </c>
    </row>
    <row r="6">
      <c r="A6" t="inlineStr">
        <is>
          <t>Work Schedule / Time Off</t>
        </is>
      </c>
      <c r="B6">
        <f>COUNTIF(Insights!$F$2:$F$1190,"Work Schedule / Time Off")</f>
        <v/>
      </c>
    </row>
    <row r="7">
      <c r="A7" t="inlineStr">
        <is>
          <t>Wants Child to Have Independent Experience</t>
        </is>
      </c>
      <c r="B7">
        <f>COUNTIF(Insights!$F$2:$F$1190,"Wants Child to Have Independent Experience")</f>
        <v/>
      </c>
    </row>
    <row r="8">
      <c r="A8" t="inlineStr">
        <is>
          <t>Other Kids / Family at Home</t>
        </is>
      </c>
      <c r="B8">
        <f>COUNTIF(Insights!$F$2:$F$1190,"Other Kids / Family at Home")</f>
        <v/>
      </c>
    </row>
    <row r="9">
      <c r="A9" t="inlineStr">
        <is>
          <t>Child Didn't Want Parent to Come</t>
        </is>
      </c>
      <c r="B9">
        <f>COUNTIF(Insights!$F$2:$F$1190,"Child Didn't Want Parent to Come")</f>
        <v/>
      </c>
    </row>
    <row r="10">
      <c r="A10" t="inlineStr">
        <is>
          <t>Another Family Member Going Instead</t>
        </is>
      </c>
      <c r="B10">
        <f>COUNTIF(Insights!$F$2:$F$1190,"Another Family Member Going Instead")</f>
        <v/>
      </c>
    </row>
    <row r="11">
      <c r="A11" t="inlineStr">
        <is>
          <t>Other / Uncategorized</t>
        </is>
      </c>
      <c r="B11">
        <f>COUNTIF(Insights!$F$2:$F$1190,"Other / Uncategorized")</f>
        <v/>
      </c>
    </row>
    <row r="12">
      <c r="A12" t="inlineStr">
        <is>
          <t>Not a Traveler / Personal Preference</t>
        </is>
      </c>
      <c r="B12">
        <f>COUNTIF(Insights!$F$2:$F$1190,"Not a Traveler / Personal Preference")</f>
        <v/>
      </c>
    </row>
    <row r="13">
      <c r="A13" t="inlineStr">
        <is>
          <t>Not Aware It Was an Option</t>
        </is>
      </c>
      <c r="B13">
        <f>COUNTIF(Insights!$F$2:$F$1190,"Not Aware It Was an Option")</f>
        <v/>
      </c>
    </row>
    <row r="14">
      <c r="A14" t="inlineStr">
        <is>
          <t>Other Life Commitment</t>
        </is>
      </c>
      <c r="B14">
        <f>COUNTIF(Insights!$F$2:$F$1190,"Other Life Commitment")</f>
        <v/>
      </c>
    </row>
    <row r="15">
      <c r="A15" t="inlineStr">
        <is>
          <t>Health / Physical / Age</t>
        </is>
      </c>
      <c r="B15">
        <f>COUNTIF(Insights!$F$2:$F$1190,"Health / Physical / Age")</f>
        <v/>
      </c>
    </row>
    <row r="16">
      <c r="A16" t="inlineStr">
        <is>
          <t>Family's Own Choice (No Elaboration)</t>
        </is>
      </c>
      <c r="B16">
        <f>COUNTIF(Insights!$F$2:$F$1190,"Family's Own Choice (No Elaboration)")</f>
        <v/>
      </c>
    </row>
    <row r="17">
      <c r="A17" t="inlineStr">
        <is>
          <t>Trip / Spot Was Already Full</t>
        </is>
      </c>
      <c r="B17">
        <f>COUNTIF(Insights!$F$2:$F$1190,"Trip / Spot Was Already Full")</f>
        <v/>
      </c>
    </row>
    <row r="18">
      <c r="A18" t="inlineStr">
        <is>
          <t>Not Needed</t>
        </is>
      </c>
      <c r="B18">
        <f>COUNTIF(Insights!$F$2:$F$1190,"Not Needed")</f>
        <v/>
      </c>
    </row>
    <row r="21">
      <c r="A21" s="10" t="inlineStr">
        <is>
          <t>Why Parents Do Go</t>
        </is>
      </c>
    </row>
    <row r="22">
      <c r="A22" s="13" t="inlineStr">
        <is>
          <t>Category</t>
        </is>
      </c>
      <c r="B22" s="13" t="inlineStr">
        <is>
          <t>Count</t>
        </is>
      </c>
    </row>
    <row r="23">
      <c r="A23" t="inlineStr">
        <is>
          <t>Wanted Shared Experience with Child</t>
        </is>
      </c>
      <c r="B23">
        <f>COUNTIF(Insights!$C$2:$C$1190,"Wanted Shared Experience with Child")</f>
        <v/>
      </c>
    </row>
    <row r="24">
      <c r="A24" t="inlineStr">
        <is>
          <t>Family Member Asked or Influenced Them to Go</t>
        </is>
      </c>
      <c r="B24">
        <f>COUNTIF(Insights!$C$2:$C$1190,"Family Member Asked or Influenced Them to Go")</f>
        <v/>
      </c>
    </row>
    <row r="25">
      <c r="A25" t="inlineStr">
        <is>
          <t>Previous Positive Experience</t>
        </is>
      </c>
      <c r="B25">
        <f>COUNTIF(Insights!$C$2:$C$1190,"Previous Positive Experience")</f>
        <v/>
      </c>
    </row>
    <row r="26">
      <c r="A26" t="inlineStr">
        <is>
          <t>Faith / Service Motivation</t>
        </is>
      </c>
      <c r="B26">
        <f>COUNTIF(Insights!$C$2:$C$1190,"Faith / Service Motivation")</f>
        <v/>
      </c>
    </row>
    <row r="27">
      <c r="A27" t="inlineStr">
        <is>
          <t>Other / Uncategorized</t>
        </is>
      </c>
      <c r="B27">
        <f>COUNTIF(Insights!$C$2:$C$1190,"Other / Uncategorized")</f>
        <v/>
      </c>
    </row>
    <row r="28">
      <c r="A28" t="inlineStr">
        <is>
          <t>Love of Travel / Culture</t>
        </is>
      </c>
      <c r="B28">
        <f>COUNTIF(Insights!$C$2:$C$1190,"Love of Travel / Culture")</f>
        <v/>
      </c>
    </row>
    <row r="29">
      <c r="A29" t="inlineStr">
        <is>
          <t>Trust in the HXP Program</t>
        </is>
      </c>
      <c r="B29">
        <f>COUNTIF(Insights!$C$2:$C$1190,"Trust in the HXP Program")</f>
        <v/>
      </c>
    </row>
    <row r="30">
      <c r="A30" t="inlineStr">
        <is>
          <t>Concerned About Child Going Alone / Safety</t>
        </is>
      </c>
      <c r="B30">
        <f>COUNTIF(Insights!$C$2:$C$1190,"Concerned About Child Going Alone / Safety")</f>
        <v/>
      </c>
    </row>
    <row r="31">
      <c r="A31" t="inlineStr">
        <is>
          <t>Securing/Ensuring Child's Spot (Registration Timing)</t>
        </is>
      </c>
      <c r="B31">
        <f>COUNTIF(Insights!$C$2:$C$1190,"Securing/Ensuring Child's Spot (Registration Timing)")</f>
        <v/>
      </c>
    </row>
    <row r="32">
      <c r="A32" t="inlineStr">
        <is>
          <t>Personally Invited by HXP Staff/Trip Leader</t>
        </is>
      </c>
      <c r="B32">
        <f>COUNTIF(Insights!$C$2:$C$1190,"Personally Invited by HXP Staff/Trip Leader")</f>
        <v/>
      </c>
    </row>
    <row r="35">
      <c r="A35" s="10" t="inlineStr">
        <is>
          <t>Controllability</t>
        </is>
      </c>
    </row>
    <row r="36">
      <c r="A36" s="13" t="inlineStr">
        <is>
          <t>Bucket</t>
        </is>
      </c>
      <c r="B36" s="13" t="inlineStr">
        <is>
          <t>Count</t>
        </is>
      </c>
    </row>
    <row r="37">
      <c r="A37" t="inlineStr">
        <is>
          <t>HXP Can Directly Fix</t>
        </is>
      </c>
      <c r="B37">
        <f>COUNTIF(Insights!$I$2:$I$1190,"HXP Can Directly Fix")</f>
        <v/>
      </c>
    </row>
    <row r="38">
      <c r="A38" t="inlineStr">
        <is>
          <t>HXP Can Influence</t>
        </is>
      </c>
      <c r="B38">
        <f>COUNTIF(Insights!$I$2:$I$1190,"HXP Can Influence")</f>
        <v/>
      </c>
    </row>
    <row r="39">
      <c r="A39" t="inlineStr">
        <is>
          <t>Family's Own Choice</t>
        </is>
      </c>
      <c r="B39">
        <f>COUNTIF(Insights!$I$2:$I$1190,"Family's Own Choice")</f>
        <v/>
      </c>
    </row>
    <row r="40">
      <c r="A40" t="inlineStr">
        <is>
          <t>Unknown</t>
        </is>
      </c>
      <c r="B40">
        <f>COUNTIF(Insights!$I$2:$I$1190,"Unknown")</f>
        <v/>
      </c>
    </row>
    <row r="43">
      <c r="A43" s="10" t="inlineStr">
        <is>
          <t>Would-Help Themes (Maybe segment)</t>
        </is>
      </c>
    </row>
    <row r="44">
      <c r="A44" s="13" t="inlineStr">
        <is>
          <t>Theme</t>
        </is>
      </c>
      <c r="B44" s="13" t="inlineStr">
        <is>
          <t>Count</t>
        </is>
      </c>
    </row>
    <row r="45">
      <c r="A45" t="inlineStr">
        <is>
          <t>Cost / Financial Assistance</t>
        </is>
      </c>
      <c r="B45">
        <f>COUNTIF(Insights!$L$2:$L$1190,"Cost / Financial Assistance")</f>
        <v/>
      </c>
    </row>
    <row r="46">
      <c r="A46" t="inlineStr">
        <is>
          <t>Time / Scheduling</t>
        </is>
      </c>
      <c r="B46">
        <f>COUNTIF(Insights!$L$2:$L$1190,"Time / Scheduling")</f>
        <v/>
      </c>
    </row>
    <row r="47">
      <c r="A47" t="inlineStr">
        <is>
          <t>Childcare for Other Kids</t>
        </is>
      </c>
      <c r="B47">
        <f>COUNTIF(Insights!$L$2:$L$1190,"Childcare for Other Kids")</f>
        <v/>
      </c>
    </row>
    <row r="48">
      <c r="A48" t="inlineStr">
        <is>
          <t>Waiting for Right Timing (kids' ages)</t>
        </is>
      </c>
      <c r="B48">
        <f>COUNTIF(Insights!$L$2:$L$1190,"Waiting for Right Timing (kids' ages)")</f>
        <v/>
      </c>
    </row>
    <row r="49">
      <c r="A49" t="inlineStr">
        <is>
          <t>Other / Uncategorized</t>
        </is>
      </c>
      <c r="B49">
        <f>COUNTIF(Insights!$L$2:$L$1190,"Other / Uncategorized")</f>
        <v/>
      </c>
    </row>
    <row r="50">
      <c r="A50" t="inlineStr">
        <is>
          <t>No Specific Ask / Undecided</t>
        </is>
      </c>
      <c r="B50">
        <f>COUNTIF(Insights!$L$2:$L$1190,"No Specific Ask / Undecided")</f>
        <v/>
      </c>
    </row>
    <row r="51">
      <c r="A51" t="inlineStr">
        <is>
          <t>More Information / Awareness</t>
        </is>
      </c>
      <c r="B51">
        <f>COUNTIF(Insights!$L$2:$L$1190,"More Information / Awareness")</f>
        <v/>
      </c>
    </row>
    <row r="52">
      <c r="A52" t="inlineStr">
        <is>
          <t>Health</t>
        </is>
      </c>
      <c r="B52">
        <f>COUNTIF(Insights!$L$2:$L$1190,"Health")</f>
        <v/>
      </c>
    </row>
    <row r="53">
      <c r="A53" t="inlineStr">
        <is>
          <t>Registration / Spot Availability</t>
        </is>
      </c>
      <c r="B53">
        <f>COUNTIF(Insights!$L$2:$L$1190,"Registration / Spot Availability")</f>
        <v/>
      </c>
    </row>
    <row r="56">
      <c r="A56" s="10" t="inlineStr">
        <is>
          <t>Reasons Parents Don't Go That HXP Can Control</t>
        </is>
      </c>
    </row>
    <row r="57">
      <c r="A57" s="13" t="inlineStr">
        <is>
          <t>Category</t>
        </is>
      </c>
      <c r="B57" s="13" t="inlineStr">
        <is>
          <t>Count</t>
        </is>
      </c>
    </row>
    <row r="58">
      <c r="A58" t="inlineStr">
        <is>
          <t>Cost / Finances</t>
        </is>
      </c>
      <c r="B58">
        <f>COUNTIF(Insights!$F$2:$F$1190,"Cost / Finances")</f>
        <v/>
      </c>
    </row>
    <row r="59">
      <c r="A59" t="inlineStr">
        <is>
          <t>Work Schedule / Time Off</t>
        </is>
      </c>
      <c r="B59">
        <f>COUNTIF(Insights!$F$2:$F$1190,"Work Schedule / Time Off")</f>
        <v/>
      </c>
    </row>
    <row r="60">
      <c r="A60" t="inlineStr">
        <is>
          <t>Not a Traveler / Personal Preference</t>
        </is>
      </c>
      <c r="B60">
        <f>COUNTIF(Insights!$F$2:$F$1190,"Not a Traveler / Personal Preference")</f>
        <v/>
      </c>
    </row>
    <row r="61">
      <c r="A61" t="inlineStr">
        <is>
          <t>Not Aware It Was an Option</t>
        </is>
      </c>
      <c r="B61">
        <f>COUNTIF(Insights!$F$2:$F$1190,"Not Aware It Was an Option")</f>
        <v/>
      </c>
    </row>
    <row r="62">
      <c r="A62" t="inlineStr">
        <is>
          <t>Health / Physical / Age</t>
        </is>
      </c>
      <c r="B62">
        <f>COUNTIF(Insights!$F$2:$F$1190,"Health / Physical / Age")</f>
        <v/>
      </c>
    </row>
    <row r="63">
      <c r="A63" t="inlineStr">
        <is>
          <t>Trip / Spot Was Already Full</t>
        </is>
      </c>
      <c r="B63">
        <f>COUNTIF(Insights!$F$2:$F$1190,"Trip / Spot Was Already Full")</f>
        <v/>
      </c>
    </row>
    <row r="66">
      <c r="A66" s="10" t="inlineStr">
        <is>
          <t>Easy Conversions (No reasons blended with matching Maybe would-help themes)</t>
        </is>
      </c>
    </row>
    <row r="67">
      <c r="A67" s="13" t="inlineStr">
        <is>
          <t>Category</t>
        </is>
      </c>
      <c r="B67" s="13" t="inlineStr">
        <is>
          <t>Count</t>
        </is>
      </c>
    </row>
    <row r="68">
      <c r="A68" t="inlineStr">
        <is>
          <t>Not Aware It Was an Option (+ Maybe: wants more info)</t>
        </is>
      </c>
      <c r="B68">
        <f>COUNTIF(Insights!$F$2:$F$1190,"Not Aware It Was an Option")+COUNTIF(Insights!$L$2:$L$1190,"More Information / Awareness")</f>
        <v/>
      </c>
    </row>
    <row r="69">
      <c r="A69" t="inlineStr">
        <is>
          <t>Trip/Spot Was Already Full (+ Maybe: registration/spot)</t>
        </is>
      </c>
      <c r="B69">
        <f>COUNTIF(Insights!$F$2:$F$1190,"Trip / Spot Was Already Full")+COUNTIF(Insights!$L$2:$L$1190,"Registration / Spot Availability")</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16"/>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s>
  <sheetData>
    <row r="1">
      <c r="A1" s="14" t="inlineStr">
        <is>
          <t>Are you planning on going as a Parent Builder?</t>
        </is>
      </c>
      <c r="B1" s="14" t="inlineStr">
        <is>
          <t>What influenced your decision to go?</t>
        </is>
      </c>
      <c r="C1" s="14" t="inlineStr">
        <is>
          <t>What influenced your decision not to go?</t>
        </is>
      </c>
      <c r="D1" s="14" t="inlineStr">
        <is>
          <t>What would help change your decision to go?</t>
        </is>
      </c>
    </row>
    <row r="2">
      <c r="A2" t="inlineStr">
        <is>
          <t>No</t>
        </is>
      </c>
      <c r="B2" t="inlineStr"/>
      <c r="C2" t="inlineStr">
        <is>
          <t>Good for my son to go without me.</t>
        </is>
      </c>
      <c r="D2" t="inlineStr"/>
    </row>
    <row r="3">
      <c r="A3" t="inlineStr">
        <is>
          <t>No</t>
        </is>
      </c>
      <c r="B3" t="inlineStr"/>
      <c r="C3" t="inlineStr">
        <is>
          <t>Confidence in my kid</t>
        </is>
      </c>
      <c r="D3" t="inlineStr"/>
    </row>
    <row r="4">
      <c r="A4" t="inlineStr">
        <is>
          <t>No</t>
        </is>
      </c>
      <c r="B4" t="inlineStr"/>
      <c r="C4" t="inlineStr">
        <is>
          <t>Not needed</t>
        </is>
      </c>
      <c r="D4" t="inlineStr"/>
    </row>
    <row r="5">
      <c r="A5" t="inlineStr">
        <is>
          <t>No</t>
        </is>
      </c>
      <c r="B5" t="inlineStr"/>
      <c r="C5" t="inlineStr">
        <is>
          <t>I still have younger children to save for.</t>
        </is>
      </c>
      <c r="D5" t="inlineStr"/>
    </row>
    <row r="6">
      <c r="A6" t="inlineStr">
        <is>
          <t>No</t>
        </is>
      </c>
      <c r="B6" t="inlineStr"/>
      <c r="C6" t="inlineStr">
        <is>
          <t>I think it is better for him</t>
        </is>
      </c>
      <c r="D6" t="inlineStr"/>
    </row>
    <row r="7">
      <c r="A7" t="inlineStr">
        <is>
          <t>No</t>
        </is>
      </c>
      <c r="B7" t="inlineStr"/>
      <c r="C7" t="inlineStr">
        <is>
          <t>Want my son to have his own experience</t>
        </is>
      </c>
      <c r="D7" t="inlineStr"/>
    </row>
    <row r="8">
      <c r="A8" t="inlineStr">
        <is>
          <t>Yes</t>
        </is>
      </c>
      <c r="B8" t="inlineStr">
        <is>
          <t xml:space="preserve">I love teenagers, people in other cultures, and I love travel. </t>
        </is>
      </c>
      <c r="C8" t="inlineStr"/>
      <c r="D8" t="inlineStr"/>
    </row>
    <row r="9">
      <c r="A9" t="inlineStr">
        <is>
          <t>Yes</t>
        </is>
      </c>
      <c r="B9" t="inlineStr">
        <is>
          <t>My husband wanted someone to go with our daughter, but I also wanted to experience this piece of heaven. I love teenagers!</t>
        </is>
      </c>
      <c r="C9" t="inlineStr"/>
      <c r="D9" t="inlineStr"/>
    </row>
    <row r="10">
      <c r="A10" t="inlineStr">
        <is>
          <t>No</t>
        </is>
      </c>
      <c r="B10" t="inlineStr"/>
      <c r="C10" t="inlineStr">
        <is>
          <t xml:space="preserve">The cost. Would have loved to go as a parent but it just wasn’t in our budget </t>
        </is>
      </c>
      <c r="D10" t="inlineStr"/>
    </row>
    <row r="11">
      <c r="A11" t="inlineStr">
        <is>
          <t>No</t>
        </is>
      </c>
      <c r="B11" t="inlineStr"/>
      <c r="C11" t="inlineStr">
        <is>
          <t>Friends with experience</t>
        </is>
      </c>
      <c r="D11" t="inlineStr"/>
    </row>
    <row r="12">
      <c r="A12" t="inlineStr">
        <is>
          <t>Yes</t>
        </is>
      </c>
      <c r="B12" t="inlineStr">
        <is>
          <t>Could go with my son</t>
        </is>
      </c>
      <c r="C12" t="inlineStr"/>
      <c r="D12" t="inlineStr"/>
    </row>
    <row r="13">
      <c r="A13" t="inlineStr">
        <is>
          <t>No</t>
        </is>
      </c>
      <c r="B13" t="inlineStr"/>
      <c r="C13" t="inlineStr">
        <is>
          <t>Time away from work</t>
        </is>
      </c>
      <c r="D13" t="inlineStr"/>
    </row>
    <row r="14">
      <c r="A14" t="inlineStr">
        <is>
          <t>No</t>
        </is>
      </c>
      <c r="B14" t="inlineStr"/>
      <c r="C14" t="inlineStr">
        <is>
          <t>Thought my daughter would have a better experience with out me</t>
        </is>
      </c>
      <c r="D14" t="inlineStr"/>
    </row>
    <row r="15">
      <c r="A15" t="inlineStr">
        <is>
          <t>No</t>
        </is>
      </c>
      <c r="B15" t="inlineStr"/>
      <c r="C15" t="inlineStr"/>
      <c r="D15" t="inlineStr"/>
    </row>
    <row r="16">
      <c r="A16" t="inlineStr">
        <is>
          <t>No</t>
        </is>
      </c>
      <c r="B16" t="inlineStr"/>
      <c r="C16" t="inlineStr"/>
      <c r="D16" t="inlineStr"/>
    </row>
    <row r="17">
      <c r="A17" t="inlineStr">
        <is>
          <t>No</t>
        </is>
      </c>
      <c r="B17" t="inlineStr"/>
      <c r="C17" t="inlineStr">
        <is>
          <t xml:space="preserve">Our son needs an independent experience.  </t>
        </is>
      </c>
      <c r="D17" t="inlineStr"/>
    </row>
    <row r="18">
      <c r="A18" t="inlineStr">
        <is>
          <t>No</t>
        </is>
      </c>
      <c r="B18" t="inlineStr"/>
      <c r="C18" t="inlineStr">
        <is>
          <t xml:space="preserve">Money </t>
        </is>
      </c>
      <c r="D18" t="inlineStr"/>
    </row>
    <row r="19">
      <c r="A19" t="inlineStr">
        <is>
          <t>No</t>
        </is>
      </c>
      <c r="B19" t="inlineStr"/>
      <c r="C19" t="inlineStr">
        <is>
          <t xml:space="preserve">I have 4 other kiddos at home that need me </t>
        </is>
      </c>
      <c r="D19" t="inlineStr"/>
    </row>
    <row r="20">
      <c r="A20" t="inlineStr">
        <is>
          <t>No</t>
        </is>
      </c>
      <c r="B20" t="inlineStr"/>
      <c r="C20" t="inlineStr">
        <is>
          <t>cost</t>
        </is>
      </c>
      <c r="D20" t="inlineStr"/>
    </row>
    <row r="21">
      <c r="A21" t="inlineStr">
        <is>
          <t>No</t>
        </is>
      </c>
      <c r="B21" t="inlineStr"/>
      <c r="C21" t="inlineStr">
        <is>
          <t>my daughter does not want me to go</t>
        </is>
      </c>
      <c r="D21" t="inlineStr"/>
    </row>
    <row r="22">
      <c r="A22" t="inlineStr">
        <is>
          <t>No</t>
        </is>
      </c>
      <c r="B22" t="inlineStr"/>
      <c r="C22" t="inlineStr">
        <is>
          <t>Wanted my son to go alone</t>
        </is>
      </c>
      <c r="D22" t="inlineStr"/>
    </row>
    <row r="23">
      <c r="A23" t="inlineStr">
        <is>
          <t>No</t>
        </is>
      </c>
      <c r="B23" t="inlineStr"/>
      <c r="C23" t="inlineStr"/>
      <c r="D23" t="inlineStr"/>
    </row>
    <row r="24">
      <c r="A24" t="inlineStr">
        <is>
          <t>Yes</t>
        </is>
      </c>
      <c r="B24" t="inlineStr">
        <is>
          <t>My daughter asked me ro go</t>
        </is>
      </c>
      <c r="C24" t="inlineStr"/>
      <c r="D24" t="inlineStr"/>
    </row>
    <row r="25">
      <c r="A25" t="inlineStr">
        <is>
          <t>No</t>
        </is>
      </c>
      <c r="B25" t="inlineStr"/>
      <c r="C25" t="inlineStr">
        <is>
          <t>I want to fill up my time with something fun that makes me happy and is productive. I am also excited to experience the beauty of OBX</t>
        </is>
      </c>
      <c r="D25" t="inlineStr"/>
    </row>
    <row r="26">
      <c r="A26" t="inlineStr">
        <is>
          <t>No</t>
        </is>
      </c>
      <c r="B26" t="inlineStr"/>
      <c r="C26" t="inlineStr">
        <is>
          <t xml:space="preserve">My job and time off. I would really love to go another year. </t>
        </is>
      </c>
      <c r="D26" t="inlineStr"/>
    </row>
    <row r="27">
      <c r="A27" t="inlineStr">
        <is>
          <t>No</t>
        </is>
      </c>
      <c r="B27" t="inlineStr"/>
      <c r="C27" t="inlineStr">
        <is>
          <t>I wanted my daughter to have this experience on her own. I wanted her to rely on her group rather than me, to help her build stronger connections with other builders &amp; the trip leaders.</t>
        </is>
      </c>
      <c r="D27" t="inlineStr"/>
    </row>
    <row r="28">
      <c r="A28" t="inlineStr">
        <is>
          <t>No</t>
        </is>
      </c>
      <c r="B28" t="inlineStr"/>
      <c r="C28" t="inlineStr">
        <is>
          <t>Younger kids at home</t>
        </is>
      </c>
      <c r="D28" t="inlineStr"/>
    </row>
    <row r="29">
      <c r="A29" t="inlineStr">
        <is>
          <t>No</t>
        </is>
      </c>
      <c r="B29" t="inlineStr"/>
      <c r="C29" t="inlineStr">
        <is>
          <t>Daughter asked me not to go</t>
        </is>
      </c>
      <c r="D29" t="inlineStr"/>
    </row>
    <row r="30">
      <c r="A30" t="inlineStr">
        <is>
          <t>No</t>
        </is>
      </c>
      <c r="B30" t="inlineStr"/>
      <c r="C30" t="inlineStr">
        <is>
          <t xml:space="preserve">I really wanted to go, my son was cool with me going, but the Spirit said he needed to do this without me. </t>
        </is>
      </c>
      <c r="D30" t="inlineStr"/>
    </row>
    <row r="31">
      <c r="A31" t="inlineStr">
        <is>
          <t>No</t>
        </is>
      </c>
      <c r="B31" t="inlineStr"/>
      <c r="C31" t="inlineStr">
        <is>
          <t>Work schedule is not compatible with the HXP schedule.</t>
        </is>
      </c>
      <c r="D31" t="inlineStr"/>
    </row>
    <row r="32">
      <c r="A32" t="inlineStr">
        <is>
          <t>No</t>
        </is>
      </c>
      <c r="B32" t="inlineStr"/>
      <c r="C32" t="inlineStr">
        <is>
          <t xml:space="preserve">Cost &amp; time away from other kids, also excited for my son to do this without me </t>
        </is>
      </c>
      <c r="D32" t="inlineStr"/>
    </row>
    <row r="33">
      <c r="A33" t="inlineStr">
        <is>
          <t>Maybe</t>
        </is>
      </c>
      <c r="B33" t="inlineStr"/>
      <c r="C33" t="inlineStr"/>
      <c r="D33" t="inlineStr">
        <is>
          <t xml:space="preserve">Cost </t>
        </is>
      </c>
    </row>
    <row r="34">
      <c r="A34" t="inlineStr">
        <is>
          <t>No</t>
        </is>
      </c>
      <c r="B34" t="inlineStr"/>
      <c r="C34" t="inlineStr">
        <is>
          <t xml:space="preserve">Private time for him </t>
        </is>
      </c>
      <c r="D34" t="inlineStr"/>
    </row>
    <row r="35">
      <c r="A35" t="inlineStr">
        <is>
          <t>No</t>
        </is>
      </c>
      <c r="B35" t="inlineStr"/>
      <c r="C35" t="inlineStr">
        <is>
          <t xml:space="preserve">Work obligations </t>
        </is>
      </c>
      <c r="D35" t="inlineStr"/>
    </row>
    <row r="36">
      <c r="A36" t="inlineStr">
        <is>
          <t>No</t>
        </is>
      </c>
      <c r="B36" t="inlineStr"/>
      <c r="C36" t="inlineStr">
        <is>
          <t>My child wanted to go on her own.</t>
        </is>
      </c>
      <c r="D36" t="inlineStr"/>
    </row>
    <row r="37">
      <c r="A37" t="inlineStr">
        <is>
          <t>Yes</t>
        </is>
      </c>
      <c r="B37" t="inlineStr">
        <is>
          <t>Previous trips</t>
        </is>
      </c>
      <c r="C37" t="inlineStr"/>
      <c r="D37" t="inlineStr"/>
    </row>
    <row r="38">
      <c r="A38" t="inlineStr">
        <is>
          <t>No</t>
        </is>
      </c>
      <c r="B38" t="inlineStr"/>
      <c r="C38" t="inlineStr">
        <is>
          <t xml:space="preserve">Time/ son coming home from a mission </t>
        </is>
      </c>
      <c r="D38" t="inlineStr"/>
    </row>
    <row r="39">
      <c r="A39" t="inlineStr">
        <is>
          <t>Yes</t>
        </is>
      </c>
      <c r="B39" t="inlineStr">
        <is>
          <t xml:space="preserve">I have been before and love it. </t>
        </is>
      </c>
      <c r="C39" t="inlineStr"/>
      <c r="D39" t="inlineStr"/>
    </row>
    <row r="40">
      <c r="A40" t="inlineStr">
        <is>
          <t>Yes</t>
        </is>
      </c>
      <c r="B40" t="inlineStr">
        <is>
          <t>The Q&amp;A night</t>
        </is>
      </c>
      <c r="C40" t="inlineStr"/>
      <c r="D40" t="inlineStr"/>
    </row>
    <row r="41">
      <c r="A41" t="inlineStr">
        <is>
          <t>No</t>
        </is>
      </c>
      <c r="B41" t="inlineStr"/>
      <c r="C41" t="inlineStr">
        <is>
          <t>My husband is going as the male parent builder</t>
        </is>
      </c>
      <c r="D41" t="inlineStr"/>
    </row>
    <row r="42">
      <c r="A42" t="inlineStr">
        <is>
          <t>No</t>
        </is>
      </c>
      <c r="B42" t="inlineStr"/>
      <c r="C42" t="inlineStr">
        <is>
          <t>Time and money</t>
        </is>
      </c>
      <c r="D42" t="inlineStr"/>
    </row>
    <row r="43">
      <c r="A43" t="inlineStr">
        <is>
          <t>No</t>
        </is>
      </c>
      <c r="B43" t="inlineStr"/>
      <c r="C43" t="inlineStr"/>
      <c r="D43" t="inlineStr"/>
    </row>
    <row r="44">
      <c r="A44" t="inlineStr">
        <is>
          <t>No</t>
        </is>
      </c>
      <c r="B44" t="inlineStr"/>
      <c r="C44" t="inlineStr">
        <is>
          <t xml:space="preserve">Just the timing with life and having other kids at home. </t>
        </is>
      </c>
      <c r="D44" t="inlineStr"/>
    </row>
    <row r="45">
      <c r="A45" t="inlineStr">
        <is>
          <t>No</t>
        </is>
      </c>
      <c r="B45" t="inlineStr"/>
      <c r="C45" t="inlineStr">
        <is>
          <t xml:space="preserve">Other kids at home. </t>
        </is>
      </c>
      <c r="D45" t="inlineStr"/>
    </row>
    <row r="46">
      <c r="A46" t="inlineStr">
        <is>
          <t>No</t>
        </is>
      </c>
      <c r="B46" t="inlineStr"/>
      <c r="C46" t="inlineStr">
        <is>
          <t xml:space="preserve">I want my son To have this experience alone. </t>
        </is>
      </c>
      <c r="D46" t="inlineStr"/>
    </row>
    <row r="47">
      <c r="A47" t="inlineStr">
        <is>
          <t>No</t>
        </is>
      </c>
      <c r="B47" t="inlineStr"/>
      <c r="C47" t="inlineStr">
        <is>
          <t>Wanted my son to be on his own</t>
        </is>
      </c>
      <c r="D47" t="inlineStr"/>
    </row>
    <row r="48">
      <c r="A48" t="inlineStr">
        <is>
          <t>Maybe</t>
        </is>
      </c>
      <c r="B48" t="inlineStr"/>
      <c r="C48" t="inlineStr"/>
      <c r="D48" t="inlineStr">
        <is>
          <t xml:space="preserve">If it was less expensive </t>
        </is>
      </c>
    </row>
    <row r="49">
      <c r="A49" t="inlineStr">
        <is>
          <t>No</t>
        </is>
      </c>
      <c r="B49" t="inlineStr"/>
      <c r="C49" t="inlineStr">
        <is>
          <t xml:space="preserve">I wanted my daughter to have an experience where she needed to learn to rely on herself instead of her parents </t>
        </is>
      </c>
      <c r="D49" t="inlineStr"/>
    </row>
    <row r="50">
      <c r="A50" t="inlineStr">
        <is>
          <t>No</t>
        </is>
      </c>
      <c r="B50" t="inlineStr"/>
      <c r="C50" t="inlineStr">
        <is>
          <t xml:space="preserve">$$, otherwise, I’d love to go. We could only afford for our youth to go. </t>
        </is>
      </c>
      <c r="D50" t="inlineStr"/>
    </row>
    <row r="51">
      <c r="A51" t="inlineStr">
        <is>
          <t>No</t>
        </is>
      </c>
      <c r="B51" t="inlineStr"/>
      <c r="C51" t="inlineStr">
        <is>
          <t xml:space="preserve">I want my son to have an independent experience away from parents. </t>
        </is>
      </c>
      <c r="D51" t="inlineStr"/>
    </row>
    <row r="52">
      <c r="A52" t="inlineStr">
        <is>
          <t>No</t>
        </is>
      </c>
      <c r="B52" t="inlineStr"/>
      <c r="C52" t="inlineStr"/>
      <c r="D52" t="inlineStr"/>
    </row>
    <row r="53">
      <c r="A53" t="inlineStr">
        <is>
          <t>No</t>
        </is>
      </c>
      <c r="B53" t="inlineStr"/>
      <c r="C53" t="inlineStr">
        <is>
          <t xml:space="preserve">My husband and I have both been trip builders before. Our son wanted the experience of going without parents :) </t>
        </is>
      </c>
      <c r="D53" t="inlineStr"/>
    </row>
    <row r="54">
      <c r="A54" t="inlineStr">
        <is>
          <t>No</t>
        </is>
      </c>
      <c r="B54" t="inlineStr"/>
      <c r="C54" t="inlineStr">
        <is>
          <t xml:space="preserve">This is my son’s experience. He always has his parents in tow on church functions. </t>
        </is>
      </c>
      <c r="D54" t="inlineStr"/>
    </row>
    <row r="55">
      <c r="A55" t="inlineStr">
        <is>
          <t>No</t>
        </is>
      </c>
      <c r="B55" t="inlineStr"/>
      <c r="C55" t="inlineStr">
        <is>
          <t>My child wanted to go alone</t>
        </is>
      </c>
      <c r="D55" t="inlineStr"/>
    </row>
    <row r="56">
      <c r="A56" t="inlineStr">
        <is>
          <t>No</t>
        </is>
      </c>
      <c r="B56" t="inlineStr"/>
      <c r="C56" t="inlineStr">
        <is>
          <t>My child</t>
        </is>
      </c>
      <c r="D56" t="inlineStr"/>
    </row>
    <row r="57">
      <c r="A57" t="inlineStr">
        <is>
          <t>No</t>
        </is>
      </c>
      <c r="B57" t="inlineStr"/>
      <c r="C57" t="inlineStr">
        <is>
          <t xml:space="preserve">I think my daughter was excited to do this on her own - without her dad or I having to be part of it. </t>
        </is>
      </c>
      <c r="D57" t="inlineStr"/>
    </row>
    <row r="58">
      <c r="A58" t="inlineStr">
        <is>
          <t>No</t>
        </is>
      </c>
      <c r="B58" t="inlineStr"/>
      <c r="C58" t="inlineStr">
        <is>
          <t xml:space="preserve">Timing &amp; cost </t>
        </is>
      </c>
      <c r="D58" t="inlineStr"/>
    </row>
    <row r="59">
      <c r="A59" t="inlineStr">
        <is>
          <t>No</t>
        </is>
      </c>
      <c r="B59" t="inlineStr"/>
      <c r="C59" t="inlineStr">
        <is>
          <t>The expense</t>
        </is>
      </c>
      <c r="D59" t="inlineStr"/>
    </row>
    <row r="60">
      <c r="A60" t="inlineStr">
        <is>
          <t>No</t>
        </is>
      </c>
      <c r="B60" t="inlineStr"/>
      <c r="C60" t="inlineStr">
        <is>
          <t xml:space="preserve">My daughter really wanted to have an independent experience and go on her own. </t>
        </is>
      </c>
      <c r="D60" t="inlineStr"/>
    </row>
    <row r="61">
      <c r="A61" t="inlineStr">
        <is>
          <t>No</t>
        </is>
      </c>
      <c r="B61" t="inlineStr"/>
      <c r="C61" t="inlineStr">
        <is>
          <t xml:space="preserve">Wanting to let my son have his own experience </t>
        </is>
      </c>
      <c r="D61" t="inlineStr"/>
    </row>
    <row r="62">
      <c r="A62" t="inlineStr">
        <is>
          <t>No</t>
        </is>
      </c>
      <c r="B62" t="inlineStr"/>
      <c r="C62" t="inlineStr">
        <is>
          <t>Time and money</t>
        </is>
      </c>
      <c r="D62" t="inlineStr"/>
    </row>
    <row r="63">
      <c r="A63" t="inlineStr">
        <is>
          <t>No</t>
        </is>
      </c>
      <c r="B63" t="inlineStr"/>
      <c r="C63" t="inlineStr">
        <is>
          <t>Price</t>
        </is>
      </c>
      <c r="D63" t="inlineStr"/>
    </row>
    <row r="64">
      <c r="A64" t="inlineStr">
        <is>
          <t>No</t>
        </is>
      </c>
      <c r="B64" t="inlineStr"/>
      <c r="C64" t="inlineStr">
        <is>
          <t xml:space="preserve">Availability </t>
        </is>
      </c>
      <c r="D64" t="inlineStr"/>
    </row>
    <row r="65">
      <c r="A65" t="inlineStr">
        <is>
          <t>Maybe</t>
        </is>
      </c>
      <c r="B65" t="inlineStr"/>
      <c r="C65" t="inlineStr"/>
      <c r="D65" t="inlineStr"/>
    </row>
    <row r="66">
      <c r="A66" t="inlineStr">
        <is>
          <t>No</t>
        </is>
      </c>
      <c r="B66" t="inlineStr"/>
      <c r="C66" t="inlineStr"/>
      <c r="D66" t="inlineStr"/>
    </row>
    <row r="67">
      <c r="A67" t="inlineStr">
        <is>
          <t>No</t>
        </is>
      </c>
      <c r="B67" t="inlineStr"/>
      <c r="C67" t="inlineStr">
        <is>
          <t xml:space="preserve">My little kids at home. </t>
        </is>
      </c>
      <c r="D67" t="inlineStr"/>
    </row>
    <row r="68">
      <c r="A68" t="inlineStr">
        <is>
          <t>No</t>
        </is>
      </c>
      <c r="B68" t="inlineStr"/>
      <c r="C68" t="inlineStr">
        <is>
          <t>My child wanted to go alone and I have younger children</t>
        </is>
      </c>
      <c r="D68" t="inlineStr"/>
    </row>
    <row r="69">
      <c r="A69" t="inlineStr">
        <is>
          <t>No</t>
        </is>
      </c>
      <c r="B69" t="inlineStr"/>
      <c r="C69" t="inlineStr">
        <is>
          <t xml:space="preserve">Time away from work and wanted son to have his own experience. </t>
        </is>
      </c>
      <c r="D69" t="inlineStr"/>
    </row>
    <row r="70">
      <c r="A70" t="inlineStr">
        <is>
          <t>Yes</t>
        </is>
      </c>
      <c r="B70" t="inlineStr">
        <is>
          <t xml:space="preserve">My wife went with our son last year. </t>
        </is>
      </c>
      <c r="C70" t="inlineStr"/>
      <c r="D70" t="inlineStr"/>
    </row>
    <row r="71">
      <c r="A71" t="inlineStr">
        <is>
          <t>No</t>
        </is>
      </c>
      <c r="B71" t="inlineStr"/>
      <c r="C71" t="inlineStr">
        <is>
          <t xml:space="preserve">Wanted my daughter to have as much autonomy while on her trip. </t>
        </is>
      </c>
      <c r="D71" t="inlineStr"/>
    </row>
    <row r="72">
      <c r="A72" t="inlineStr">
        <is>
          <t>Yes</t>
        </is>
      </c>
      <c r="B72" t="inlineStr">
        <is>
          <t xml:space="preserve">Desire to spend time with my daughter doing something important, memorable and impactful. </t>
        </is>
      </c>
      <c r="C72" t="inlineStr"/>
      <c r="D72" t="inlineStr"/>
    </row>
    <row r="73">
      <c r="A73" t="inlineStr">
        <is>
          <t>No</t>
        </is>
      </c>
      <c r="B73" t="inlineStr"/>
      <c r="C73" t="inlineStr">
        <is>
          <t>Work obligations</t>
        </is>
      </c>
      <c r="D73" t="inlineStr"/>
    </row>
    <row r="74">
      <c r="A74" t="inlineStr">
        <is>
          <t>No</t>
        </is>
      </c>
      <c r="B74" t="inlineStr"/>
      <c r="C74" t="inlineStr">
        <is>
          <t>Work</t>
        </is>
      </c>
      <c r="D74" t="inlineStr"/>
    </row>
    <row r="75">
      <c r="A75" t="inlineStr">
        <is>
          <t>No</t>
        </is>
      </c>
      <c r="B75" t="inlineStr"/>
      <c r="C75" t="inlineStr">
        <is>
          <t xml:space="preserve">My child needed to do this without a parent </t>
        </is>
      </c>
      <c r="D75" t="inlineStr"/>
    </row>
    <row r="76">
      <c r="A76" t="inlineStr">
        <is>
          <t>No</t>
        </is>
      </c>
      <c r="B76" t="inlineStr"/>
      <c r="C76" t="inlineStr">
        <is>
          <t>I don’t enjoy being responsible for other people’s kids</t>
        </is>
      </c>
      <c r="D76" t="inlineStr"/>
    </row>
    <row r="77">
      <c r="A77" t="inlineStr">
        <is>
          <t>Yes</t>
        </is>
      </c>
      <c r="B77" t="inlineStr">
        <is>
          <t>Desire to spend time with my son and to have an adventure.</t>
        </is>
      </c>
      <c r="C77" t="inlineStr"/>
      <c r="D77" t="inlineStr"/>
    </row>
    <row r="78">
      <c r="A78" t="inlineStr">
        <is>
          <t>No</t>
        </is>
      </c>
      <c r="B78" t="inlineStr"/>
      <c r="C78" t="inlineStr"/>
      <c r="D78" t="inlineStr"/>
    </row>
    <row r="79">
      <c r="A79" t="inlineStr">
        <is>
          <t>No</t>
        </is>
      </c>
      <c r="B79" t="inlineStr"/>
      <c r="C79" t="inlineStr">
        <is>
          <t>My daughter didn't want us to go</t>
        </is>
      </c>
      <c r="D79" t="inlineStr"/>
    </row>
    <row r="80">
      <c r="A80" t="inlineStr">
        <is>
          <t>No</t>
        </is>
      </c>
      <c r="B80" t="inlineStr"/>
      <c r="C80" t="inlineStr">
        <is>
          <t>Personally not adventurous and comfortable</t>
        </is>
      </c>
      <c r="D80" t="inlineStr"/>
    </row>
    <row r="81">
      <c r="A81" t="inlineStr">
        <is>
          <t>Yes</t>
        </is>
      </c>
      <c r="B81" t="inlineStr">
        <is>
          <t xml:space="preserve">I wanted my son to go, and there was not a spot for him. The spot was freed up when I agreed to go as a parent builder. And I have a brother-in-law who went as a parent builder and had nothing but fantastic things to say about his experience. </t>
        </is>
      </c>
      <c r="C81" t="inlineStr"/>
      <c r="D81" t="inlineStr"/>
    </row>
    <row r="82">
      <c r="A82" t="inlineStr">
        <is>
          <t>No</t>
        </is>
      </c>
      <c r="B82" t="inlineStr"/>
      <c r="C82" t="inlineStr">
        <is>
          <t>We thought it would be a better experience for him to go alone</t>
        </is>
      </c>
      <c r="D82" t="inlineStr"/>
    </row>
    <row r="83">
      <c r="A83" t="inlineStr">
        <is>
          <t>No</t>
        </is>
      </c>
      <c r="B83" t="inlineStr"/>
      <c r="C83" t="inlineStr">
        <is>
          <t>Big church callings have required us to always be at camps and other activities for our children.  Our son needs a chance to be able to go out and experience life on his own without mom and dad there.</t>
        </is>
      </c>
      <c r="D83" t="inlineStr"/>
    </row>
    <row r="84">
      <c r="A84" t="inlineStr">
        <is>
          <t>No</t>
        </is>
      </c>
      <c r="B84" t="inlineStr"/>
      <c r="C84" t="inlineStr">
        <is>
          <t xml:space="preserve">Busy schedule </t>
        </is>
      </c>
      <c r="D84" t="inlineStr"/>
    </row>
    <row r="85">
      <c r="A85" t="inlineStr">
        <is>
          <t>No</t>
        </is>
      </c>
      <c r="B85" t="inlineStr"/>
      <c r="C85" t="inlineStr">
        <is>
          <t>can't make it work with kids at home</t>
        </is>
      </c>
      <c r="D85" t="inlineStr"/>
    </row>
    <row r="86">
      <c r="A86" t="inlineStr">
        <is>
          <t>No</t>
        </is>
      </c>
      <c r="B86" t="inlineStr"/>
      <c r="C86" t="inlineStr">
        <is>
          <t>We wanted our daughter to have an experience on her own, I have been at every camp etc she has been to. :)</t>
        </is>
      </c>
      <c r="D86" t="inlineStr"/>
    </row>
    <row r="87">
      <c r="A87" t="inlineStr">
        <is>
          <t>No</t>
        </is>
      </c>
      <c r="B87" t="inlineStr"/>
      <c r="C87" t="inlineStr">
        <is>
          <t>Other kids at home</t>
        </is>
      </c>
      <c r="D87" t="inlineStr"/>
    </row>
    <row r="88">
      <c r="A88" t="inlineStr">
        <is>
          <t>No</t>
        </is>
      </c>
      <c r="B88" t="inlineStr"/>
      <c r="C88" t="inlineStr">
        <is>
          <t>Not the right season of my life.  I still have little kids at home.  I also think for my particular child she will have a better experience on her own.</t>
        </is>
      </c>
      <c r="D88" t="inlineStr"/>
    </row>
    <row r="89">
      <c r="A89" t="inlineStr">
        <is>
          <t>No</t>
        </is>
      </c>
      <c r="B89" t="inlineStr"/>
      <c r="C89" t="inlineStr">
        <is>
          <t xml:space="preserve">Sibling had a great experience </t>
        </is>
      </c>
      <c r="D89" t="inlineStr"/>
    </row>
    <row r="90">
      <c r="A90" t="inlineStr">
        <is>
          <t>No</t>
        </is>
      </c>
      <c r="B90" t="inlineStr"/>
      <c r="C90" t="inlineStr">
        <is>
          <t xml:space="preserve">Money. Also our child needs to learn to do things without his parents there. </t>
        </is>
      </c>
      <c r="D90" t="inlineStr"/>
    </row>
    <row r="91">
      <c r="A91" t="inlineStr">
        <is>
          <t>No</t>
        </is>
      </c>
      <c r="B91" t="inlineStr"/>
      <c r="C91" t="inlineStr">
        <is>
          <t>To the parent expo?  I must not have been paying attention because I didn't know about it.</t>
        </is>
      </c>
      <c r="D91" t="inlineStr"/>
    </row>
    <row r="92">
      <c r="A92" t="inlineStr">
        <is>
          <t>No</t>
        </is>
      </c>
      <c r="B92" t="inlineStr"/>
      <c r="C92" t="inlineStr">
        <is>
          <t xml:space="preserve">I want my son to learn that he can be independent of me and have his own experience </t>
        </is>
      </c>
      <c r="D92" t="inlineStr"/>
    </row>
    <row r="93">
      <c r="A93" t="inlineStr">
        <is>
          <t>No</t>
        </is>
      </c>
      <c r="B93" t="inlineStr"/>
      <c r="C93" t="inlineStr">
        <is>
          <t xml:space="preserve">I wanted my daughter to have an independent experience </t>
        </is>
      </c>
      <c r="D93" t="inlineStr"/>
    </row>
    <row r="94">
      <c r="A94" t="inlineStr">
        <is>
          <t>Yes</t>
        </is>
      </c>
      <c r="B94" t="inlineStr">
        <is>
          <t>My daughter wouldn't go with me</t>
        </is>
      </c>
      <c r="C94" t="inlineStr"/>
      <c r="D94" t="inlineStr"/>
    </row>
    <row r="95">
      <c r="A95" t="inlineStr">
        <is>
          <t>No</t>
        </is>
      </c>
      <c r="B95" t="inlineStr"/>
      <c r="C95" t="inlineStr">
        <is>
          <t>learning to know and serve people who are having a different life experience from us.</t>
        </is>
      </c>
      <c r="D95" t="inlineStr"/>
    </row>
    <row r="96">
      <c r="A96" t="inlineStr">
        <is>
          <t>No</t>
        </is>
      </c>
      <c r="B96" t="inlineStr"/>
      <c r="C96" t="inlineStr">
        <is>
          <t>cost and family responsibility at home</t>
        </is>
      </c>
      <c r="D96" t="inlineStr"/>
    </row>
    <row r="97">
      <c r="A97" t="inlineStr">
        <is>
          <t>No</t>
        </is>
      </c>
      <c r="B97" t="inlineStr"/>
      <c r="C97" t="inlineStr">
        <is>
          <t>Cost mainly. Also, we want our child to have an experience away from family.</t>
        </is>
      </c>
      <c r="D97" t="inlineStr"/>
    </row>
    <row r="98">
      <c r="A98" t="inlineStr">
        <is>
          <t>No</t>
        </is>
      </c>
      <c r="B98" t="inlineStr"/>
      <c r="C98" t="inlineStr">
        <is>
          <t>My husband is going with our daughter instead</t>
        </is>
      </c>
      <c r="D98" t="inlineStr"/>
    </row>
    <row r="99">
      <c r="A99" t="inlineStr">
        <is>
          <t>No</t>
        </is>
      </c>
      <c r="B99" t="inlineStr"/>
      <c r="C99" t="inlineStr">
        <is>
          <t>Time</t>
        </is>
      </c>
      <c r="D99" t="inlineStr"/>
    </row>
    <row r="100">
      <c r="A100" t="inlineStr">
        <is>
          <t>No</t>
        </is>
      </c>
      <c r="B100" t="inlineStr"/>
      <c r="C100" t="inlineStr">
        <is>
          <t>money and time</t>
        </is>
      </c>
      <c r="D100" t="inlineStr"/>
    </row>
    <row r="101">
      <c r="A101" t="inlineStr">
        <is>
          <t>No</t>
        </is>
      </c>
      <c r="B101" t="inlineStr"/>
      <c r="C101" t="inlineStr">
        <is>
          <t xml:space="preserve">I want my son to experience being away from his parents and make connections, make decisions and be his own person on the trip. </t>
        </is>
      </c>
      <c r="D101" t="inlineStr"/>
    </row>
    <row r="102">
      <c r="A102" t="inlineStr">
        <is>
          <t>No</t>
        </is>
      </c>
      <c r="B102" t="inlineStr"/>
      <c r="C102" t="inlineStr">
        <is>
          <t>Too many kids back home to take care of.</t>
        </is>
      </c>
      <c r="D102" t="inlineStr"/>
    </row>
    <row r="103">
      <c r="A103" t="inlineStr">
        <is>
          <t>No</t>
        </is>
      </c>
      <c r="B103" t="inlineStr"/>
      <c r="C103" t="inlineStr">
        <is>
          <t>Time commitment, availability, and I want my son to have an experience away from me</t>
        </is>
      </c>
      <c r="D103" t="inlineStr"/>
    </row>
    <row r="104">
      <c r="A104" t="inlineStr">
        <is>
          <t>No</t>
        </is>
      </c>
      <c r="B104" t="inlineStr"/>
      <c r="C104" t="inlineStr">
        <is>
          <t>Costs. My husband went before and loved it. If it wasn’t so expensive I would have gone!</t>
        </is>
      </c>
      <c r="D104" t="inlineStr"/>
    </row>
    <row r="105">
      <c r="A105" t="inlineStr">
        <is>
          <t>No</t>
        </is>
      </c>
      <c r="B105" t="inlineStr"/>
      <c r="C105" t="inlineStr">
        <is>
          <t>I’m not good with teenagers</t>
        </is>
      </c>
      <c r="D105" t="inlineStr"/>
    </row>
    <row r="106">
      <c r="A106" t="inlineStr">
        <is>
          <t>No</t>
        </is>
      </c>
      <c r="B106" t="inlineStr"/>
      <c r="C106" t="inlineStr">
        <is>
          <t xml:space="preserve">I think the experience will be fuller without mom or dad there. </t>
        </is>
      </c>
      <c r="D106" t="inlineStr"/>
    </row>
    <row r="107">
      <c r="A107" t="inlineStr">
        <is>
          <t>Yes</t>
        </is>
      </c>
      <c r="B107" t="inlineStr">
        <is>
          <t>The destination country and the service opportunity</t>
        </is>
      </c>
      <c r="C107" t="inlineStr"/>
      <c r="D107" t="inlineStr"/>
    </row>
    <row r="108">
      <c r="A108" t="inlineStr">
        <is>
          <t>No</t>
        </is>
      </c>
      <c r="B108" t="inlineStr"/>
      <c r="C108" t="inlineStr">
        <is>
          <t>Work</t>
        </is>
      </c>
      <c r="D108" t="inlineStr"/>
    </row>
    <row r="109">
      <c r="A109" t="inlineStr">
        <is>
          <t>No</t>
        </is>
      </c>
      <c r="B109" t="inlineStr"/>
      <c r="C109" t="inlineStr">
        <is>
          <t xml:space="preserve">Money </t>
        </is>
      </c>
      <c r="D109" t="inlineStr"/>
    </row>
    <row r="110">
      <c r="A110" t="inlineStr">
        <is>
          <t>Maybe</t>
        </is>
      </c>
      <c r="B110" t="inlineStr"/>
      <c r="C110" t="inlineStr"/>
      <c r="D110" t="inlineStr">
        <is>
          <t xml:space="preserve">Cost and destination choice. </t>
        </is>
      </c>
    </row>
    <row r="111">
      <c r="A111" t="inlineStr">
        <is>
          <t>No</t>
        </is>
      </c>
      <c r="B111" t="inlineStr"/>
      <c r="C111" t="inlineStr"/>
      <c r="D111" t="inlineStr"/>
    </row>
    <row r="112">
      <c r="A112" t="inlineStr">
        <is>
          <t>No</t>
        </is>
      </c>
      <c r="B112" t="inlineStr"/>
      <c r="C112" t="inlineStr">
        <is>
          <t>Mostly financial… also wanted her to get to do something independently</t>
        </is>
      </c>
      <c r="D112" t="inlineStr"/>
    </row>
    <row r="113">
      <c r="A113" t="inlineStr">
        <is>
          <t>No</t>
        </is>
      </c>
      <c r="B113" t="inlineStr"/>
      <c r="C113" t="inlineStr">
        <is>
          <t>Felt my daughter needed the chance to go out on her own</t>
        </is>
      </c>
      <c r="D113" t="inlineStr"/>
    </row>
    <row r="114">
      <c r="A114" t="inlineStr">
        <is>
          <t>Yes</t>
        </is>
      </c>
      <c r="B114" t="inlineStr">
        <is>
          <t xml:space="preserve">My sibling went. Health concerns for my child. </t>
        </is>
      </c>
      <c r="C114" t="inlineStr"/>
      <c r="D114" t="inlineStr"/>
    </row>
    <row r="115">
      <c r="A115" t="inlineStr">
        <is>
          <t>No</t>
        </is>
      </c>
      <c r="B115" t="inlineStr"/>
      <c r="C115" t="inlineStr">
        <is>
          <t xml:space="preserve">My daughter wanted this to be her experience.  </t>
        </is>
      </c>
      <c r="D115" t="inlineStr"/>
    </row>
    <row r="116">
      <c r="A116" t="inlineStr">
        <is>
          <t>No</t>
        </is>
      </c>
      <c r="B116" t="inlineStr"/>
      <c r="C116" t="inlineStr"/>
      <c r="D116" t="inlineStr"/>
    </row>
    <row r="117">
      <c r="A117" t="inlineStr">
        <is>
          <t>No</t>
        </is>
      </c>
      <c r="B117" t="inlineStr"/>
      <c r="C117" t="inlineStr">
        <is>
          <t>I have other kids at home and too many obligations to leave</t>
        </is>
      </c>
      <c r="D117" t="inlineStr"/>
    </row>
    <row r="118">
      <c r="A118" t="inlineStr">
        <is>
          <t>No</t>
        </is>
      </c>
      <c r="B118" t="inlineStr"/>
      <c r="C118" t="inlineStr">
        <is>
          <t>cost</t>
        </is>
      </c>
      <c r="D118" t="inlineStr"/>
    </row>
    <row r="119">
      <c r="A119" t="inlineStr">
        <is>
          <t>No</t>
        </is>
      </c>
      <c r="B119" t="inlineStr"/>
      <c r="C119" t="inlineStr">
        <is>
          <t xml:space="preserve">Child wants to be independent and want to give them that opportunity. </t>
        </is>
      </c>
      <c r="D119" t="inlineStr"/>
    </row>
    <row r="120">
      <c r="A120" t="inlineStr">
        <is>
          <t>No</t>
        </is>
      </c>
      <c r="B120" t="inlineStr"/>
      <c r="C120" t="inlineStr"/>
      <c r="D120" t="inlineStr"/>
    </row>
    <row r="121">
      <c r="A121" t="inlineStr">
        <is>
          <t>No</t>
        </is>
      </c>
      <c r="B121" t="inlineStr"/>
      <c r="C121" t="inlineStr">
        <is>
          <t>Money.</t>
        </is>
      </c>
      <c r="D121" t="inlineStr"/>
    </row>
    <row r="122">
      <c r="A122" t="inlineStr">
        <is>
          <t>No</t>
        </is>
      </c>
      <c r="B122" t="inlineStr"/>
      <c r="C122" t="inlineStr"/>
      <c r="D122" t="inlineStr"/>
    </row>
    <row r="123">
      <c r="A123" t="inlineStr">
        <is>
          <t>No</t>
        </is>
      </c>
      <c r="B123" t="inlineStr"/>
      <c r="C123" t="inlineStr">
        <is>
          <t>Work and family responsibilities</t>
        </is>
      </c>
      <c r="D123" t="inlineStr"/>
    </row>
    <row r="124">
      <c r="A124" t="inlineStr">
        <is>
          <t>No</t>
        </is>
      </c>
      <c r="B124" t="inlineStr"/>
      <c r="C124" t="inlineStr">
        <is>
          <t>the price was the main factor</t>
        </is>
      </c>
      <c r="D124" t="inlineStr"/>
    </row>
    <row r="125">
      <c r="A125" t="inlineStr">
        <is>
          <t>Yes</t>
        </is>
      </c>
      <c r="B125" t="inlineStr">
        <is>
          <t xml:space="preserve">My son and wife asked me if I would like to participate as a Parent Builder... You don't say No to that kind of invitation... I was on it! </t>
        </is>
      </c>
      <c r="C125" t="inlineStr"/>
      <c r="D125" t="inlineStr"/>
    </row>
    <row r="126">
      <c r="A126" t="inlineStr">
        <is>
          <t>No</t>
        </is>
      </c>
      <c r="B126" t="inlineStr"/>
      <c r="C126" t="inlineStr">
        <is>
          <t xml:space="preserve">Money and letting my daughter have her own experience </t>
        </is>
      </c>
      <c r="D126" t="inlineStr"/>
    </row>
    <row r="127">
      <c r="A127" t="inlineStr">
        <is>
          <t>Maybe</t>
        </is>
      </c>
      <c r="B127" t="inlineStr"/>
      <c r="C127" t="inlineStr"/>
      <c r="D127" t="inlineStr"/>
    </row>
    <row r="128">
      <c r="A128" t="inlineStr">
        <is>
          <t>No</t>
        </is>
      </c>
      <c r="B128" t="inlineStr"/>
      <c r="C128" t="inlineStr">
        <is>
          <t xml:space="preserve">My daughter didn’t want me to go with her </t>
        </is>
      </c>
      <c r="D128" t="inlineStr"/>
    </row>
    <row r="129">
      <c r="A129" t="inlineStr">
        <is>
          <t>No</t>
        </is>
      </c>
      <c r="B129" t="inlineStr"/>
      <c r="C129" t="inlineStr">
        <is>
          <t>My daughter did not want me to go</t>
        </is>
      </c>
      <c r="D129" t="inlineStr"/>
    </row>
    <row r="130">
      <c r="A130" t="inlineStr">
        <is>
          <t>No</t>
        </is>
      </c>
      <c r="B130" t="inlineStr"/>
      <c r="C130" t="inlineStr">
        <is>
          <t>Mom was already full</t>
        </is>
      </c>
      <c r="D130" t="inlineStr"/>
    </row>
    <row r="131">
      <c r="A131" t="inlineStr">
        <is>
          <t>No</t>
        </is>
      </c>
      <c r="B131" t="inlineStr"/>
      <c r="C131" t="inlineStr">
        <is>
          <t xml:space="preserve">Cost of the trip was too expensive for both of us to go </t>
        </is>
      </c>
      <c r="D131" t="inlineStr"/>
    </row>
    <row r="132">
      <c r="A132" t="inlineStr">
        <is>
          <t>Yes</t>
        </is>
      </c>
      <c r="B132" t="inlineStr">
        <is>
          <t xml:space="preserve">I love to travel and love what HXP does to help. </t>
        </is>
      </c>
      <c r="C132" t="inlineStr"/>
      <c r="D132" t="inlineStr"/>
    </row>
    <row r="133">
      <c r="A133" t="inlineStr">
        <is>
          <t>No</t>
        </is>
      </c>
      <c r="B133" t="inlineStr"/>
      <c r="C133" t="inlineStr">
        <is>
          <t>Cost</t>
        </is>
      </c>
      <c r="D133" t="inlineStr"/>
    </row>
    <row r="134">
      <c r="A134" t="inlineStr">
        <is>
          <t>No</t>
        </is>
      </c>
      <c r="B134" t="inlineStr"/>
      <c r="C134" t="inlineStr">
        <is>
          <t xml:space="preserve">3 other kids at home </t>
        </is>
      </c>
      <c r="D134" t="inlineStr"/>
    </row>
    <row r="135">
      <c r="A135" t="inlineStr">
        <is>
          <t>No</t>
        </is>
      </c>
      <c r="B135" t="inlineStr"/>
      <c r="C135" t="inlineStr"/>
      <c r="D135" t="inlineStr"/>
    </row>
    <row r="136">
      <c r="A136" t="inlineStr">
        <is>
          <t>No</t>
        </is>
      </c>
      <c r="B136" t="inlineStr"/>
      <c r="C136" t="inlineStr">
        <is>
          <t>Additional Cost</t>
        </is>
      </c>
      <c r="D136" t="inlineStr"/>
    </row>
    <row r="137">
      <c r="A137" t="inlineStr">
        <is>
          <t>No</t>
        </is>
      </c>
      <c r="B137" t="inlineStr"/>
      <c r="C137" t="inlineStr">
        <is>
          <t xml:space="preserve">Not enough vacation time </t>
        </is>
      </c>
      <c r="D137" t="inlineStr"/>
    </row>
    <row r="138">
      <c r="A138" t="inlineStr">
        <is>
          <t>No</t>
        </is>
      </c>
      <c r="B138" t="inlineStr"/>
      <c r="C138" t="inlineStr">
        <is>
          <t>Time availability.  Two working parents don’t have time available off work to commit to such a big trip.</t>
        </is>
      </c>
      <c r="D138" t="inlineStr"/>
    </row>
    <row r="139">
      <c r="A139" t="inlineStr">
        <is>
          <t>No</t>
        </is>
      </c>
      <c r="B139" t="inlineStr"/>
      <c r="C139" t="inlineStr">
        <is>
          <t>Other commitments and wanting to give son space</t>
        </is>
      </c>
      <c r="D139" t="inlineStr"/>
    </row>
    <row r="140">
      <c r="A140" t="inlineStr">
        <is>
          <t>No</t>
        </is>
      </c>
      <c r="B140" t="inlineStr"/>
      <c r="C140" t="inlineStr"/>
      <c r="D140" t="inlineStr"/>
    </row>
    <row r="141">
      <c r="A141" t="inlineStr">
        <is>
          <t>No</t>
        </is>
      </c>
      <c r="B141" t="inlineStr"/>
      <c r="C141" t="inlineStr">
        <is>
          <t>Cost</t>
        </is>
      </c>
      <c r="D141" t="inlineStr"/>
    </row>
    <row r="142">
      <c r="A142" t="inlineStr">
        <is>
          <t>No</t>
        </is>
      </c>
      <c r="B142" t="inlineStr"/>
      <c r="C142" t="inlineStr">
        <is>
          <t>my child</t>
        </is>
      </c>
      <c r="D142" t="inlineStr"/>
    </row>
    <row r="143">
      <c r="A143" t="inlineStr">
        <is>
          <t>No</t>
        </is>
      </c>
      <c r="B143" t="inlineStr"/>
      <c r="C143" t="inlineStr">
        <is>
          <t xml:space="preserve">I have 6 younger children at home </t>
        </is>
      </c>
      <c r="D143" t="inlineStr"/>
    </row>
    <row r="144">
      <c r="A144" t="inlineStr">
        <is>
          <t>No</t>
        </is>
      </c>
      <c r="B144" t="inlineStr"/>
      <c r="C144" t="inlineStr">
        <is>
          <t>Cost</t>
        </is>
      </c>
      <c r="D144" t="inlineStr"/>
    </row>
    <row r="145">
      <c r="A145" t="inlineStr">
        <is>
          <t>No</t>
        </is>
      </c>
      <c r="B145" t="inlineStr"/>
      <c r="C145" t="inlineStr">
        <is>
          <t xml:space="preserve">Daughter wanted to go alone. </t>
        </is>
      </c>
      <c r="D145" t="inlineStr"/>
    </row>
    <row r="146">
      <c r="A146" t="inlineStr">
        <is>
          <t>Yes</t>
        </is>
      </c>
      <c r="B146" t="inlineStr">
        <is>
          <t>I’m impressed by the HXP program and know we’ll be in good hands.</t>
        </is>
      </c>
      <c r="C146" t="inlineStr"/>
      <c r="D146" t="inlineStr"/>
    </row>
    <row r="147">
      <c r="A147" t="inlineStr">
        <is>
          <t>No</t>
        </is>
      </c>
      <c r="B147" t="inlineStr"/>
      <c r="C147" t="inlineStr">
        <is>
          <t>My child wouldn't want me there</t>
        </is>
      </c>
      <c r="D147" t="inlineStr"/>
    </row>
    <row r="148">
      <c r="A148" t="inlineStr">
        <is>
          <t>No</t>
        </is>
      </c>
      <c r="B148" t="inlineStr"/>
      <c r="C148" t="inlineStr">
        <is>
          <t>My kids. They didn't want me to go. They wanted to experience it themselves without me getting a birds eye view.</t>
        </is>
      </c>
      <c r="D148" t="inlineStr"/>
    </row>
    <row r="149">
      <c r="A149" t="inlineStr">
        <is>
          <t>No</t>
        </is>
      </c>
      <c r="B149" t="inlineStr"/>
      <c r="C149" t="inlineStr">
        <is>
          <t>Money and time</t>
        </is>
      </c>
      <c r="D149" t="inlineStr"/>
    </row>
    <row r="150">
      <c r="A150" t="inlineStr">
        <is>
          <t>No</t>
        </is>
      </c>
      <c r="B150" t="inlineStr"/>
      <c r="C150" t="inlineStr">
        <is>
          <t>Our daughter didn’t want us to go with her =)</t>
        </is>
      </c>
      <c r="D150" t="inlineStr"/>
    </row>
    <row r="151">
      <c r="A151" t="inlineStr">
        <is>
          <t>No</t>
        </is>
      </c>
      <c r="B151" t="inlineStr"/>
      <c r="C151" t="inlineStr">
        <is>
          <t>schedule with work</t>
        </is>
      </c>
      <c r="D151" t="inlineStr"/>
    </row>
    <row r="152">
      <c r="A152" t="inlineStr">
        <is>
          <t>No</t>
        </is>
      </c>
      <c r="B152" t="inlineStr"/>
      <c r="C152" t="inlineStr">
        <is>
          <t xml:space="preserve">Other obligations at home </t>
        </is>
      </c>
      <c r="D152" t="inlineStr"/>
    </row>
    <row r="153">
      <c r="A153" t="inlineStr">
        <is>
          <t>No</t>
        </is>
      </c>
      <c r="B153" t="inlineStr"/>
      <c r="C153" t="inlineStr">
        <is>
          <t>Health issues, other children at home</t>
        </is>
      </c>
      <c r="D153" t="inlineStr"/>
    </row>
    <row r="154">
      <c r="A154" t="inlineStr">
        <is>
          <t>No</t>
        </is>
      </c>
      <c r="B154" t="inlineStr"/>
      <c r="C154" t="inlineStr">
        <is>
          <t>Time and $ and expired passport</t>
        </is>
      </c>
      <c r="D154" t="inlineStr"/>
    </row>
    <row r="155">
      <c r="A155" t="inlineStr">
        <is>
          <t>No</t>
        </is>
      </c>
      <c r="B155" t="inlineStr"/>
      <c r="C155" t="inlineStr">
        <is>
          <t>Time</t>
        </is>
      </c>
      <c r="D155" t="inlineStr"/>
    </row>
    <row r="156">
      <c r="A156" t="inlineStr">
        <is>
          <t>No</t>
        </is>
      </c>
      <c r="B156" t="inlineStr"/>
      <c r="C156" t="inlineStr">
        <is>
          <t>We think it would be great for our son to go without one of us.  My older son went last year with my husband.</t>
        </is>
      </c>
      <c r="D156" t="inlineStr"/>
    </row>
    <row r="157">
      <c r="A157" t="inlineStr">
        <is>
          <t>No</t>
        </is>
      </c>
      <c r="B157" t="inlineStr"/>
      <c r="C157" t="inlineStr">
        <is>
          <t>Cost</t>
        </is>
      </c>
      <c r="D157" t="inlineStr"/>
    </row>
    <row r="158">
      <c r="A158" t="inlineStr">
        <is>
          <t>No</t>
        </is>
      </c>
      <c r="B158" t="inlineStr"/>
      <c r="C158" t="inlineStr">
        <is>
          <t>I'm deaf and I believe it would be difficult to communicate with the group.</t>
        </is>
      </c>
      <c r="D158" t="inlineStr"/>
    </row>
    <row r="159">
      <c r="A159" t="inlineStr">
        <is>
          <t>No</t>
        </is>
      </c>
      <c r="B159" t="inlineStr"/>
      <c r="C159" t="inlineStr"/>
      <c r="D159" t="inlineStr"/>
    </row>
    <row r="160">
      <c r="A160" t="inlineStr">
        <is>
          <t>No</t>
        </is>
      </c>
      <c r="B160" t="inlineStr"/>
      <c r="C160" t="inlineStr">
        <is>
          <t>Work obligations</t>
        </is>
      </c>
      <c r="D160" t="inlineStr"/>
    </row>
    <row r="161">
      <c r="A161" t="inlineStr"/>
      <c r="B161" t="inlineStr"/>
      <c r="C161" t="inlineStr"/>
      <c r="D161" t="inlineStr"/>
    </row>
    <row r="162">
      <c r="A162" t="inlineStr">
        <is>
          <t>No</t>
        </is>
      </c>
      <c r="B162" t="inlineStr"/>
      <c r="C162" t="inlineStr">
        <is>
          <t xml:space="preserve">Can’t make it. </t>
        </is>
      </c>
      <c r="D162" t="inlineStr"/>
    </row>
    <row r="163">
      <c r="A163" t="inlineStr">
        <is>
          <t>No</t>
        </is>
      </c>
      <c r="B163" t="inlineStr"/>
      <c r="C163" t="inlineStr">
        <is>
          <t>Time demands</t>
        </is>
      </c>
      <c r="D163" t="inlineStr"/>
    </row>
    <row r="164">
      <c r="A164" t="inlineStr">
        <is>
          <t>No</t>
        </is>
      </c>
      <c r="B164" t="inlineStr"/>
      <c r="C164" t="inlineStr">
        <is>
          <t xml:space="preserve">Money </t>
        </is>
      </c>
      <c r="D164" t="inlineStr"/>
    </row>
    <row r="165">
      <c r="A165" t="inlineStr">
        <is>
          <t>No</t>
        </is>
      </c>
      <c r="B165" t="inlineStr"/>
      <c r="C165" t="inlineStr">
        <is>
          <t>My son did not want me to go with him</t>
        </is>
      </c>
      <c r="D165" t="inlineStr"/>
    </row>
    <row r="166">
      <c r="A166" t="inlineStr">
        <is>
          <t>Yes</t>
        </is>
      </c>
      <c r="B166" t="inlineStr"/>
      <c r="C166" t="inlineStr"/>
      <c r="D166" t="inlineStr"/>
    </row>
    <row r="167">
      <c r="A167" t="inlineStr">
        <is>
          <t>No</t>
        </is>
      </c>
      <c r="B167" t="inlineStr"/>
      <c r="C167" t="inlineStr"/>
      <c r="D167" t="inlineStr"/>
    </row>
    <row r="168">
      <c r="A168" t="inlineStr">
        <is>
          <t>No</t>
        </is>
      </c>
      <c r="B168" t="inlineStr"/>
      <c r="C168" t="inlineStr">
        <is>
          <t>Work</t>
        </is>
      </c>
      <c r="D168" t="inlineStr"/>
    </row>
    <row r="169">
      <c r="A169" t="inlineStr">
        <is>
          <t>No</t>
        </is>
      </c>
      <c r="B169" t="inlineStr"/>
      <c r="C169" t="inlineStr">
        <is>
          <t>I have young children at home</t>
        </is>
      </c>
      <c r="D169" t="inlineStr"/>
    </row>
    <row r="170">
      <c r="A170" t="inlineStr">
        <is>
          <t>No</t>
        </is>
      </c>
      <c r="B170" t="inlineStr"/>
      <c r="C170" t="inlineStr">
        <is>
          <t>Too many other kids at home that I can't leave</t>
        </is>
      </c>
      <c r="D170" t="inlineStr"/>
    </row>
    <row r="171">
      <c r="A171" t="inlineStr">
        <is>
          <t>No</t>
        </is>
      </c>
      <c r="B171" t="inlineStr"/>
      <c r="C171" t="inlineStr">
        <is>
          <t>Let my daughter have her own experience with me</t>
        </is>
      </c>
      <c r="D171" t="inlineStr"/>
    </row>
    <row r="172">
      <c r="A172" t="inlineStr">
        <is>
          <t>No</t>
        </is>
      </c>
      <c r="B172" t="inlineStr"/>
      <c r="C172" t="inlineStr">
        <is>
          <t>My son did not want me to go</t>
        </is>
      </c>
      <c r="D172" t="inlineStr"/>
    </row>
    <row r="173">
      <c r="A173" t="inlineStr">
        <is>
          <t>No</t>
        </is>
      </c>
      <c r="B173" t="inlineStr"/>
      <c r="C173" t="inlineStr">
        <is>
          <t xml:space="preserve">Cost and I already went with another child </t>
        </is>
      </c>
      <c r="D173" t="inlineStr"/>
    </row>
    <row r="174">
      <c r="A174" t="inlineStr">
        <is>
          <t>No</t>
        </is>
      </c>
      <c r="B174" t="inlineStr"/>
      <c r="C174" t="inlineStr">
        <is>
          <t xml:space="preserve">Cost </t>
        </is>
      </c>
      <c r="D174" t="inlineStr"/>
    </row>
    <row r="175">
      <c r="A175" t="inlineStr">
        <is>
          <t>No</t>
        </is>
      </c>
      <c r="B175" t="inlineStr"/>
      <c r="C175" t="inlineStr">
        <is>
          <t>too expensive to pay for my child and myself. I also think this is a great opportunity for her to do this on her own.</t>
        </is>
      </c>
      <c r="D175" t="inlineStr"/>
    </row>
    <row r="176">
      <c r="A176" t="inlineStr">
        <is>
          <t>No</t>
        </is>
      </c>
      <c r="B176" t="inlineStr"/>
      <c r="C176" t="inlineStr">
        <is>
          <t xml:space="preserve">Other obligations this year, but I hope to go in the future! </t>
        </is>
      </c>
      <c r="D176" t="inlineStr"/>
    </row>
    <row r="177">
      <c r="A177" t="inlineStr">
        <is>
          <t>No</t>
        </is>
      </c>
      <c r="B177" t="inlineStr"/>
      <c r="C177" t="inlineStr">
        <is>
          <t>I want my daughter to have an independent experience.</t>
        </is>
      </c>
      <c r="D177" t="inlineStr"/>
    </row>
    <row r="178">
      <c r="A178" t="inlineStr">
        <is>
          <t>No</t>
        </is>
      </c>
      <c r="B178" t="inlineStr"/>
      <c r="C178" t="inlineStr">
        <is>
          <t>I can't leave my other children.</t>
        </is>
      </c>
      <c r="D178" t="inlineStr"/>
    </row>
    <row r="179">
      <c r="A179" t="inlineStr">
        <is>
          <t>Maybe</t>
        </is>
      </c>
      <c r="B179" t="inlineStr"/>
      <c r="C179" t="inlineStr"/>
      <c r="D179" t="inlineStr">
        <is>
          <t>This year my son wanted to go alone.  But on our way to drop him off at LAX for Fiji Nadi 1, he asked if I would go with him on a trip next year.  I'm surprised he wanted me to go!  So I'll definitely consider it for next year.</t>
        </is>
      </c>
    </row>
    <row r="180">
      <c r="A180" t="inlineStr">
        <is>
          <t>No</t>
        </is>
      </c>
      <c r="B180" t="inlineStr"/>
      <c r="C180" t="inlineStr">
        <is>
          <t xml:space="preserve">I’m not adventurous enough. I don’t do well being away from home for that long. Also I want my child to have their own experience without me there. </t>
        </is>
      </c>
      <c r="D180" t="inlineStr"/>
    </row>
    <row r="181">
      <c r="A181" t="inlineStr">
        <is>
          <t>No</t>
        </is>
      </c>
      <c r="B181" t="inlineStr"/>
      <c r="C181" t="inlineStr">
        <is>
          <t>Expense</t>
        </is>
      </c>
      <c r="D181" t="inlineStr"/>
    </row>
    <row r="182">
      <c r="A182" t="inlineStr">
        <is>
          <t>No</t>
        </is>
      </c>
      <c r="B182" t="inlineStr"/>
      <c r="C182" t="inlineStr">
        <is>
          <t>Too busy with other kids</t>
        </is>
      </c>
      <c r="D182" t="inlineStr"/>
    </row>
    <row r="183">
      <c r="A183" t="inlineStr">
        <is>
          <t>No</t>
        </is>
      </c>
      <c r="B183" t="inlineStr"/>
      <c r="C183" t="inlineStr">
        <is>
          <t>Son didn't want me to!</t>
        </is>
      </c>
      <c r="D183" t="inlineStr"/>
    </row>
    <row r="184">
      <c r="A184" t="inlineStr">
        <is>
          <t>No</t>
        </is>
      </c>
      <c r="B184" t="inlineStr"/>
      <c r="C184" t="inlineStr">
        <is>
          <t>Work commitments</t>
        </is>
      </c>
      <c r="D184" t="inlineStr"/>
    </row>
    <row r="185">
      <c r="A185" t="inlineStr">
        <is>
          <t>No</t>
        </is>
      </c>
      <c r="B185" t="inlineStr"/>
      <c r="C185" t="inlineStr">
        <is>
          <t>I think it would be better for my daughter to be on her own experiencing this!</t>
        </is>
      </c>
      <c r="D185" t="inlineStr"/>
    </row>
    <row r="186">
      <c r="A186" t="inlineStr">
        <is>
          <t>No</t>
        </is>
      </c>
      <c r="B186" t="inlineStr"/>
      <c r="C186" t="inlineStr">
        <is>
          <t>son wanted to see how he could do being away from us in preparing for leaving on a mission next summer.</t>
        </is>
      </c>
      <c r="D186" t="inlineStr"/>
    </row>
    <row r="187">
      <c r="A187" t="inlineStr">
        <is>
          <t>Maybe</t>
        </is>
      </c>
      <c r="B187" t="inlineStr"/>
      <c r="C187" t="inlineStr"/>
      <c r="D187" t="inlineStr"/>
    </row>
    <row r="188">
      <c r="A188" t="inlineStr">
        <is>
          <t>No</t>
        </is>
      </c>
      <c r="B188" t="inlineStr"/>
      <c r="C188" t="inlineStr">
        <is>
          <t>Too many thing going on at home, and cost.</t>
        </is>
      </c>
      <c r="D188" t="inlineStr"/>
    </row>
    <row r="189">
      <c r="A189" t="inlineStr">
        <is>
          <t>No</t>
        </is>
      </c>
      <c r="B189" t="inlineStr"/>
      <c r="C189" t="inlineStr">
        <is>
          <t>I attended as a parent builder with my daughter in Malawi 2022. We absolutely loved it. My son wanted to go on a trip independently this time. I hope to go again sometime!</t>
        </is>
      </c>
      <c r="D189" t="inlineStr"/>
    </row>
    <row r="190">
      <c r="A190" t="inlineStr">
        <is>
          <t>No</t>
        </is>
      </c>
      <c r="B190" t="inlineStr"/>
      <c r="C190" t="inlineStr">
        <is>
          <t>my son didn't ask me to go</t>
        </is>
      </c>
      <c r="D190" t="inlineStr"/>
    </row>
    <row r="191">
      <c r="A191" t="inlineStr">
        <is>
          <t>No</t>
        </is>
      </c>
      <c r="B191" t="inlineStr"/>
      <c r="C191" t="inlineStr">
        <is>
          <t>More kids at home.</t>
        </is>
      </c>
      <c r="D191" t="inlineStr"/>
    </row>
    <row r="192">
      <c r="A192" t="inlineStr">
        <is>
          <t>No</t>
        </is>
      </c>
      <c r="B192" t="inlineStr"/>
      <c r="C192" t="inlineStr">
        <is>
          <t>we wanted our child to be able to enjloy this experience on her own without us  - we feel that she will have a much better experience being able to go and meet new people and feel independent of parental influence</t>
        </is>
      </c>
      <c r="D192" t="inlineStr"/>
    </row>
    <row r="193">
      <c r="A193" t="inlineStr">
        <is>
          <t>No</t>
        </is>
      </c>
      <c r="B193" t="inlineStr"/>
      <c r="C193" t="inlineStr">
        <is>
          <t>Money and time</t>
        </is>
      </c>
      <c r="D193" t="inlineStr"/>
    </row>
    <row r="194">
      <c r="A194" t="inlineStr">
        <is>
          <t>No</t>
        </is>
      </c>
      <c r="B194" t="inlineStr"/>
      <c r="C194" t="inlineStr"/>
      <c r="D194" t="inlineStr"/>
    </row>
    <row r="195">
      <c r="A195" t="inlineStr">
        <is>
          <t>No</t>
        </is>
      </c>
      <c r="B195" t="inlineStr"/>
      <c r="C195" t="inlineStr">
        <is>
          <t xml:space="preserve">I have other children at home and it is too long to leave them. My so. Also wanted an experience just for himself. </t>
        </is>
      </c>
      <c r="D195" t="inlineStr"/>
    </row>
    <row r="196">
      <c r="A196" t="inlineStr">
        <is>
          <t>No</t>
        </is>
      </c>
      <c r="B196" t="inlineStr"/>
      <c r="C196" t="inlineStr">
        <is>
          <t xml:space="preserve">I wanted my daughter to have this experience on her own before she moves out of state for college in the fall. Trying her first time away from home this long in preparation for moving out of state. We will miss her greatly. </t>
        </is>
      </c>
      <c r="D196" t="inlineStr"/>
    </row>
    <row r="197">
      <c r="A197" t="inlineStr">
        <is>
          <t>No</t>
        </is>
      </c>
      <c r="B197" t="inlineStr"/>
      <c r="C197" t="inlineStr">
        <is>
          <t>Cost.</t>
        </is>
      </c>
      <c r="D197" t="inlineStr"/>
    </row>
    <row r="198">
      <c r="A198" t="inlineStr">
        <is>
          <t>Yes</t>
        </is>
      </c>
      <c r="B198" t="inlineStr">
        <is>
          <t xml:space="preserve">Someone at hxp and my daughter </t>
        </is>
      </c>
      <c r="C198" t="inlineStr"/>
      <c r="D198" t="inlineStr"/>
    </row>
    <row r="199">
      <c r="A199" t="inlineStr">
        <is>
          <t>No</t>
        </is>
      </c>
      <c r="B199" t="inlineStr"/>
      <c r="C199" t="inlineStr">
        <is>
          <t>Time</t>
        </is>
      </c>
      <c r="D199" t="inlineStr"/>
    </row>
    <row r="200">
      <c r="A200" t="inlineStr">
        <is>
          <t>No</t>
        </is>
      </c>
      <c r="B200" t="inlineStr"/>
      <c r="C200" t="inlineStr">
        <is>
          <t xml:space="preserve">Cost </t>
        </is>
      </c>
      <c r="D200" t="inlineStr"/>
    </row>
    <row r="201">
      <c r="A201" t="inlineStr">
        <is>
          <t>No</t>
        </is>
      </c>
      <c r="B201" t="inlineStr"/>
      <c r="C201" t="inlineStr">
        <is>
          <t xml:space="preserve">I have other children at home to care for. Also, the cost is too high for me to go as well. </t>
        </is>
      </c>
      <c r="D201" t="inlineStr"/>
    </row>
    <row r="202">
      <c r="A202" t="inlineStr">
        <is>
          <t>No</t>
        </is>
      </c>
      <c r="B202" t="inlineStr"/>
      <c r="C202" t="inlineStr">
        <is>
          <t xml:space="preserve">Our girls (we have 2 going) needed to push themselves out of their comfort zones &amp; we thought that that would not happen if we were there. They would hold back getting to know others &amp; just stick closer to us. </t>
        </is>
      </c>
      <c r="D202" t="inlineStr"/>
    </row>
    <row r="203">
      <c r="A203" t="inlineStr">
        <is>
          <t>No</t>
        </is>
      </c>
      <c r="B203" t="inlineStr"/>
      <c r="C203" t="inlineStr"/>
      <c r="D203" t="inlineStr"/>
    </row>
    <row r="204">
      <c r="A204" t="inlineStr">
        <is>
          <t>No</t>
        </is>
      </c>
      <c r="B204" t="inlineStr"/>
      <c r="C204" t="inlineStr">
        <is>
          <t>My child</t>
        </is>
      </c>
      <c r="D204" t="inlineStr"/>
    </row>
    <row r="205">
      <c r="A205" t="inlineStr">
        <is>
          <t>No</t>
        </is>
      </c>
      <c r="B205" t="inlineStr"/>
      <c r="C205" t="inlineStr">
        <is>
          <t>My child didn’t really want me to go</t>
        </is>
      </c>
      <c r="D205" t="inlineStr"/>
    </row>
    <row r="206">
      <c r="A206" t="inlineStr">
        <is>
          <t>No</t>
        </is>
      </c>
      <c r="B206" t="inlineStr"/>
      <c r="C206" t="inlineStr">
        <is>
          <t>I have other kids at home I need to be here for</t>
        </is>
      </c>
      <c r="D206" t="inlineStr"/>
    </row>
    <row r="207">
      <c r="A207" t="inlineStr">
        <is>
          <t>No</t>
        </is>
      </c>
      <c r="B207" t="inlineStr"/>
      <c r="C207" t="inlineStr">
        <is>
          <t>Time of year</t>
        </is>
      </c>
      <c r="D207" t="inlineStr"/>
    </row>
    <row r="208">
      <c r="A208" t="inlineStr">
        <is>
          <t>No</t>
        </is>
      </c>
      <c r="B208" t="inlineStr"/>
      <c r="C208" t="inlineStr"/>
      <c r="D208" t="inlineStr"/>
    </row>
    <row r="209">
      <c r="A209" t="inlineStr">
        <is>
          <t>No</t>
        </is>
      </c>
      <c r="B209" t="inlineStr"/>
      <c r="C209" t="inlineStr">
        <is>
          <t>I have younger kids at home that need me.</t>
        </is>
      </c>
      <c r="D209" t="inlineStr"/>
    </row>
    <row r="210">
      <c r="A210" t="inlineStr">
        <is>
          <t>No</t>
        </is>
      </c>
      <c r="B210" t="inlineStr"/>
      <c r="C210" t="inlineStr">
        <is>
          <t>Physical limitations</t>
        </is>
      </c>
      <c r="D210" t="inlineStr"/>
    </row>
    <row r="211">
      <c r="A211" t="inlineStr">
        <is>
          <t>Yes</t>
        </is>
      </c>
      <c r="B211" t="inlineStr">
        <is>
          <t>Love HXP and what they offer</t>
        </is>
      </c>
      <c r="C211" t="inlineStr"/>
      <c r="D211" t="inlineStr"/>
    </row>
    <row r="212">
      <c r="A212" t="inlineStr">
        <is>
          <t>No</t>
        </is>
      </c>
      <c r="B212" t="inlineStr"/>
      <c r="C212" t="inlineStr"/>
      <c r="D212" t="inlineStr"/>
    </row>
    <row r="213">
      <c r="A213" t="inlineStr">
        <is>
          <t>No</t>
        </is>
      </c>
      <c r="B213" t="inlineStr"/>
      <c r="C213" t="inlineStr">
        <is>
          <t xml:space="preserve">My child wanted to go without a parent. </t>
        </is>
      </c>
      <c r="D213" t="inlineStr"/>
    </row>
    <row r="214">
      <c r="A214" t="inlineStr">
        <is>
          <t>No</t>
        </is>
      </c>
      <c r="B214" t="inlineStr"/>
      <c r="C214" t="inlineStr">
        <is>
          <t xml:space="preserve">Time constraints with working </t>
        </is>
      </c>
      <c r="D214" t="inlineStr"/>
    </row>
    <row r="215">
      <c r="A215" t="inlineStr">
        <is>
          <t>No</t>
        </is>
      </c>
      <c r="B215" t="inlineStr"/>
      <c r="C215" t="inlineStr">
        <is>
          <t>Money</t>
        </is>
      </c>
      <c r="D215" t="inlineStr"/>
    </row>
    <row r="216">
      <c r="A216" t="inlineStr">
        <is>
          <t>No</t>
        </is>
      </c>
      <c r="B216" t="inlineStr"/>
      <c r="C216" t="inlineStr">
        <is>
          <t>Younger kids at home</t>
        </is>
      </c>
      <c r="D216" t="inlineStr"/>
    </row>
    <row r="217">
      <c r="A217" t="inlineStr">
        <is>
          <t>No</t>
        </is>
      </c>
      <c r="B217" t="inlineStr"/>
      <c r="C217" t="inlineStr"/>
      <c r="D217" t="inlineStr"/>
    </row>
    <row r="218">
      <c r="A218" t="inlineStr">
        <is>
          <t>No</t>
        </is>
      </c>
      <c r="B218" t="inlineStr"/>
      <c r="C218" t="inlineStr">
        <is>
          <t>time commitment</t>
        </is>
      </c>
      <c r="D218" t="inlineStr"/>
    </row>
    <row r="219">
      <c r="A219" t="inlineStr">
        <is>
          <t>No</t>
        </is>
      </c>
      <c r="B219" t="inlineStr"/>
      <c r="C219" t="inlineStr">
        <is>
          <t>Our daughter really wanted to go on her own, after reading on the website why it’s good to go without friends. She decided without a parent would be good too. Haha!</t>
        </is>
      </c>
      <c r="D219" t="inlineStr"/>
    </row>
    <row r="220">
      <c r="A220" t="inlineStr">
        <is>
          <t>Yes</t>
        </is>
      </c>
      <c r="B220" t="inlineStr">
        <is>
          <t>spending time with my son</t>
        </is>
      </c>
      <c r="C220" t="inlineStr"/>
      <c r="D220" t="inlineStr"/>
    </row>
    <row r="221">
      <c r="A221" t="inlineStr">
        <is>
          <t>No</t>
        </is>
      </c>
      <c r="B221" t="inlineStr"/>
      <c r="C221" t="inlineStr">
        <is>
          <t xml:space="preserve">Other children and church calling. </t>
        </is>
      </c>
      <c r="D221" t="inlineStr"/>
    </row>
    <row r="222">
      <c r="A222" t="inlineStr">
        <is>
          <t>No</t>
        </is>
      </c>
      <c r="B222" t="inlineStr"/>
      <c r="C222" t="inlineStr">
        <is>
          <t>Mostly because it is a trip my kids want to do with out us. And it’s expensive</t>
        </is>
      </c>
      <c r="D222" t="inlineStr"/>
    </row>
    <row r="223">
      <c r="A223" t="inlineStr">
        <is>
          <t>No</t>
        </is>
      </c>
      <c r="B223" t="inlineStr"/>
      <c r="C223" t="inlineStr">
        <is>
          <t>Work schedule</t>
        </is>
      </c>
      <c r="D223" t="inlineStr"/>
    </row>
    <row r="224">
      <c r="A224" t="inlineStr">
        <is>
          <t>No</t>
        </is>
      </c>
      <c r="B224" t="inlineStr"/>
      <c r="C224" t="inlineStr">
        <is>
          <t>It was full</t>
        </is>
      </c>
      <c r="D224" t="inlineStr"/>
    </row>
    <row r="225">
      <c r="A225" t="inlineStr">
        <is>
          <t>No</t>
        </is>
      </c>
      <c r="B225" t="inlineStr"/>
      <c r="C225" t="inlineStr">
        <is>
          <t xml:space="preserve">Not a huge fan of traveling. </t>
        </is>
      </c>
      <c r="D225" t="inlineStr"/>
    </row>
    <row r="226">
      <c r="A226" t="inlineStr">
        <is>
          <t>No</t>
        </is>
      </c>
      <c r="B226" t="inlineStr"/>
      <c r="C226" t="inlineStr">
        <is>
          <t>Cost &amp; time committment</t>
        </is>
      </c>
      <c r="D226" t="inlineStr"/>
    </row>
    <row r="227">
      <c r="A227" t="inlineStr">
        <is>
          <t>No</t>
        </is>
      </c>
      <c r="B227" t="inlineStr"/>
      <c r="C227" t="inlineStr"/>
      <c r="D227" t="inlineStr"/>
    </row>
    <row r="228">
      <c r="A228" t="inlineStr">
        <is>
          <t>No</t>
        </is>
      </c>
      <c r="B228" t="inlineStr"/>
      <c r="C228" t="inlineStr">
        <is>
          <t xml:space="preserve">Money </t>
        </is>
      </c>
      <c r="D228" t="inlineStr"/>
    </row>
    <row r="229">
      <c r="A229" t="inlineStr">
        <is>
          <t>No</t>
        </is>
      </c>
      <c r="B229" t="inlineStr"/>
      <c r="C229" t="inlineStr">
        <is>
          <t>I have other small kids so it's not feasible at this time</t>
        </is>
      </c>
      <c r="D229" t="inlineStr"/>
    </row>
    <row r="230">
      <c r="A230" t="inlineStr">
        <is>
          <t>No</t>
        </is>
      </c>
      <c r="B230" t="inlineStr"/>
      <c r="C230" t="inlineStr"/>
      <c r="D230" t="inlineStr"/>
    </row>
    <row r="231">
      <c r="A231" t="inlineStr">
        <is>
          <t>No</t>
        </is>
      </c>
      <c r="B231" t="inlineStr"/>
      <c r="C231" t="inlineStr">
        <is>
          <t>I want my kids to have an experience without their own parents there.</t>
        </is>
      </c>
      <c r="D231" t="inlineStr"/>
    </row>
    <row r="232">
      <c r="A232" t="inlineStr">
        <is>
          <t>No</t>
        </is>
      </c>
      <c r="B232" t="inlineStr"/>
      <c r="C232" t="inlineStr">
        <is>
          <t xml:space="preserve">Got asked last minute and had other travel plans </t>
        </is>
      </c>
      <c r="D232" t="inlineStr"/>
    </row>
    <row r="233">
      <c r="A233" t="inlineStr">
        <is>
          <t>No</t>
        </is>
      </c>
      <c r="B233" t="inlineStr"/>
      <c r="C233" t="inlineStr">
        <is>
          <t>My son didn't want me to. He wanted his own experience. 🤣</t>
        </is>
      </c>
      <c r="D233" t="inlineStr"/>
    </row>
    <row r="234">
      <c r="A234" t="inlineStr">
        <is>
          <t>Yes</t>
        </is>
      </c>
      <c r="B234" t="inlineStr">
        <is>
          <t xml:space="preserve">Having this experience to share with my daughter </t>
        </is>
      </c>
      <c r="C234" t="inlineStr"/>
      <c r="D234" t="inlineStr"/>
    </row>
    <row r="235">
      <c r="A235" t="inlineStr">
        <is>
          <t>No</t>
        </is>
      </c>
      <c r="B235" t="inlineStr"/>
      <c r="C235" t="inlineStr">
        <is>
          <t>My son's independece</t>
        </is>
      </c>
      <c r="D235" t="inlineStr"/>
    </row>
    <row r="236">
      <c r="A236" t="inlineStr">
        <is>
          <t>No</t>
        </is>
      </c>
      <c r="B236" t="inlineStr"/>
      <c r="C236" t="inlineStr">
        <is>
          <t>Time</t>
        </is>
      </c>
      <c r="D236" t="inlineStr"/>
    </row>
    <row r="237">
      <c r="A237" t="inlineStr">
        <is>
          <t>Yes</t>
        </is>
      </c>
      <c r="B237" t="inlineStr">
        <is>
          <t>Previous children went on HXP</t>
        </is>
      </c>
      <c r="C237" t="inlineStr"/>
      <c r="D237" t="inlineStr"/>
    </row>
    <row r="238">
      <c r="A238" t="inlineStr">
        <is>
          <t>No</t>
        </is>
      </c>
      <c r="B238" t="inlineStr"/>
      <c r="C238" t="inlineStr">
        <is>
          <t>Children at home.</t>
        </is>
      </c>
      <c r="D238" t="inlineStr"/>
    </row>
    <row r="239">
      <c r="A239" t="inlineStr">
        <is>
          <t>No</t>
        </is>
      </c>
      <c r="B239" t="inlineStr"/>
      <c r="C239" t="inlineStr">
        <is>
          <t xml:space="preserve">I’ve done it before and it was awesome. But I can’t afford it. </t>
        </is>
      </c>
      <c r="D239" t="inlineStr"/>
    </row>
    <row r="240">
      <c r="A240" t="inlineStr">
        <is>
          <t>No</t>
        </is>
      </c>
      <c r="B240" t="inlineStr"/>
      <c r="C240" t="inlineStr">
        <is>
          <t>You her son at home</t>
        </is>
      </c>
      <c r="D240" t="inlineStr"/>
    </row>
    <row r="241">
      <c r="A241" t="inlineStr">
        <is>
          <t>Yes</t>
        </is>
      </c>
      <c r="B241" t="inlineStr">
        <is>
          <t>Daughter/cause</t>
        </is>
      </c>
      <c r="C241" t="inlineStr"/>
      <c r="D241" t="inlineStr"/>
    </row>
    <row r="242">
      <c r="A242" t="inlineStr">
        <is>
          <t>No</t>
        </is>
      </c>
      <c r="B242" t="inlineStr"/>
      <c r="C242" t="inlineStr">
        <is>
          <t>Cost</t>
        </is>
      </c>
      <c r="D242" t="inlineStr"/>
    </row>
    <row r="243">
      <c r="A243" t="inlineStr">
        <is>
          <t>No</t>
        </is>
      </c>
      <c r="B243" t="inlineStr"/>
      <c r="C243" t="inlineStr">
        <is>
          <t xml:space="preserve">Time </t>
        </is>
      </c>
      <c r="D243" t="inlineStr"/>
    </row>
    <row r="244">
      <c r="A244" t="inlineStr">
        <is>
          <t>No</t>
        </is>
      </c>
      <c r="B244" t="inlineStr"/>
      <c r="C244" t="inlineStr">
        <is>
          <t>Let me child go alone</t>
        </is>
      </c>
      <c r="D244" t="inlineStr"/>
    </row>
    <row r="245">
      <c r="A245" t="inlineStr">
        <is>
          <t>No</t>
        </is>
      </c>
      <c r="B245" t="inlineStr"/>
      <c r="C245" t="inlineStr">
        <is>
          <t xml:space="preserve">Location </t>
        </is>
      </c>
      <c r="D245" t="inlineStr"/>
    </row>
    <row r="246">
      <c r="A246" t="inlineStr">
        <is>
          <t>No</t>
        </is>
      </c>
      <c r="B246" t="inlineStr"/>
      <c r="C246" t="inlineStr">
        <is>
          <t>Our daughter didn't want a parent to go</t>
        </is>
      </c>
      <c r="D246" t="inlineStr"/>
    </row>
    <row r="247">
      <c r="A247" t="inlineStr">
        <is>
          <t>No</t>
        </is>
      </c>
      <c r="B247" t="inlineStr"/>
      <c r="C247" t="inlineStr">
        <is>
          <t xml:space="preserve">Time away from family and cost </t>
        </is>
      </c>
      <c r="D247" t="inlineStr"/>
    </row>
    <row r="248">
      <c r="A248" t="inlineStr">
        <is>
          <t>No</t>
        </is>
      </c>
      <c r="B248" t="inlineStr"/>
      <c r="C248" t="inlineStr">
        <is>
          <t>Time</t>
        </is>
      </c>
      <c r="D248" t="inlineStr"/>
    </row>
    <row r="249">
      <c r="A249" t="inlineStr">
        <is>
          <t>Yes</t>
        </is>
      </c>
      <c r="B249" t="inlineStr">
        <is>
          <t>went a few years ago with another daughter and loved it.  wanted it again for this child</t>
        </is>
      </c>
      <c r="C249" t="inlineStr"/>
      <c r="D249" t="inlineStr"/>
    </row>
    <row r="250">
      <c r="A250" t="inlineStr">
        <is>
          <t>No</t>
        </is>
      </c>
      <c r="B250" t="inlineStr"/>
      <c r="C250" t="inlineStr">
        <is>
          <t>My granddaughter went to Thailand last year so we wanted Drake to have the experience too.</t>
        </is>
      </c>
      <c r="D250" t="inlineStr"/>
    </row>
    <row r="251">
      <c r="A251" t="inlineStr">
        <is>
          <t>Yes</t>
        </is>
      </c>
      <c r="B251" t="inlineStr">
        <is>
          <t xml:space="preserve">My daughter, and my sister-in-law went as a parent builder last year. </t>
        </is>
      </c>
      <c r="C251" t="inlineStr"/>
      <c r="D251" t="inlineStr"/>
    </row>
    <row r="252">
      <c r="A252" t="inlineStr">
        <is>
          <t>Yes</t>
        </is>
      </c>
      <c r="B252" t="inlineStr">
        <is>
          <t>Knowing past parent builders, chance to spend time with my daughter (busy/demanding job) and a chance to return to my mission</t>
        </is>
      </c>
      <c r="C252" t="inlineStr"/>
      <c r="D252" t="inlineStr"/>
    </row>
    <row r="253">
      <c r="A253" t="inlineStr">
        <is>
          <t>No</t>
        </is>
      </c>
      <c r="B253" t="inlineStr"/>
      <c r="C253" t="inlineStr"/>
      <c r="D253" t="inlineStr"/>
    </row>
    <row r="254">
      <c r="A254" t="inlineStr">
        <is>
          <t>No</t>
        </is>
      </c>
      <c r="B254" t="inlineStr"/>
      <c r="C254" t="inlineStr">
        <is>
          <t>My child didn't really want me to go. She wanted to experience it on her own!</t>
        </is>
      </c>
      <c r="D254" t="inlineStr"/>
    </row>
    <row r="255">
      <c r="A255" t="inlineStr">
        <is>
          <t>No</t>
        </is>
      </c>
      <c r="B255" t="inlineStr"/>
      <c r="C255" t="inlineStr">
        <is>
          <t>Time, money, and other kids at home</t>
        </is>
      </c>
      <c r="D255" t="inlineStr"/>
    </row>
    <row r="256">
      <c r="A256" t="inlineStr">
        <is>
          <t>No</t>
        </is>
      </c>
      <c r="B256" t="inlineStr"/>
      <c r="C256" t="inlineStr">
        <is>
          <t>Only the price</t>
        </is>
      </c>
      <c r="D256" t="inlineStr"/>
    </row>
    <row r="257">
      <c r="A257" t="inlineStr">
        <is>
          <t>No</t>
        </is>
      </c>
      <c r="B257" t="inlineStr"/>
      <c r="C257" t="inlineStr"/>
      <c r="D257" t="inlineStr"/>
    </row>
    <row r="258">
      <c r="A258" t="inlineStr">
        <is>
          <t>No</t>
        </is>
      </c>
      <c r="B258" t="inlineStr"/>
      <c r="C258" t="inlineStr">
        <is>
          <t>My son wants to do it on his own, and the cost.</t>
        </is>
      </c>
      <c r="D258" t="inlineStr"/>
    </row>
    <row r="259">
      <c r="A259" t="inlineStr">
        <is>
          <t>No</t>
        </is>
      </c>
      <c r="B259" t="inlineStr"/>
      <c r="C259" t="inlineStr">
        <is>
          <t>other obligations at this time</t>
        </is>
      </c>
      <c r="D259" t="inlineStr"/>
    </row>
    <row r="260">
      <c r="A260" t="inlineStr">
        <is>
          <t>No</t>
        </is>
      </c>
      <c r="B260" t="inlineStr"/>
      <c r="C260" t="inlineStr">
        <is>
          <t>Other Children at Home</t>
        </is>
      </c>
      <c r="D260" t="inlineStr"/>
    </row>
    <row r="261">
      <c r="A261" t="inlineStr">
        <is>
          <t>No</t>
        </is>
      </c>
      <c r="B261" t="inlineStr"/>
      <c r="C261" t="inlineStr">
        <is>
          <t xml:space="preserve">I couldn’t leave my family </t>
        </is>
      </c>
      <c r="D261" t="inlineStr"/>
    </row>
    <row r="262">
      <c r="A262" t="inlineStr">
        <is>
          <t>No</t>
        </is>
      </c>
      <c r="B262" t="inlineStr"/>
      <c r="C262" t="inlineStr">
        <is>
          <t>I wanted my daughter to have the experience of going and not knowing anyone</t>
        </is>
      </c>
      <c r="D262" t="inlineStr"/>
    </row>
    <row r="263">
      <c r="A263" t="inlineStr"/>
      <c r="B263" t="inlineStr"/>
      <c r="C263" t="inlineStr"/>
      <c r="D263" t="inlineStr"/>
    </row>
    <row r="264">
      <c r="A264" t="inlineStr">
        <is>
          <t>No</t>
        </is>
      </c>
      <c r="B264" t="inlineStr"/>
      <c r="C264" t="inlineStr">
        <is>
          <t>Have younger kids at home</t>
        </is>
      </c>
      <c r="D264" t="inlineStr"/>
    </row>
    <row r="265">
      <c r="A265" t="inlineStr">
        <is>
          <t>No</t>
        </is>
      </c>
      <c r="B265" t="inlineStr"/>
      <c r="C265" t="inlineStr">
        <is>
          <t>Time off work</t>
        </is>
      </c>
      <c r="D265" t="inlineStr"/>
    </row>
    <row r="266">
      <c r="A266" t="inlineStr">
        <is>
          <t>No</t>
        </is>
      </c>
      <c r="B266" t="inlineStr"/>
      <c r="C266" t="inlineStr">
        <is>
          <t>My wife is going. I don't have enough time off from work to be able to go.</t>
        </is>
      </c>
      <c r="D266" t="inlineStr"/>
    </row>
    <row r="267">
      <c r="A267" t="inlineStr"/>
      <c r="B267" t="inlineStr"/>
      <c r="C267" t="inlineStr"/>
      <c r="D267" t="inlineStr"/>
    </row>
    <row r="268">
      <c r="A268" t="inlineStr"/>
      <c r="B268" t="inlineStr"/>
      <c r="C268" t="inlineStr"/>
      <c r="D268" t="inlineStr"/>
    </row>
    <row r="269">
      <c r="A269" t="inlineStr"/>
      <c r="B269" t="inlineStr"/>
      <c r="C269" t="inlineStr"/>
      <c r="D269" t="inlineStr"/>
    </row>
    <row r="270">
      <c r="A270" t="inlineStr"/>
      <c r="B270" t="inlineStr"/>
      <c r="C270" t="inlineStr"/>
      <c r="D270" t="inlineStr"/>
    </row>
    <row r="271">
      <c r="A271" t="inlineStr">
        <is>
          <t>No</t>
        </is>
      </c>
      <c r="B271" t="inlineStr"/>
      <c r="C271" t="inlineStr">
        <is>
          <t>Time commitment with small children at home</t>
        </is>
      </c>
      <c r="D271" t="inlineStr"/>
    </row>
    <row r="272">
      <c r="A272" t="inlineStr"/>
      <c r="B272" t="inlineStr"/>
      <c r="C272" t="inlineStr"/>
      <c r="D272" t="inlineStr"/>
    </row>
    <row r="273">
      <c r="A273" t="inlineStr"/>
      <c r="B273" t="inlineStr"/>
      <c r="C273" t="inlineStr"/>
      <c r="D273" t="inlineStr"/>
    </row>
    <row r="274">
      <c r="A274" t="inlineStr">
        <is>
          <t>Yes</t>
        </is>
      </c>
      <c r="B274" t="inlineStr">
        <is>
          <t>Location and HXP asked me.</t>
        </is>
      </c>
      <c r="C274" t="inlineStr"/>
      <c r="D274" t="inlineStr"/>
    </row>
    <row r="275">
      <c r="A275" t="inlineStr">
        <is>
          <t>No</t>
        </is>
      </c>
      <c r="B275" t="inlineStr"/>
      <c r="C275" t="inlineStr">
        <is>
          <t>I want my child to have their own experience.</t>
        </is>
      </c>
      <c r="D275" t="inlineStr"/>
    </row>
    <row r="276">
      <c r="A276" t="inlineStr">
        <is>
          <t>Yes</t>
        </is>
      </c>
      <c r="B276" t="inlineStr">
        <is>
          <t>My son asked me to go</t>
        </is>
      </c>
      <c r="C276" t="inlineStr"/>
      <c r="D276" t="inlineStr"/>
    </row>
    <row r="277">
      <c r="A277" t="inlineStr"/>
      <c r="B277" t="inlineStr"/>
      <c r="C277" t="inlineStr"/>
      <c r="D277" t="inlineStr"/>
    </row>
    <row r="278">
      <c r="A278" t="inlineStr"/>
      <c r="B278" t="inlineStr"/>
      <c r="C278" t="inlineStr"/>
      <c r="D278" t="inlineStr"/>
    </row>
    <row r="279">
      <c r="A279" t="inlineStr">
        <is>
          <t>Yes</t>
        </is>
      </c>
      <c r="B279" t="inlineStr">
        <is>
          <t>I’ve heard great things from our neighbors who’ve taken their kids on trips. I really wanted our children to have amazing experiences too.</t>
        </is>
      </c>
      <c r="C279" t="inlineStr"/>
      <c r="D279" t="inlineStr"/>
    </row>
    <row r="280">
      <c r="A280" t="inlineStr">
        <is>
          <t>No</t>
        </is>
      </c>
      <c r="B280" t="inlineStr"/>
      <c r="C280" t="inlineStr">
        <is>
          <t>My daughter needs the experience without me. But I would love to go!</t>
        </is>
      </c>
      <c r="D280" t="inlineStr"/>
    </row>
    <row r="281">
      <c r="A281" t="inlineStr">
        <is>
          <t>No</t>
        </is>
      </c>
      <c r="B281" t="inlineStr"/>
      <c r="C281" t="inlineStr">
        <is>
          <t>Cost, no significant discount to attend as a Parent Builder</t>
        </is>
      </c>
      <c r="D281" t="inlineStr"/>
    </row>
    <row r="282">
      <c r="A282" t="inlineStr">
        <is>
          <t>Yes</t>
        </is>
      </c>
      <c r="B282" t="inlineStr">
        <is>
          <t xml:space="preserve">Child was worried about traveling alone </t>
        </is>
      </c>
      <c r="C282" t="inlineStr"/>
      <c r="D282" t="inlineStr"/>
    </row>
    <row r="283">
      <c r="A283" t="inlineStr">
        <is>
          <t>No</t>
        </is>
      </c>
      <c r="B283" t="inlineStr"/>
      <c r="C283" t="inlineStr">
        <is>
          <t xml:space="preserve">I have other children and obligations. </t>
        </is>
      </c>
      <c r="D283" t="inlineStr"/>
    </row>
    <row r="284">
      <c r="A284" t="inlineStr">
        <is>
          <t>No</t>
        </is>
      </c>
      <c r="B284" t="inlineStr"/>
      <c r="C284" t="inlineStr">
        <is>
          <t>Son is graduating</t>
        </is>
      </c>
      <c r="D284" t="inlineStr"/>
    </row>
    <row r="285">
      <c r="A285" t="inlineStr">
        <is>
          <t>No</t>
        </is>
      </c>
      <c r="B285" t="inlineStr"/>
      <c r="C285" t="inlineStr"/>
      <c r="D285" t="inlineStr"/>
    </row>
    <row r="286">
      <c r="A286" t="inlineStr">
        <is>
          <t>Yes</t>
        </is>
      </c>
      <c r="B286" t="inlineStr">
        <is>
          <t>My daughter and her excitement for the trip</t>
        </is>
      </c>
      <c r="C286" t="inlineStr"/>
      <c r="D286" t="inlineStr"/>
    </row>
    <row r="287">
      <c r="A287" t="inlineStr">
        <is>
          <t>No</t>
        </is>
      </c>
      <c r="B287" t="inlineStr"/>
      <c r="C287" t="inlineStr">
        <is>
          <t xml:space="preserve">I went before and it's just too long to be away from work and disconnected at this phase of life and my career. </t>
        </is>
      </c>
      <c r="D287" t="inlineStr"/>
    </row>
    <row r="288">
      <c r="A288" t="inlineStr">
        <is>
          <t>No</t>
        </is>
      </c>
      <c r="B288" t="inlineStr"/>
      <c r="C288" t="inlineStr">
        <is>
          <t>Child wanted individual trip, cost</t>
        </is>
      </c>
      <c r="D288" t="inlineStr"/>
    </row>
    <row r="289">
      <c r="A289" t="inlineStr"/>
      <c r="B289" t="inlineStr"/>
      <c r="C289" t="inlineStr"/>
      <c r="D289" t="inlineStr"/>
    </row>
    <row r="290">
      <c r="A290" t="inlineStr">
        <is>
          <t>No</t>
        </is>
      </c>
      <c r="B290" t="inlineStr"/>
      <c r="C290" t="inlineStr">
        <is>
          <t xml:space="preserve">Builder needs experience away from family and friends. </t>
        </is>
      </c>
      <c r="D290" t="inlineStr"/>
    </row>
    <row r="291">
      <c r="A291" t="inlineStr">
        <is>
          <t>Yes</t>
        </is>
      </c>
      <c r="B291"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91" t="inlineStr"/>
      <c r="D291" t="inlineStr"/>
    </row>
    <row r="292">
      <c r="A292" t="inlineStr">
        <is>
          <t>No</t>
        </is>
      </c>
      <c r="B292" t="inlineStr"/>
      <c r="C292" t="inlineStr">
        <is>
          <t>My child didn’t want me to 😂</t>
        </is>
      </c>
      <c r="D292" t="inlineStr"/>
    </row>
    <row r="293">
      <c r="A293" t="inlineStr">
        <is>
          <t>No</t>
        </is>
      </c>
      <c r="B293" t="inlineStr"/>
      <c r="C293" t="inlineStr"/>
      <c r="D293" t="inlineStr"/>
    </row>
    <row r="294">
      <c r="A294" t="inlineStr"/>
      <c r="B294" t="inlineStr"/>
      <c r="C294" t="inlineStr"/>
      <c r="D294" t="inlineStr"/>
    </row>
    <row r="295">
      <c r="A295" t="inlineStr"/>
      <c r="B295" t="inlineStr"/>
      <c r="C295" t="inlineStr"/>
      <c r="D295" t="inlineStr"/>
    </row>
    <row r="296">
      <c r="A296" t="inlineStr"/>
      <c r="B296" t="inlineStr"/>
      <c r="C296" t="inlineStr"/>
      <c r="D296" t="inlineStr"/>
    </row>
    <row r="297">
      <c r="A297" t="inlineStr">
        <is>
          <t>No</t>
        </is>
      </c>
      <c r="B297" t="inlineStr"/>
      <c r="C297" t="inlineStr">
        <is>
          <t xml:space="preserve">Cousins that have gone. </t>
        </is>
      </c>
      <c r="D297" t="inlineStr"/>
    </row>
    <row r="298">
      <c r="A298" t="inlineStr">
        <is>
          <t>No</t>
        </is>
      </c>
      <c r="B298" t="inlineStr"/>
      <c r="C298" t="inlineStr">
        <is>
          <t>My son wanted to sign up on his own and have the experience without his parents-even though he loves us and we are the coolest :)</t>
        </is>
      </c>
      <c r="D298" t="inlineStr"/>
    </row>
    <row r="299">
      <c r="A299" t="inlineStr">
        <is>
          <t>No</t>
        </is>
      </c>
      <c r="B299" t="inlineStr"/>
      <c r="C299" t="inlineStr">
        <is>
          <t xml:space="preserve">My son wanted to sign up with his friend and they didn't want their parents going-even though we are the best! Also, I had already committed to be in charge of the food at our Stake YW camp which is the same time.. </t>
        </is>
      </c>
      <c r="D299" t="inlineStr"/>
    </row>
    <row r="300">
      <c r="A300" t="inlineStr"/>
      <c r="B300" t="inlineStr"/>
      <c r="C300" t="inlineStr"/>
      <c r="D300" t="inlineStr"/>
    </row>
    <row r="301">
      <c r="A301" t="inlineStr">
        <is>
          <t>No</t>
        </is>
      </c>
      <c r="B301" t="inlineStr"/>
      <c r="C301" t="inlineStr">
        <is>
          <t>My daughter really wanted to do this trip independent of anyone familiar</t>
        </is>
      </c>
      <c r="D301" t="inlineStr"/>
    </row>
    <row r="302">
      <c r="A302" t="inlineStr">
        <is>
          <t>No</t>
        </is>
      </c>
      <c r="B302" t="inlineStr"/>
      <c r="C302" t="inlineStr"/>
      <c r="D302" t="inlineStr"/>
    </row>
    <row r="303">
      <c r="A303" t="inlineStr">
        <is>
          <t>No</t>
        </is>
      </c>
      <c r="B303" t="inlineStr"/>
      <c r="C303" t="inlineStr"/>
      <c r="D303" t="inlineStr"/>
    </row>
    <row r="304">
      <c r="A304" t="inlineStr">
        <is>
          <t>No</t>
        </is>
      </c>
      <c r="B304" t="inlineStr"/>
      <c r="C304" t="inlineStr"/>
      <c r="D304" t="inlineStr"/>
    </row>
    <row r="305">
      <c r="A305" t="inlineStr">
        <is>
          <t>No</t>
        </is>
      </c>
      <c r="B305" t="inlineStr"/>
      <c r="C305" t="inlineStr">
        <is>
          <t>Wanted him to have an experience away from home without us</t>
        </is>
      </c>
      <c r="D305" t="inlineStr"/>
    </row>
    <row r="306">
      <c r="A306" t="inlineStr">
        <is>
          <t>No</t>
        </is>
      </c>
      <c r="B306" t="inlineStr"/>
      <c r="C306" t="inlineStr">
        <is>
          <t xml:space="preserve">This is a trip Kate wants to go on by herself- I think it will be more meaningful to go alone. </t>
        </is>
      </c>
      <c r="D306" t="inlineStr"/>
    </row>
    <row r="307">
      <c r="A307" t="inlineStr">
        <is>
          <t>No</t>
        </is>
      </c>
      <c r="B307" t="inlineStr"/>
      <c r="C307" t="inlineStr">
        <is>
          <t>My daughter wanted to do it on her own.</t>
        </is>
      </c>
      <c r="D307" t="inlineStr"/>
    </row>
    <row r="308">
      <c r="A308" t="inlineStr">
        <is>
          <t>No</t>
        </is>
      </c>
      <c r="B308" t="inlineStr"/>
      <c r="C308" t="inlineStr">
        <is>
          <t xml:space="preserve">To allow my daughter to have her own experience    </t>
        </is>
      </c>
      <c r="D308" t="inlineStr"/>
    </row>
    <row r="309">
      <c r="A309" t="inlineStr">
        <is>
          <t>No</t>
        </is>
      </c>
      <c r="B309" t="inlineStr"/>
      <c r="C309" t="inlineStr">
        <is>
          <t>Price and time away</t>
        </is>
      </c>
      <c r="D309" t="inlineStr"/>
    </row>
    <row r="310">
      <c r="A310" t="inlineStr">
        <is>
          <t>No</t>
        </is>
      </c>
      <c r="B310" t="inlineStr"/>
      <c r="C310" t="inlineStr">
        <is>
          <t xml:space="preserve">I went last year and don't have the time this year. </t>
        </is>
      </c>
      <c r="D310" t="inlineStr"/>
    </row>
    <row r="311">
      <c r="A311" t="inlineStr">
        <is>
          <t>No</t>
        </is>
      </c>
      <c r="B311" t="inlineStr"/>
      <c r="C311" t="inlineStr">
        <is>
          <t>Past kids experience</t>
        </is>
      </c>
      <c r="D311" t="inlineStr"/>
    </row>
    <row r="312">
      <c r="A312" t="inlineStr"/>
      <c r="B312" t="inlineStr"/>
      <c r="C312" t="inlineStr"/>
      <c r="D312" t="inlineStr"/>
    </row>
    <row r="313">
      <c r="A313" t="inlineStr">
        <is>
          <t>No</t>
        </is>
      </c>
      <c r="B313" t="inlineStr"/>
      <c r="C313" t="inlineStr">
        <is>
          <t>I would really like to go in the future. I am sending 3 teens this year. Finance is a part of why I am not going. And then it would be tough for me to get off work that long this year. But hopefully next year.</t>
        </is>
      </c>
      <c r="D313" t="inlineStr"/>
    </row>
    <row r="314">
      <c r="A314" t="inlineStr">
        <is>
          <t>Yes</t>
        </is>
      </c>
      <c r="B314" t="inlineStr"/>
      <c r="C314" t="inlineStr"/>
      <c r="D314" t="inlineStr"/>
    </row>
    <row r="315">
      <c r="A315" t="inlineStr">
        <is>
          <t>No</t>
        </is>
      </c>
      <c r="B315" t="inlineStr"/>
      <c r="C315" t="inlineStr">
        <is>
          <t xml:space="preserve">I have other children </t>
        </is>
      </c>
      <c r="D315" t="inlineStr"/>
    </row>
    <row r="316">
      <c r="A316" t="inlineStr">
        <is>
          <t>No</t>
        </is>
      </c>
      <c r="B316" t="inlineStr"/>
      <c r="C316" t="inlineStr">
        <is>
          <t xml:space="preserve">My husband is the parent builder so I need to stay home </t>
        </is>
      </c>
      <c r="D316" t="inlineStr"/>
    </row>
    <row r="317">
      <c r="A317" t="inlineStr">
        <is>
          <t>No</t>
        </is>
      </c>
      <c r="B317" t="inlineStr"/>
      <c r="C317" t="inlineStr">
        <is>
          <t>Cost</t>
        </is>
      </c>
      <c r="D317" t="inlineStr"/>
    </row>
    <row r="318">
      <c r="A318" t="inlineStr">
        <is>
          <t>No</t>
        </is>
      </c>
      <c r="B318" t="inlineStr"/>
      <c r="C318" t="inlineStr">
        <is>
          <t>wanted my child to do it on her own</t>
        </is>
      </c>
      <c r="D318" t="inlineStr"/>
    </row>
    <row r="319">
      <c r="A319" t="inlineStr">
        <is>
          <t>No</t>
        </is>
      </c>
      <c r="B319" t="inlineStr"/>
      <c r="C319" t="inlineStr">
        <is>
          <t>Timing.  Giving my son space to meet new people.</t>
        </is>
      </c>
      <c r="D319" t="inlineStr"/>
    </row>
    <row r="320">
      <c r="A320" t="inlineStr">
        <is>
          <t>No</t>
        </is>
      </c>
      <c r="B320" t="inlineStr"/>
      <c r="C320" t="inlineStr">
        <is>
          <t>Time and money</t>
        </is>
      </c>
      <c r="D320" t="inlineStr"/>
    </row>
    <row r="321">
      <c r="A321" t="inlineStr">
        <is>
          <t>No</t>
        </is>
      </c>
      <c r="B321" t="inlineStr"/>
      <c r="C321" t="inlineStr">
        <is>
          <t xml:space="preserve">4 other needy children at home including a child with Autism. Work, cost etc. </t>
        </is>
      </c>
      <c r="D321" t="inlineStr"/>
    </row>
    <row r="322">
      <c r="A322" t="inlineStr">
        <is>
          <t>No</t>
        </is>
      </c>
      <c r="B322" t="inlineStr"/>
      <c r="C322" t="inlineStr">
        <is>
          <t>Money and time off work</t>
        </is>
      </c>
      <c r="D322" t="inlineStr"/>
    </row>
    <row r="323">
      <c r="A323" t="inlineStr">
        <is>
          <t>Yes</t>
        </is>
      </c>
      <c r="B323" t="inlineStr">
        <is>
          <t xml:space="preserve">Want to build a testimony building experience with Arin. </t>
        </is>
      </c>
      <c r="C323" t="inlineStr"/>
      <c r="D323" t="inlineStr"/>
    </row>
    <row r="324">
      <c r="A324" t="inlineStr">
        <is>
          <t>No</t>
        </is>
      </c>
      <c r="B324" t="inlineStr"/>
      <c r="C324" t="inlineStr">
        <is>
          <t>Time away from my younger children</t>
        </is>
      </c>
      <c r="D324" t="inlineStr"/>
    </row>
    <row r="325">
      <c r="A325" t="inlineStr">
        <is>
          <t>No</t>
        </is>
      </c>
      <c r="B325" t="inlineStr"/>
      <c r="C325" t="inlineStr"/>
      <c r="D325" t="inlineStr"/>
    </row>
    <row r="326">
      <c r="A326" t="inlineStr">
        <is>
          <t>Yes</t>
        </is>
      </c>
      <c r="B326" t="inlineStr">
        <is>
          <t>Experience with my daughter before she graduates and service opportunity</t>
        </is>
      </c>
      <c r="C326" t="inlineStr"/>
      <c r="D326" t="inlineStr"/>
    </row>
    <row r="327">
      <c r="A327" t="inlineStr">
        <is>
          <t>No</t>
        </is>
      </c>
      <c r="B327" t="inlineStr"/>
      <c r="C327" t="inlineStr">
        <is>
          <t xml:space="preserve">Other kids at home </t>
        </is>
      </c>
      <c r="D327" t="inlineStr"/>
    </row>
    <row r="328">
      <c r="A328" t="inlineStr">
        <is>
          <t>No</t>
        </is>
      </c>
      <c r="B328" t="inlineStr"/>
      <c r="C328" t="inlineStr">
        <is>
          <t>Logistics</t>
        </is>
      </c>
      <c r="D328" t="inlineStr"/>
    </row>
    <row r="329">
      <c r="A329" t="inlineStr"/>
      <c r="B329" t="inlineStr"/>
      <c r="C329" t="inlineStr"/>
      <c r="D329" t="inlineStr"/>
    </row>
    <row r="330">
      <c r="A330" t="inlineStr">
        <is>
          <t>No</t>
        </is>
      </c>
      <c r="B330" t="inlineStr"/>
      <c r="C330" t="inlineStr">
        <is>
          <t>This was for my kids I wanted them to have "me, mom" free time.</t>
        </is>
      </c>
      <c r="D330" t="inlineStr"/>
    </row>
    <row r="331">
      <c r="A331" t="inlineStr">
        <is>
          <t>No</t>
        </is>
      </c>
      <c r="B331" t="inlineStr"/>
      <c r="C331" t="inlineStr">
        <is>
          <t>I wanted him to experience it alone</t>
        </is>
      </c>
      <c r="D331" t="inlineStr"/>
    </row>
    <row r="332">
      <c r="A332" t="inlineStr">
        <is>
          <t>No</t>
        </is>
      </c>
      <c r="B332" t="inlineStr"/>
      <c r="C332" t="inlineStr">
        <is>
          <t>My husband is already going with my son and we felt like two parents on his trip would be overkill and costly.  Bummed because it sounds amazing!</t>
        </is>
      </c>
      <c r="D332" t="inlineStr"/>
    </row>
    <row r="333">
      <c r="A333" t="inlineStr">
        <is>
          <t>No</t>
        </is>
      </c>
      <c r="B333" t="inlineStr"/>
      <c r="C333" t="inlineStr">
        <is>
          <t>Price, length of being away from other children</t>
        </is>
      </c>
      <c r="D333" t="inlineStr"/>
    </row>
    <row r="334">
      <c r="A334" t="inlineStr"/>
      <c r="B334" t="inlineStr"/>
      <c r="C334" t="inlineStr"/>
      <c r="D334" t="inlineStr"/>
    </row>
    <row r="335">
      <c r="A335" t="inlineStr">
        <is>
          <t>No</t>
        </is>
      </c>
      <c r="B335" t="inlineStr"/>
      <c r="C335" t="inlineStr">
        <is>
          <t>Other family at home</t>
        </is>
      </c>
      <c r="D335" t="inlineStr"/>
    </row>
    <row r="336">
      <c r="A336" t="inlineStr">
        <is>
          <t>No</t>
        </is>
      </c>
      <c r="B336" t="inlineStr"/>
      <c r="C336" t="inlineStr">
        <is>
          <t xml:space="preserve">Child wanted to go alone </t>
        </is>
      </c>
      <c r="D336" t="inlineStr"/>
    </row>
    <row r="337">
      <c r="A337" t="inlineStr">
        <is>
          <t>No</t>
        </is>
      </c>
      <c r="B337" t="inlineStr"/>
      <c r="C337" t="inlineStr">
        <is>
          <t>I wanted my child to have an experience without me so that it was special for them. I do want to go some day! I love this program so much!</t>
        </is>
      </c>
      <c r="D337" t="inlineStr"/>
    </row>
    <row r="338">
      <c r="A338" t="inlineStr">
        <is>
          <t>No</t>
        </is>
      </c>
      <c r="B338" t="inlineStr"/>
      <c r="C338" t="inlineStr">
        <is>
          <t>I want my kids to have an experience on their own--to know that they can do hard things without me</t>
        </is>
      </c>
      <c r="D338" t="inlineStr"/>
    </row>
    <row r="339">
      <c r="A339" t="inlineStr">
        <is>
          <t>No</t>
        </is>
      </c>
      <c r="B339" t="inlineStr"/>
      <c r="C339" t="inlineStr">
        <is>
          <t>my kid would hold back if I was there</t>
        </is>
      </c>
      <c r="D339" t="inlineStr"/>
    </row>
    <row r="340">
      <c r="A340" t="inlineStr">
        <is>
          <t>No</t>
        </is>
      </c>
      <c r="B340" t="inlineStr"/>
      <c r="C340" t="inlineStr">
        <is>
          <t>My kids think they would get more out of their trip without a parent.</t>
        </is>
      </c>
      <c r="D340" t="inlineStr"/>
    </row>
    <row r="341">
      <c r="A341" t="inlineStr">
        <is>
          <t>No</t>
        </is>
      </c>
      <c r="B341" t="inlineStr"/>
      <c r="C341" t="inlineStr">
        <is>
          <t>Too many other commitments right now.</t>
        </is>
      </c>
      <c r="D341" t="inlineStr"/>
    </row>
    <row r="342">
      <c r="A342" t="inlineStr">
        <is>
          <t>No</t>
        </is>
      </c>
      <c r="B342" t="inlineStr"/>
      <c r="C342" t="inlineStr">
        <is>
          <t>Cost</t>
        </is>
      </c>
      <c r="D342" t="inlineStr"/>
    </row>
    <row r="343">
      <c r="A343" t="inlineStr">
        <is>
          <t>No</t>
        </is>
      </c>
      <c r="B343" t="inlineStr"/>
      <c r="C343" t="inlineStr">
        <is>
          <t>I have 6 other kids at home right now</t>
        </is>
      </c>
      <c r="D343" t="inlineStr"/>
    </row>
    <row r="344">
      <c r="A344" t="inlineStr">
        <is>
          <t>No</t>
        </is>
      </c>
      <c r="B344" t="inlineStr"/>
      <c r="C344" t="inlineStr">
        <is>
          <t xml:space="preserve">My kids wanted to go on their own </t>
        </is>
      </c>
      <c r="D344" t="inlineStr"/>
    </row>
    <row r="345">
      <c r="A345" t="inlineStr"/>
      <c r="B345" t="inlineStr"/>
      <c r="C345" t="inlineStr"/>
      <c r="D345" t="inlineStr"/>
    </row>
    <row r="346">
      <c r="A346" t="inlineStr">
        <is>
          <t>No</t>
        </is>
      </c>
      <c r="B346" t="inlineStr"/>
      <c r="C346" t="inlineStr">
        <is>
          <t>Other small children at home</t>
        </is>
      </c>
      <c r="D346" t="inlineStr"/>
    </row>
    <row r="347">
      <c r="A347" t="inlineStr">
        <is>
          <t>No</t>
        </is>
      </c>
      <c r="B347" t="inlineStr"/>
      <c r="C347" t="inlineStr">
        <is>
          <t>new job</t>
        </is>
      </c>
      <c r="D347" t="inlineStr"/>
    </row>
    <row r="348">
      <c r="A348" t="inlineStr">
        <is>
          <t>No</t>
        </is>
      </c>
      <c r="B348" t="inlineStr"/>
      <c r="C348" t="inlineStr">
        <is>
          <t>Want my daughter to have experience on her own</t>
        </is>
      </c>
      <c r="D348" t="inlineStr"/>
    </row>
    <row r="349">
      <c r="A349" t="inlineStr">
        <is>
          <t>No</t>
        </is>
      </c>
      <c r="B349" t="inlineStr"/>
      <c r="C349" t="inlineStr">
        <is>
          <t>My child did not want a parent with her this time</t>
        </is>
      </c>
      <c r="D349" t="inlineStr"/>
    </row>
    <row r="350">
      <c r="A350" t="inlineStr">
        <is>
          <t>No</t>
        </is>
      </c>
      <c r="B350" t="inlineStr"/>
      <c r="C350" t="inlineStr">
        <is>
          <t>Cost</t>
        </is>
      </c>
      <c r="D350" t="inlineStr"/>
    </row>
    <row r="351">
      <c r="A351" t="inlineStr">
        <is>
          <t>No</t>
        </is>
      </c>
      <c r="B351" t="inlineStr"/>
      <c r="C351" t="inlineStr">
        <is>
          <t xml:space="preserve">I totally would have but my builder said she needed to go and prepare to do things on her own. </t>
        </is>
      </c>
      <c r="D351" t="inlineStr"/>
    </row>
    <row r="352">
      <c r="A352" t="inlineStr"/>
      <c r="B352" t="inlineStr"/>
      <c r="C352" t="inlineStr"/>
      <c r="D352" t="inlineStr"/>
    </row>
    <row r="353">
      <c r="A353" t="inlineStr"/>
      <c r="B353" t="inlineStr"/>
      <c r="C353" t="inlineStr"/>
      <c r="D353" t="inlineStr"/>
    </row>
    <row r="354">
      <c r="A354" t="inlineStr">
        <is>
          <t>No</t>
        </is>
      </c>
      <c r="B354" t="inlineStr"/>
      <c r="C354" t="inlineStr"/>
      <c r="D354" t="inlineStr"/>
    </row>
    <row r="355">
      <c r="A355" t="inlineStr">
        <is>
          <t>No</t>
        </is>
      </c>
      <c r="B355" t="inlineStr"/>
      <c r="C355" t="inlineStr">
        <is>
          <t>Time</t>
        </is>
      </c>
      <c r="D355" t="inlineStr"/>
    </row>
    <row r="356">
      <c r="A356" t="inlineStr">
        <is>
          <t>Yes</t>
        </is>
      </c>
      <c r="B356"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56" t="inlineStr"/>
      <c r="D356" t="inlineStr"/>
    </row>
    <row r="357">
      <c r="A357" t="inlineStr">
        <is>
          <t>Yes</t>
        </is>
      </c>
      <c r="B357" t="inlineStr">
        <is>
          <t xml:space="preserve">My daughter </t>
        </is>
      </c>
      <c r="C357" t="inlineStr"/>
      <c r="D357" t="inlineStr"/>
    </row>
    <row r="358">
      <c r="A358" t="inlineStr">
        <is>
          <t>No</t>
        </is>
      </c>
      <c r="B358" t="inlineStr"/>
      <c r="C358" t="inlineStr">
        <is>
          <t xml:space="preserve">Want my kid to be on his own </t>
        </is>
      </c>
      <c r="D358" t="inlineStr"/>
    </row>
    <row r="359">
      <c r="A359" t="inlineStr">
        <is>
          <t>No</t>
        </is>
      </c>
      <c r="B359" t="inlineStr"/>
      <c r="C359" t="inlineStr">
        <is>
          <t>Our kids need an adventure without his parents.</t>
        </is>
      </c>
      <c r="D359" t="inlineStr"/>
    </row>
    <row r="360">
      <c r="A360" t="inlineStr">
        <is>
          <t>No</t>
        </is>
      </c>
      <c r="B360" t="inlineStr"/>
      <c r="C360" t="inlineStr"/>
      <c r="D360" t="inlineStr"/>
    </row>
    <row r="361">
      <c r="A361" t="inlineStr">
        <is>
          <t>No</t>
        </is>
      </c>
      <c r="B361" t="inlineStr"/>
      <c r="C361" t="inlineStr">
        <is>
          <t>She went on an HXP trip last year and loved it, so we decided to send her on another one in a warmer location.</t>
        </is>
      </c>
      <c r="D361" t="inlineStr"/>
    </row>
    <row r="362">
      <c r="A362" t="inlineStr">
        <is>
          <t>No</t>
        </is>
      </c>
      <c r="B362" t="inlineStr"/>
      <c r="C362" t="inlineStr">
        <is>
          <t>His sister went on an HXP trip last year and he wanted to go this year and see what it is all about.  Also what a great opportunity for him to go serve others.</t>
        </is>
      </c>
      <c r="D362" t="inlineStr"/>
    </row>
    <row r="363">
      <c r="A363" t="inlineStr">
        <is>
          <t>No</t>
        </is>
      </c>
      <c r="B363" t="inlineStr"/>
      <c r="C363" t="inlineStr">
        <is>
          <t>Work and money. More important that our child go on these trips</t>
        </is>
      </c>
      <c r="D363" t="inlineStr"/>
    </row>
    <row r="364">
      <c r="A364" t="inlineStr">
        <is>
          <t>No</t>
        </is>
      </c>
      <c r="B364" t="inlineStr"/>
      <c r="C364" t="inlineStr">
        <is>
          <t>Money</t>
        </is>
      </c>
      <c r="D364" t="inlineStr"/>
    </row>
    <row r="365">
      <c r="A365" t="inlineStr">
        <is>
          <t>Yes</t>
        </is>
      </c>
      <c r="B365" t="inlineStr">
        <is>
          <t>Wanted to share the experience with my son</t>
        </is>
      </c>
      <c r="C365" t="inlineStr"/>
      <c r="D365" t="inlineStr"/>
    </row>
    <row r="366">
      <c r="A366" t="inlineStr">
        <is>
          <t>Yes</t>
        </is>
      </c>
      <c r="B366" t="inlineStr"/>
      <c r="C366" t="inlineStr"/>
      <c r="D366" t="inlineStr"/>
    </row>
    <row r="367">
      <c r="A367" t="inlineStr">
        <is>
          <t>Yes</t>
        </is>
      </c>
      <c r="B367" t="inlineStr">
        <is>
          <t>Past parent builder testimonials</t>
        </is>
      </c>
      <c r="C367" t="inlineStr"/>
      <c r="D367" t="inlineStr"/>
    </row>
    <row r="368">
      <c r="A368" t="inlineStr">
        <is>
          <t>No</t>
        </is>
      </c>
      <c r="B368" t="inlineStr"/>
      <c r="C368" t="inlineStr">
        <is>
          <t xml:space="preserve">Money, time </t>
        </is>
      </c>
      <c r="D368" t="inlineStr"/>
    </row>
    <row r="369">
      <c r="A369" t="inlineStr">
        <is>
          <t>Yes</t>
        </is>
      </c>
      <c r="B369" t="inlineStr">
        <is>
          <t xml:space="preserve">Don't want to send 14 year old alone to meet up </t>
        </is>
      </c>
      <c r="C369" t="inlineStr"/>
      <c r="D369" t="inlineStr"/>
    </row>
    <row r="370">
      <c r="A370" t="inlineStr">
        <is>
          <t>No</t>
        </is>
      </c>
      <c r="B370" t="inlineStr"/>
      <c r="C370" t="inlineStr">
        <is>
          <t xml:space="preserve">They already had both parent builders needed. </t>
        </is>
      </c>
      <c r="D370" t="inlineStr"/>
    </row>
    <row r="371">
      <c r="A371" t="inlineStr">
        <is>
          <t>No</t>
        </is>
      </c>
      <c r="B371" t="inlineStr"/>
      <c r="C371" t="inlineStr">
        <is>
          <t>Cost and amount of time</t>
        </is>
      </c>
      <c r="D371" t="inlineStr"/>
    </row>
    <row r="372">
      <c r="A372" t="inlineStr">
        <is>
          <t>No</t>
        </is>
      </c>
      <c r="B372" t="inlineStr"/>
      <c r="C372" t="inlineStr">
        <is>
          <t>Cost and wanting my child to have an independent experience</t>
        </is>
      </c>
      <c r="D372" t="inlineStr"/>
    </row>
    <row r="373">
      <c r="A373" t="inlineStr">
        <is>
          <t>No</t>
        </is>
      </c>
      <c r="B373" t="inlineStr"/>
      <c r="C373" t="inlineStr">
        <is>
          <t xml:space="preserve">Time/ cost/ availability </t>
        </is>
      </c>
      <c r="D373" t="inlineStr"/>
    </row>
    <row r="374">
      <c r="A374" t="inlineStr">
        <is>
          <t>Yes</t>
        </is>
      </c>
      <c r="B374" t="inlineStr">
        <is>
          <t>Wanted to have this kind of experience with my kids</t>
        </is>
      </c>
      <c r="C374" t="inlineStr"/>
      <c r="D374" t="inlineStr"/>
    </row>
    <row r="375">
      <c r="A375" t="inlineStr">
        <is>
          <t>No</t>
        </is>
      </c>
      <c r="B375" t="inlineStr"/>
      <c r="C375" t="inlineStr">
        <is>
          <t>Opportunity for child to grow on own</t>
        </is>
      </c>
      <c r="D375" t="inlineStr"/>
    </row>
    <row r="376">
      <c r="A376" t="inlineStr">
        <is>
          <t>No</t>
        </is>
      </c>
      <c r="B376" t="inlineStr"/>
      <c r="C376" t="inlineStr"/>
      <c r="D376" t="inlineStr"/>
    </row>
    <row r="377">
      <c r="A377" t="inlineStr">
        <is>
          <t>No</t>
        </is>
      </c>
      <c r="B377" t="inlineStr"/>
      <c r="C377" t="inlineStr">
        <is>
          <t>She doesn’t want me to. Wants to be a big girl :)</t>
        </is>
      </c>
      <c r="D377" t="inlineStr"/>
    </row>
    <row r="378">
      <c r="A378" t="inlineStr">
        <is>
          <t>Maybe</t>
        </is>
      </c>
      <c r="B378" t="inlineStr"/>
      <c r="C378" t="inlineStr"/>
      <c r="D378" t="inlineStr">
        <is>
          <t>Help with the expense</t>
        </is>
      </c>
    </row>
    <row r="379">
      <c r="A379" t="inlineStr">
        <is>
          <t>No</t>
        </is>
      </c>
      <c r="B379" t="inlineStr"/>
      <c r="C379" t="inlineStr">
        <is>
          <t>Cost</t>
        </is>
      </c>
      <c r="D379" t="inlineStr"/>
    </row>
    <row r="380">
      <c r="A380" t="inlineStr"/>
      <c r="B380" t="inlineStr"/>
      <c r="C380" t="inlineStr"/>
      <c r="D380" t="inlineStr"/>
    </row>
    <row r="381">
      <c r="A381" t="inlineStr">
        <is>
          <t>Yes</t>
        </is>
      </c>
      <c r="B381" t="inlineStr">
        <is>
          <t>My youth</t>
        </is>
      </c>
      <c r="C381" t="inlineStr"/>
      <c r="D381" t="inlineStr"/>
    </row>
    <row r="382">
      <c r="A382" t="inlineStr">
        <is>
          <t>No</t>
        </is>
      </c>
      <c r="B382" t="inlineStr"/>
      <c r="C382" t="inlineStr">
        <is>
          <t xml:space="preserve">My child wanted to go on her own </t>
        </is>
      </c>
      <c r="D382" t="inlineStr"/>
    </row>
    <row r="383">
      <c r="A383" t="inlineStr">
        <is>
          <t>No</t>
        </is>
      </c>
      <c r="B383" t="inlineStr"/>
      <c r="C383" t="inlineStr">
        <is>
          <t>Cost</t>
        </is>
      </c>
      <c r="D383" t="inlineStr"/>
    </row>
    <row r="384">
      <c r="A384" t="inlineStr">
        <is>
          <t>No</t>
        </is>
      </c>
      <c r="B384" t="inlineStr"/>
      <c r="C384" t="inlineStr">
        <is>
          <t>Cost</t>
        </is>
      </c>
      <c r="D384" t="inlineStr"/>
    </row>
    <row r="385">
      <c r="A385" t="inlineStr">
        <is>
          <t>No</t>
        </is>
      </c>
      <c r="B385" t="inlineStr"/>
      <c r="C385" t="inlineStr">
        <is>
          <t xml:space="preserve">Just have smaller kids at home but would have liked to </t>
        </is>
      </c>
      <c r="D385" t="inlineStr"/>
    </row>
    <row r="386">
      <c r="A386" t="inlineStr">
        <is>
          <t>No</t>
        </is>
      </c>
      <c r="B386" t="inlineStr"/>
      <c r="C386" t="inlineStr">
        <is>
          <t xml:space="preserve">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 </t>
        </is>
      </c>
      <c r="D386" t="inlineStr"/>
    </row>
    <row r="387">
      <c r="A387" t="inlineStr">
        <is>
          <t>No</t>
        </is>
      </c>
      <c r="B387" t="inlineStr"/>
      <c r="C387" t="inlineStr">
        <is>
          <t>Builders choice</t>
        </is>
      </c>
      <c r="D387" t="inlineStr"/>
    </row>
    <row r="388">
      <c r="A388" t="inlineStr">
        <is>
          <t>No</t>
        </is>
      </c>
      <c r="B388" t="inlineStr"/>
      <c r="C388" t="inlineStr">
        <is>
          <t xml:space="preserve">Money and choosing which of my two girls to go with. </t>
        </is>
      </c>
      <c r="D388" t="inlineStr"/>
    </row>
    <row r="389">
      <c r="A389" t="inlineStr"/>
      <c r="B389" t="inlineStr"/>
      <c r="C389" t="inlineStr"/>
      <c r="D389" t="inlineStr"/>
    </row>
    <row r="390">
      <c r="A390" t="inlineStr">
        <is>
          <t>No</t>
        </is>
      </c>
      <c r="B390" t="inlineStr"/>
      <c r="C390" t="inlineStr">
        <is>
          <t>Money and choosing between my girls</t>
        </is>
      </c>
      <c r="D390" t="inlineStr"/>
    </row>
    <row r="391">
      <c r="A391" t="inlineStr">
        <is>
          <t>No</t>
        </is>
      </c>
      <c r="B391" t="inlineStr"/>
      <c r="C391" t="inlineStr">
        <is>
          <t>I went last year and loved it. I will go again next year.</t>
        </is>
      </c>
      <c r="D391" t="inlineStr"/>
    </row>
    <row r="392">
      <c r="A392" t="inlineStr"/>
      <c r="B392" t="inlineStr"/>
      <c r="C392" t="inlineStr"/>
      <c r="D392" t="inlineStr"/>
    </row>
    <row r="393">
      <c r="A393" t="inlineStr">
        <is>
          <t>Yes</t>
        </is>
      </c>
      <c r="B393" t="inlineStr">
        <is>
          <t>Husband went with older 2 kids. Now it’s my turn!</t>
        </is>
      </c>
      <c r="C393" t="inlineStr"/>
      <c r="D393" t="inlineStr"/>
    </row>
    <row r="394">
      <c r="A394" t="inlineStr">
        <is>
          <t>No</t>
        </is>
      </c>
      <c r="B394" t="inlineStr"/>
      <c r="C394" t="inlineStr"/>
      <c r="D394" t="inlineStr"/>
    </row>
    <row r="395">
      <c r="A395" t="inlineStr">
        <is>
          <t>No</t>
        </is>
      </c>
      <c r="B395" t="inlineStr"/>
      <c r="C395" t="inlineStr">
        <is>
          <t>Time away from family, work, and calling</t>
        </is>
      </c>
      <c r="D395" t="inlineStr"/>
    </row>
    <row r="396">
      <c r="A396" t="inlineStr">
        <is>
          <t>No</t>
        </is>
      </c>
      <c r="B396" t="inlineStr"/>
      <c r="C396" t="inlineStr">
        <is>
          <t>older sibling went and had a great experience.</t>
        </is>
      </c>
      <c r="D396" t="inlineStr"/>
    </row>
    <row r="397">
      <c r="A397" t="inlineStr">
        <is>
          <t>No</t>
        </is>
      </c>
      <c r="B397" t="inlineStr"/>
      <c r="C397" t="inlineStr">
        <is>
          <t>My son wanted an experience without me</t>
        </is>
      </c>
      <c r="D397" t="inlineStr"/>
    </row>
    <row r="398">
      <c r="A398" t="inlineStr">
        <is>
          <t>No</t>
        </is>
      </c>
      <c r="B398" t="inlineStr"/>
      <c r="C398" t="inlineStr">
        <is>
          <t>Want my child to have an experience without her parents</t>
        </is>
      </c>
      <c r="D398" t="inlineStr"/>
    </row>
    <row r="399">
      <c r="A399" t="inlineStr"/>
      <c r="B399" t="inlineStr"/>
      <c r="C399" t="inlineStr"/>
      <c r="D399" t="inlineStr"/>
    </row>
    <row r="400">
      <c r="A400" t="inlineStr">
        <is>
          <t>No</t>
        </is>
      </c>
      <c r="B400" t="inlineStr"/>
      <c r="C400" t="inlineStr">
        <is>
          <t>I tried, but there wasn't a spot available for me to go.</t>
        </is>
      </c>
      <c r="D400" t="inlineStr"/>
    </row>
    <row r="401">
      <c r="A401" t="inlineStr">
        <is>
          <t>No</t>
        </is>
      </c>
      <c r="B401" t="inlineStr"/>
      <c r="C401" t="inlineStr">
        <is>
          <t>Price.  Just can’t afford to send two of us</t>
        </is>
      </c>
      <c r="D401" t="inlineStr"/>
    </row>
    <row r="402">
      <c r="A402" t="inlineStr">
        <is>
          <t>Yes</t>
        </is>
      </c>
      <c r="B402" t="inlineStr">
        <is>
          <t xml:space="preserve">Spending time with my son and being able to give to others. </t>
        </is>
      </c>
      <c r="C402" t="inlineStr"/>
      <c r="D402" t="inlineStr"/>
    </row>
    <row r="403">
      <c r="A403" t="inlineStr">
        <is>
          <t>Yes</t>
        </is>
      </c>
      <c r="B403" t="inlineStr">
        <is>
          <t>Wanted to open a spot for my son</t>
        </is>
      </c>
      <c r="C403" t="inlineStr"/>
      <c r="D403" t="inlineStr"/>
    </row>
    <row r="404">
      <c r="A404" t="inlineStr">
        <is>
          <t>No</t>
        </is>
      </c>
      <c r="B404" t="inlineStr"/>
      <c r="C404" t="inlineStr">
        <is>
          <t xml:space="preserve">Wanted our daughter to have her own experience. </t>
        </is>
      </c>
      <c r="D404" t="inlineStr"/>
    </row>
    <row r="405">
      <c r="A405" t="inlineStr">
        <is>
          <t>No</t>
        </is>
      </c>
      <c r="B405" t="inlineStr"/>
      <c r="C405" t="inlineStr">
        <is>
          <t>money and time</t>
        </is>
      </c>
      <c r="D405" t="inlineStr"/>
    </row>
    <row r="406">
      <c r="A406" t="inlineStr">
        <is>
          <t>No</t>
        </is>
      </c>
      <c r="B406" t="inlineStr"/>
      <c r="C406" t="inlineStr">
        <is>
          <t>My child prefers I didn’t go</t>
        </is>
      </c>
      <c r="D406" t="inlineStr"/>
    </row>
    <row r="407">
      <c r="A407" t="inlineStr">
        <is>
          <t>No</t>
        </is>
      </c>
      <c r="B407" t="inlineStr"/>
      <c r="C407" t="inlineStr">
        <is>
          <t>time</t>
        </is>
      </c>
      <c r="D407" t="inlineStr"/>
    </row>
    <row r="408">
      <c r="A408" t="inlineStr"/>
      <c r="B408" t="inlineStr"/>
      <c r="C408" t="inlineStr"/>
      <c r="D408" t="inlineStr"/>
    </row>
    <row r="409">
      <c r="A409" t="inlineStr">
        <is>
          <t>No</t>
        </is>
      </c>
      <c r="B409" t="inlineStr"/>
      <c r="C409" t="inlineStr">
        <is>
          <t xml:space="preserve">It’s too expensive to send a kid and a parent builder!  Especially since the trips are more this year. </t>
        </is>
      </c>
      <c r="D409" t="inlineStr"/>
    </row>
    <row r="410">
      <c r="A410" t="inlineStr">
        <is>
          <t>No</t>
        </is>
      </c>
      <c r="B410" t="inlineStr"/>
      <c r="C410" t="inlineStr">
        <is>
          <t>I think he needs this experience on his own without Mom and Dad there.</t>
        </is>
      </c>
      <c r="D410" t="inlineStr"/>
    </row>
    <row r="411">
      <c r="A411" t="inlineStr">
        <is>
          <t>Yes</t>
        </is>
      </c>
      <c r="B411"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411" t="inlineStr"/>
      <c r="D411" t="inlineStr"/>
    </row>
    <row r="412">
      <c r="A412" t="inlineStr">
        <is>
          <t>No</t>
        </is>
      </c>
      <c r="B412" t="inlineStr"/>
      <c r="C412" t="inlineStr">
        <is>
          <t xml:space="preserve">busy work schedule and no one asked. </t>
        </is>
      </c>
      <c r="D412" t="inlineStr"/>
    </row>
    <row r="413">
      <c r="A413" t="inlineStr">
        <is>
          <t>No</t>
        </is>
      </c>
      <c r="B413" t="inlineStr"/>
      <c r="C413" t="inlineStr">
        <is>
          <t xml:space="preserve">My son needed independence </t>
        </is>
      </c>
      <c r="D413" t="inlineStr"/>
    </row>
    <row r="414">
      <c r="A414" t="inlineStr">
        <is>
          <t>No</t>
        </is>
      </c>
      <c r="B414" t="inlineStr"/>
      <c r="C414" t="inlineStr">
        <is>
          <t>Time off</t>
        </is>
      </c>
      <c r="D414" t="inlineStr"/>
    </row>
    <row r="415">
      <c r="A415" t="inlineStr">
        <is>
          <t>No</t>
        </is>
      </c>
      <c r="B415" t="inlineStr"/>
      <c r="C415" t="inlineStr">
        <is>
          <t>Work demands</t>
        </is>
      </c>
      <c r="D415" t="inlineStr"/>
    </row>
    <row r="416">
      <c r="A416" t="inlineStr">
        <is>
          <t>No</t>
        </is>
      </c>
      <c r="B416" t="inlineStr"/>
      <c r="C416" t="inlineStr">
        <is>
          <t>Cost</t>
        </is>
      </c>
      <c r="D416" t="inlineStr"/>
    </row>
    <row r="417">
      <c r="A417" t="inlineStr">
        <is>
          <t>Yes</t>
        </is>
      </c>
      <c r="B417" t="inlineStr">
        <is>
          <t>Time with my son, experience the adventure and opportunity myself, and the ability to learn and grow from such awesome youth</t>
        </is>
      </c>
      <c r="C417" t="inlineStr"/>
      <c r="D417" t="inlineStr"/>
    </row>
    <row r="418">
      <c r="A418" t="inlineStr">
        <is>
          <t>No</t>
        </is>
      </c>
      <c r="B418" t="inlineStr"/>
      <c r="C418" t="inlineStr"/>
      <c r="D418" t="inlineStr"/>
    </row>
    <row r="419">
      <c r="A419" t="inlineStr">
        <is>
          <t>No</t>
        </is>
      </c>
      <c r="B419" t="inlineStr"/>
      <c r="C419" t="inlineStr">
        <is>
          <t>My child needed to go do something without his parent</t>
        </is>
      </c>
      <c r="D419" t="inlineStr"/>
    </row>
    <row r="420">
      <c r="A420" t="inlineStr">
        <is>
          <t>No</t>
        </is>
      </c>
      <c r="B420" t="inlineStr"/>
      <c r="C420" t="inlineStr">
        <is>
          <t>Too many young kids at home</t>
        </is>
      </c>
      <c r="D420" t="inlineStr"/>
    </row>
    <row r="421">
      <c r="A421" t="inlineStr">
        <is>
          <t>No</t>
        </is>
      </c>
      <c r="B421" t="inlineStr"/>
      <c r="C421" t="inlineStr">
        <is>
          <t>Previous builder t</t>
        </is>
      </c>
      <c r="D421" t="inlineStr"/>
    </row>
    <row r="422">
      <c r="A422" t="inlineStr">
        <is>
          <t>No</t>
        </is>
      </c>
      <c r="B422" t="inlineStr"/>
      <c r="C422" t="inlineStr">
        <is>
          <t>Not enough money to send me and my daughter</t>
        </is>
      </c>
      <c r="D422" t="inlineStr"/>
    </row>
    <row r="423">
      <c r="A423" t="inlineStr"/>
      <c r="B423" t="inlineStr"/>
      <c r="C423" t="inlineStr"/>
      <c r="D423" t="inlineStr"/>
    </row>
    <row r="424">
      <c r="A424" t="inlineStr">
        <is>
          <t>No</t>
        </is>
      </c>
      <c r="B424" t="inlineStr"/>
      <c r="C424" t="inlineStr">
        <is>
          <t>friends and family have been before</t>
        </is>
      </c>
      <c r="D424" t="inlineStr"/>
    </row>
    <row r="425">
      <c r="A425" t="inlineStr">
        <is>
          <t>No</t>
        </is>
      </c>
      <c r="B425" t="inlineStr"/>
      <c r="C425" t="inlineStr">
        <is>
          <t xml:space="preserve">My son didn’t want us to go with him. </t>
        </is>
      </c>
      <c r="D425" t="inlineStr"/>
    </row>
    <row r="426">
      <c r="A426" t="inlineStr">
        <is>
          <t>No</t>
        </is>
      </c>
      <c r="B426" t="inlineStr"/>
      <c r="C426" t="inlineStr"/>
      <c r="D426" t="inlineStr"/>
    </row>
    <row r="427">
      <c r="A427" t="inlineStr">
        <is>
          <t>No</t>
        </is>
      </c>
      <c r="B427" t="inlineStr"/>
      <c r="C427" t="inlineStr">
        <is>
          <t xml:space="preserve">Couldn’t get time off, expense </t>
        </is>
      </c>
      <c r="D427" t="inlineStr"/>
    </row>
    <row r="428">
      <c r="A428" t="inlineStr">
        <is>
          <t>No</t>
        </is>
      </c>
      <c r="B428" t="inlineStr"/>
      <c r="C428" t="inlineStr"/>
      <c r="D428" t="inlineStr"/>
    </row>
    <row r="429">
      <c r="A429" t="inlineStr">
        <is>
          <t>No</t>
        </is>
      </c>
      <c r="B429" t="inlineStr"/>
      <c r="C429" t="inlineStr">
        <is>
          <t>My son wants to go alone</t>
        </is>
      </c>
      <c r="D429" t="inlineStr"/>
    </row>
    <row r="430">
      <c r="A430" t="inlineStr">
        <is>
          <t>No</t>
        </is>
      </c>
      <c r="B430" t="inlineStr"/>
      <c r="C430" t="inlineStr">
        <is>
          <t>time</t>
        </is>
      </c>
      <c r="D430" t="inlineStr"/>
    </row>
    <row r="431">
      <c r="A431" t="inlineStr">
        <is>
          <t>No</t>
        </is>
      </c>
      <c r="B431" t="inlineStr"/>
      <c r="C431" t="inlineStr">
        <is>
          <t xml:space="preserve">Time and money </t>
        </is>
      </c>
      <c r="D431" t="inlineStr"/>
    </row>
    <row r="432">
      <c r="A432" t="inlineStr">
        <is>
          <t>Maybe</t>
        </is>
      </c>
      <c r="B432" t="inlineStr"/>
      <c r="C432" t="inlineStr"/>
      <c r="D432" t="inlineStr">
        <is>
          <t xml:space="preserve">Finding childcare for my younger kids not on the trip </t>
        </is>
      </c>
    </row>
    <row r="433">
      <c r="A433" t="inlineStr">
        <is>
          <t>No</t>
        </is>
      </c>
      <c r="B433" t="inlineStr"/>
      <c r="C433" t="inlineStr">
        <is>
          <t>I went last year and so did my husband, so my daughter wanted to experience it all on her own this year. I would love to next year!</t>
        </is>
      </c>
      <c r="D433" t="inlineStr"/>
    </row>
    <row r="434">
      <c r="A434" t="inlineStr">
        <is>
          <t>No</t>
        </is>
      </c>
      <c r="B434" t="inlineStr"/>
      <c r="C434" t="inlineStr">
        <is>
          <t>kids at home</t>
        </is>
      </c>
      <c r="D434" t="inlineStr"/>
    </row>
    <row r="435">
      <c r="A435" t="inlineStr">
        <is>
          <t>No</t>
        </is>
      </c>
      <c r="B435" t="inlineStr"/>
      <c r="C435" t="inlineStr"/>
      <c r="D435" t="inlineStr"/>
    </row>
    <row r="436">
      <c r="A436" t="inlineStr">
        <is>
          <t>No</t>
        </is>
      </c>
      <c r="B436" t="inlineStr"/>
      <c r="C436" t="inlineStr">
        <is>
          <t xml:space="preserve">Other kids at home and planned activities </t>
        </is>
      </c>
      <c r="D436" t="inlineStr"/>
    </row>
    <row r="437">
      <c r="A437" t="inlineStr"/>
      <c r="B437" t="inlineStr"/>
      <c r="C437" t="inlineStr"/>
      <c r="D437" t="inlineStr"/>
    </row>
    <row r="438">
      <c r="A438" t="inlineStr">
        <is>
          <t>Yes</t>
        </is>
      </c>
      <c r="B438" t="inlineStr">
        <is>
          <t xml:space="preserve">My daughter </t>
        </is>
      </c>
      <c r="C438" t="inlineStr"/>
      <c r="D438" t="inlineStr"/>
    </row>
    <row r="439">
      <c r="A439" t="inlineStr">
        <is>
          <t>No</t>
        </is>
      </c>
      <c r="B439" t="inlineStr"/>
      <c r="C439" t="inlineStr"/>
      <c r="D439" t="inlineStr"/>
    </row>
    <row r="440">
      <c r="A440" t="inlineStr">
        <is>
          <t>Yes</t>
        </is>
      </c>
      <c r="B440" t="inlineStr">
        <is>
          <t>Prayer</t>
        </is>
      </c>
      <c r="C440" t="inlineStr"/>
      <c r="D440" t="inlineStr"/>
    </row>
    <row r="441">
      <c r="A441" t="inlineStr">
        <is>
          <t>No</t>
        </is>
      </c>
      <c r="B441" t="inlineStr"/>
      <c r="C441" t="inlineStr">
        <is>
          <t>My job</t>
        </is>
      </c>
      <c r="D441" t="inlineStr"/>
    </row>
    <row r="442">
      <c r="A442" t="inlineStr">
        <is>
          <t>No</t>
        </is>
      </c>
      <c r="B442" t="inlineStr"/>
      <c r="C442" t="inlineStr"/>
      <c r="D442" t="inlineStr"/>
    </row>
    <row r="443">
      <c r="A443" t="inlineStr">
        <is>
          <t>Yes</t>
        </is>
      </c>
      <c r="B443" t="inlineStr"/>
      <c r="C443" t="inlineStr"/>
      <c r="D443" t="inlineStr"/>
    </row>
    <row r="444">
      <c r="A444" t="inlineStr">
        <is>
          <t>No</t>
        </is>
      </c>
      <c r="B444" t="inlineStr"/>
      <c r="C444" t="inlineStr">
        <is>
          <t xml:space="preserve">Money.   :(  I would love to in the future if I can ever afford it!!!!!  I want to so bad!    :)  I went to Tonga as a parent several years ago for my youngest sister and it was such an amazing experience!  I have eagerly awaited for my kids to have this experience!!!   </t>
        </is>
      </c>
      <c r="D444" t="inlineStr"/>
    </row>
    <row r="445">
      <c r="A445" t="inlineStr">
        <is>
          <t>No</t>
        </is>
      </c>
      <c r="B445" t="inlineStr"/>
      <c r="C445" t="inlineStr">
        <is>
          <t>Smaller kids at home</t>
        </is>
      </c>
      <c r="D445" t="inlineStr"/>
    </row>
    <row r="446">
      <c r="A446" t="inlineStr">
        <is>
          <t>No</t>
        </is>
      </c>
      <c r="B446" t="inlineStr"/>
      <c r="C446" t="inlineStr">
        <is>
          <t>Cost/time</t>
        </is>
      </c>
      <c r="D446" t="inlineStr"/>
    </row>
    <row r="447">
      <c r="A447" t="inlineStr">
        <is>
          <t>No</t>
        </is>
      </c>
      <c r="B447" t="inlineStr"/>
      <c r="C447" t="inlineStr"/>
      <c r="D447" t="inlineStr"/>
    </row>
    <row r="448">
      <c r="A448" t="inlineStr">
        <is>
          <t>No</t>
        </is>
      </c>
      <c r="B448" t="inlineStr"/>
      <c r="C448" t="inlineStr">
        <is>
          <t>Younger kids at home, and also wanting my son to have this experience independently</t>
        </is>
      </c>
      <c r="D448" t="inlineStr"/>
    </row>
    <row r="449">
      <c r="A449" t="inlineStr">
        <is>
          <t>No</t>
        </is>
      </c>
      <c r="B449" t="inlineStr"/>
      <c r="C449" t="inlineStr">
        <is>
          <t>too hard to leave the other children at home for that length of time</t>
        </is>
      </c>
      <c r="D449" t="inlineStr"/>
    </row>
    <row r="450">
      <c r="A450" t="inlineStr">
        <is>
          <t>No</t>
        </is>
      </c>
      <c r="B450" t="inlineStr"/>
      <c r="C450" t="inlineStr"/>
      <c r="D450" t="inlineStr"/>
    </row>
    <row r="451">
      <c r="A451" t="inlineStr">
        <is>
          <t>No</t>
        </is>
      </c>
      <c r="B451" t="inlineStr"/>
      <c r="C451" t="inlineStr">
        <is>
          <t>My child said they wanted this to be an independent experience :(</t>
        </is>
      </c>
      <c r="D451" t="inlineStr"/>
    </row>
    <row r="452">
      <c r="A452" t="inlineStr">
        <is>
          <t>No</t>
        </is>
      </c>
      <c r="B452" t="inlineStr"/>
      <c r="C452" t="inlineStr">
        <is>
          <t>Price</t>
        </is>
      </c>
      <c r="D452" t="inlineStr"/>
    </row>
    <row r="453">
      <c r="A453" t="inlineStr">
        <is>
          <t>No</t>
        </is>
      </c>
      <c r="B453" t="inlineStr"/>
      <c r="C453" t="inlineStr">
        <is>
          <t>My criterion is to help my daughter increase autonomy.</t>
        </is>
      </c>
      <c r="D453" t="inlineStr"/>
    </row>
    <row r="454">
      <c r="A454" t="inlineStr">
        <is>
          <t>No</t>
        </is>
      </c>
      <c r="B454" t="inlineStr"/>
      <c r="C454" t="inlineStr">
        <is>
          <t>Cost and I think my daughter would do better without me there.</t>
        </is>
      </c>
      <c r="D454" t="inlineStr"/>
    </row>
    <row r="455">
      <c r="A455" t="inlineStr">
        <is>
          <t>No</t>
        </is>
      </c>
      <c r="B455" t="inlineStr"/>
      <c r="C455" t="inlineStr">
        <is>
          <t xml:space="preserve">just not a traveler </t>
        </is>
      </c>
      <c r="D455" t="inlineStr"/>
    </row>
    <row r="456">
      <c r="A456" t="inlineStr">
        <is>
          <t>No</t>
        </is>
      </c>
      <c r="B456" t="inlineStr"/>
      <c r="C456" t="inlineStr">
        <is>
          <t>Time commitment</t>
        </is>
      </c>
      <c r="D456" t="inlineStr"/>
    </row>
    <row r="457">
      <c r="A457" t="inlineStr">
        <is>
          <t>No</t>
        </is>
      </c>
      <c r="B457" t="inlineStr"/>
      <c r="C457" t="inlineStr">
        <is>
          <t>Money and work</t>
        </is>
      </c>
      <c r="D457" t="inlineStr"/>
    </row>
    <row r="458">
      <c r="A458" t="inlineStr">
        <is>
          <t>No</t>
        </is>
      </c>
      <c r="B458" t="inlineStr"/>
      <c r="C458" t="inlineStr">
        <is>
          <t>We couldn’t get time off work and other family responsibilities.</t>
        </is>
      </c>
      <c r="D458" t="inlineStr"/>
    </row>
    <row r="459">
      <c r="A459" t="inlineStr">
        <is>
          <t>No</t>
        </is>
      </c>
      <c r="B459" t="inlineStr"/>
      <c r="C459" t="inlineStr">
        <is>
          <t xml:space="preserve">Our son didn't want us too, otherwise we would have gone </t>
        </is>
      </c>
      <c r="D459" t="inlineStr"/>
    </row>
    <row r="460">
      <c r="A460" t="inlineStr">
        <is>
          <t>No</t>
        </is>
      </c>
      <c r="B460" t="inlineStr"/>
      <c r="C460" t="inlineStr"/>
      <c r="D460" t="inlineStr"/>
    </row>
    <row r="461">
      <c r="A461" t="inlineStr">
        <is>
          <t>No</t>
        </is>
      </c>
      <c r="B461" t="inlineStr"/>
      <c r="C461" t="inlineStr"/>
      <c r="D461" t="inlineStr"/>
    </row>
    <row r="462">
      <c r="A462" t="inlineStr">
        <is>
          <t>Yes</t>
        </is>
      </c>
      <c r="B462" t="inlineStr">
        <is>
          <t>Not willing to let my child leave the country without me :)</t>
        </is>
      </c>
      <c r="C462" t="inlineStr"/>
      <c r="D462" t="inlineStr"/>
    </row>
    <row r="463">
      <c r="A463" t="inlineStr">
        <is>
          <t>No</t>
        </is>
      </c>
      <c r="B463" t="inlineStr"/>
      <c r="C463" t="inlineStr">
        <is>
          <t>my child wanted an experience independent of me</t>
        </is>
      </c>
      <c r="D463" t="inlineStr"/>
    </row>
    <row r="464">
      <c r="A464" t="inlineStr">
        <is>
          <t>No</t>
        </is>
      </c>
      <c r="B464" t="inlineStr"/>
      <c r="C464" t="inlineStr">
        <is>
          <t>other kids at home. I travel a lot myself, but don't think my kids would want me to be there. I'd like them to have their own experience</t>
        </is>
      </c>
      <c r="D464" t="inlineStr"/>
    </row>
    <row r="465">
      <c r="A465" t="inlineStr">
        <is>
          <t>No</t>
        </is>
      </c>
      <c r="B465" t="inlineStr"/>
      <c r="C465" t="inlineStr">
        <is>
          <t>Cost; Work commitments</t>
        </is>
      </c>
      <c r="D465" t="inlineStr"/>
    </row>
    <row r="466">
      <c r="A466" t="inlineStr">
        <is>
          <t>No</t>
        </is>
      </c>
      <c r="B466" t="inlineStr"/>
      <c r="C466" t="inlineStr">
        <is>
          <t>No time off work.</t>
        </is>
      </c>
      <c r="D466" t="inlineStr"/>
    </row>
    <row r="467">
      <c r="A467" t="inlineStr">
        <is>
          <t>Yes</t>
        </is>
      </c>
      <c r="B467" t="inlineStr">
        <is>
          <t>My husband went last year with our daughter and had a great experience.</t>
        </is>
      </c>
      <c r="C467" t="inlineStr"/>
      <c r="D467" t="inlineStr"/>
    </row>
    <row r="468">
      <c r="A468" t="inlineStr"/>
      <c r="B468" t="inlineStr"/>
      <c r="C468" t="inlineStr"/>
      <c r="D468" t="inlineStr"/>
    </row>
    <row r="469">
      <c r="A469" t="inlineStr">
        <is>
          <t>No</t>
        </is>
      </c>
      <c r="B469" t="inlineStr"/>
      <c r="C469" t="inlineStr">
        <is>
          <t>Work schedule, price, health.</t>
        </is>
      </c>
      <c r="D469" t="inlineStr"/>
    </row>
    <row r="470">
      <c r="A470" t="inlineStr">
        <is>
          <t>No</t>
        </is>
      </c>
      <c r="B470" t="inlineStr"/>
      <c r="C470" t="inlineStr">
        <is>
          <t>Work, price, health</t>
        </is>
      </c>
      <c r="D470" t="inlineStr"/>
    </row>
    <row r="471">
      <c r="A471" t="inlineStr">
        <is>
          <t>No</t>
        </is>
      </c>
      <c r="B471" t="inlineStr"/>
      <c r="C471" t="inlineStr">
        <is>
          <t>Kids at home</t>
        </is>
      </c>
      <c r="D471" t="inlineStr"/>
    </row>
    <row r="472">
      <c r="A472" t="inlineStr">
        <is>
          <t>No</t>
        </is>
      </c>
      <c r="B472" t="inlineStr"/>
      <c r="C472" t="inlineStr">
        <is>
          <t xml:space="preserve">Didn’t know it was an option, but I want our child to go solo anyway. </t>
        </is>
      </c>
      <c r="D472" t="inlineStr"/>
    </row>
    <row r="473">
      <c r="A473" t="inlineStr">
        <is>
          <t>Maybe</t>
        </is>
      </c>
      <c r="B473" t="inlineStr"/>
      <c r="C473" t="inlineStr"/>
      <c r="D473" t="inlineStr">
        <is>
          <t xml:space="preserve">Maybe with one of my next kids as the younger ones get older. </t>
        </is>
      </c>
    </row>
    <row r="474">
      <c r="A474" t="inlineStr">
        <is>
          <t>No</t>
        </is>
      </c>
      <c r="B474" t="inlineStr"/>
      <c r="C474" t="inlineStr">
        <is>
          <t>Money and my other 4 kids at home, also I did want my daughter to experience not having me around</t>
        </is>
      </c>
      <c r="D474" t="inlineStr"/>
    </row>
    <row r="475">
      <c r="A475" t="inlineStr">
        <is>
          <t>Yes</t>
        </is>
      </c>
      <c r="B475" t="inlineStr">
        <is>
          <t xml:space="preserve">My daughter </t>
        </is>
      </c>
      <c r="C475" t="inlineStr"/>
      <c r="D475" t="inlineStr"/>
    </row>
    <row r="476">
      <c r="A476" t="inlineStr">
        <is>
          <t>No</t>
        </is>
      </c>
      <c r="B476" t="inlineStr"/>
      <c r="C476" t="inlineStr">
        <is>
          <t>Other obligations</t>
        </is>
      </c>
      <c r="D476" t="inlineStr"/>
    </row>
    <row r="477">
      <c r="A477" t="inlineStr">
        <is>
          <t>No</t>
        </is>
      </c>
      <c r="B477" t="inlineStr"/>
      <c r="C477" t="inlineStr">
        <is>
          <t>cost and work obligations</t>
        </is>
      </c>
      <c r="D477" t="inlineStr"/>
    </row>
    <row r="478">
      <c r="A478" t="inlineStr">
        <is>
          <t>Maybe</t>
        </is>
      </c>
      <c r="B478" t="inlineStr"/>
      <c r="C478" t="inlineStr"/>
      <c r="D478" t="inlineStr">
        <is>
          <t xml:space="preserve">Not sure </t>
        </is>
      </c>
    </row>
    <row r="479">
      <c r="A479" t="inlineStr">
        <is>
          <t>No</t>
        </is>
      </c>
      <c r="B479" t="inlineStr"/>
      <c r="C479" t="inlineStr"/>
      <c r="D479" t="inlineStr"/>
    </row>
    <row r="480">
      <c r="A480" t="inlineStr">
        <is>
          <t>No</t>
        </is>
      </c>
      <c r="B480" t="inlineStr"/>
      <c r="C480" t="inlineStr">
        <is>
          <t>My daughter didn’t want me to! 🤣</t>
        </is>
      </c>
      <c r="D480" t="inlineStr"/>
    </row>
    <row r="481">
      <c r="A481" t="inlineStr">
        <is>
          <t>No</t>
        </is>
      </c>
      <c r="B481" t="inlineStr"/>
      <c r="C481" t="inlineStr"/>
      <c r="D481" t="inlineStr"/>
    </row>
    <row r="482">
      <c r="A482" t="inlineStr">
        <is>
          <t>No</t>
        </is>
      </c>
      <c r="B482" t="inlineStr"/>
      <c r="C482" t="inlineStr">
        <is>
          <t xml:space="preserve">I couldn't afford it. </t>
        </is>
      </c>
      <c r="D482" t="inlineStr"/>
    </row>
    <row r="483">
      <c r="A483" t="inlineStr">
        <is>
          <t>Yes</t>
        </is>
      </c>
      <c r="B483" t="inlineStr">
        <is>
          <t>Previous children and wife went to HXP and I love the whole mission and vision of HCP</t>
        </is>
      </c>
      <c r="C483" t="inlineStr"/>
      <c r="D483" t="inlineStr"/>
    </row>
    <row r="484">
      <c r="A484" t="inlineStr">
        <is>
          <t>No</t>
        </is>
      </c>
      <c r="B484" t="inlineStr"/>
      <c r="C484" t="inlineStr">
        <is>
          <t xml:space="preserve">We will be out of town </t>
        </is>
      </c>
      <c r="D484" t="inlineStr"/>
    </row>
    <row r="485">
      <c r="A485" t="inlineStr">
        <is>
          <t>Yes</t>
        </is>
      </c>
      <c r="B485" t="inlineStr">
        <is>
          <t>The great experience that you guys provide the leadership that you have and the opportunity to help the youth experience another culture</t>
        </is>
      </c>
      <c r="C485" t="inlineStr"/>
      <c r="D485" t="inlineStr"/>
    </row>
    <row r="486">
      <c r="A486" t="inlineStr">
        <is>
          <t>Maybe</t>
        </is>
      </c>
      <c r="B486" t="inlineStr"/>
      <c r="C486" t="inlineStr"/>
      <c r="D486" t="inlineStr">
        <is>
          <t>I don’t know much about it. I would need more info</t>
        </is>
      </c>
    </row>
    <row r="487">
      <c r="A487" t="inlineStr">
        <is>
          <t>No</t>
        </is>
      </c>
      <c r="B487" t="inlineStr"/>
      <c r="C487" t="inlineStr">
        <is>
          <t>Price</t>
        </is>
      </c>
      <c r="D487" t="inlineStr"/>
    </row>
    <row r="488">
      <c r="A488" t="inlineStr">
        <is>
          <t>No</t>
        </is>
      </c>
      <c r="B488" t="inlineStr"/>
      <c r="C488" t="inlineStr">
        <is>
          <t>Cost</t>
        </is>
      </c>
      <c r="D488" t="inlineStr"/>
    </row>
    <row r="489">
      <c r="A489" t="inlineStr">
        <is>
          <t>No</t>
        </is>
      </c>
      <c r="B489" t="inlineStr"/>
      <c r="C489" t="inlineStr">
        <is>
          <t xml:space="preserve">She was so excited to do a trip by herself </t>
        </is>
      </c>
      <c r="D489" t="inlineStr"/>
    </row>
    <row r="490">
      <c r="A490" t="inlineStr">
        <is>
          <t>No</t>
        </is>
      </c>
      <c r="B490" t="inlineStr"/>
      <c r="C490" t="inlineStr">
        <is>
          <t>My son :)</t>
        </is>
      </c>
      <c r="D490" t="inlineStr"/>
    </row>
    <row r="491">
      <c r="A491" t="inlineStr">
        <is>
          <t>No</t>
        </is>
      </c>
      <c r="B491" t="inlineStr"/>
      <c r="C491" t="inlineStr"/>
      <c r="D491" t="inlineStr"/>
    </row>
    <row r="492">
      <c r="A492" t="inlineStr">
        <is>
          <t>No</t>
        </is>
      </c>
      <c r="B492" t="inlineStr"/>
      <c r="C492" t="inlineStr">
        <is>
          <t>work</t>
        </is>
      </c>
      <c r="D492" t="inlineStr"/>
    </row>
    <row r="493">
      <c r="A493" t="inlineStr">
        <is>
          <t>Yes</t>
        </is>
      </c>
      <c r="B493" t="inlineStr">
        <is>
          <t>Husband went last year with our daughter.</t>
        </is>
      </c>
      <c r="C493" t="inlineStr"/>
      <c r="D493" t="inlineStr"/>
    </row>
    <row r="494">
      <c r="A494" t="inlineStr">
        <is>
          <t>No</t>
        </is>
      </c>
      <c r="B494" t="inlineStr"/>
      <c r="C494" t="inlineStr">
        <is>
          <t xml:space="preserve">I wanted my builder to have a more personal experience </t>
        </is>
      </c>
      <c r="D494" t="inlineStr"/>
    </row>
    <row r="495">
      <c r="A495" t="inlineStr">
        <is>
          <t>No</t>
        </is>
      </c>
      <c r="B495" t="inlineStr"/>
      <c r="C495" t="inlineStr">
        <is>
          <t>child wanted the independence</t>
        </is>
      </c>
      <c r="D495" t="inlineStr"/>
    </row>
    <row r="496">
      <c r="A496" t="inlineStr">
        <is>
          <t>No</t>
        </is>
      </c>
      <c r="B496" t="inlineStr"/>
      <c r="C496" t="inlineStr">
        <is>
          <t>Home schedule too busy</t>
        </is>
      </c>
      <c r="D496" t="inlineStr"/>
    </row>
    <row r="497">
      <c r="A497" t="inlineStr">
        <is>
          <t>No</t>
        </is>
      </c>
      <c r="B497" t="inlineStr"/>
      <c r="C497" t="inlineStr">
        <is>
          <t>She wanted to go on her own and experience some independance</t>
        </is>
      </c>
      <c r="D497" t="inlineStr"/>
    </row>
    <row r="498">
      <c r="A498" t="inlineStr">
        <is>
          <t>No</t>
        </is>
      </c>
      <c r="B498" t="inlineStr"/>
      <c r="C498" t="inlineStr">
        <is>
          <t>Our daughter needed to experience this growth on her own, but we will miss her like crazy</t>
        </is>
      </c>
      <c r="D498" t="inlineStr"/>
    </row>
    <row r="499">
      <c r="A499" t="inlineStr">
        <is>
          <t>No</t>
        </is>
      </c>
      <c r="B499" t="inlineStr"/>
      <c r="C499" t="inlineStr">
        <is>
          <t xml:space="preserve">My kids what to have their own experience </t>
        </is>
      </c>
      <c r="D499" t="inlineStr"/>
    </row>
    <row r="500">
      <c r="A500" t="inlineStr">
        <is>
          <t>Yes</t>
        </is>
      </c>
      <c r="B500" t="inlineStr">
        <is>
          <t>Always wanted to do a humanitarian trip</t>
        </is>
      </c>
      <c r="C500" t="inlineStr"/>
      <c r="D500" t="inlineStr"/>
    </row>
    <row r="501">
      <c r="A501" t="inlineStr">
        <is>
          <t>No</t>
        </is>
      </c>
      <c r="B501" t="inlineStr"/>
      <c r="C501" t="inlineStr">
        <is>
          <t xml:space="preserve">Cost </t>
        </is>
      </c>
      <c r="D501" t="inlineStr"/>
    </row>
    <row r="502">
      <c r="A502" t="inlineStr"/>
      <c r="B502" t="inlineStr"/>
      <c r="C502" t="inlineStr"/>
      <c r="D502" t="inlineStr"/>
    </row>
    <row r="503">
      <c r="A503" t="inlineStr">
        <is>
          <t>No</t>
        </is>
      </c>
      <c r="B503" t="inlineStr"/>
      <c r="C503" t="inlineStr">
        <is>
          <t>I can't take that much time off of work.</t>
        </is>
      </c>
      <c r="D503" t="inlineStr"/>
    </row>
    <row r="504">
      <c r="A504" t="inlineStr">
        <is>
          <t>No</t>
        </is>
      </c>
      <c r="B504" t="inlineStr"/>
      <c r="C504" t="inlineStr">
        <is>
          <t>My son’s preference &amp; husbands work schedule</t>
        </is>
      </c>
      <c r="D504" t="inlineStr"/>
    </row>
    <row r="505">
      <c r="A505" t="inlineStr">
        <is>
          <t>No</t>
        </is>
      </c>
      <c r="B505" t="inlineStr"/>
      <c r="C505" t="inlineStr">
        <is>
          <t xml:space="preserve">I already went with another child.  I would love to go again.  It’s just a lot of money to send two people.  </t>
        </is>
      </c>
      <c r="D505" t="inlineStr"/>
    </row>
    <row r="506">
      <c r="A506" t="inlineStr">
        <is>
          <t>No</t>
        </is>
      </c>
      <c r="B506" t="inlineStr"/>
      <c r="C506" t="inlineStr">
        <is>
          <t xml:space="preserve">The price and too many kids at home </t>
        </is>
      </c>
      <c r="D506" t="inlineStr"/>
    </row>
    <row r="507">
      <c r="A507" t="inlineStr">
        <is>
          <t>No</t>
        </is>
      </c>
      <c r="B507" t="inlineStr"/>
      <c r="C507" t="inlineStr"/>
      <c r="D507" t="inlineStr"/>
    </row>
    <row r="508">
      <c r="A508" t="inlineStr">
        <is>
          <t>No</t>
        </is>
      </c>
      <c r="B508" t="inlineStr"/>
      <c r="C508" t="inlineStr">
        <is>
          <t>My child needs this experience independent of me.</t>
        </is>
      </c>
      <c r="D508" t="inlineStr"/>
    </row>
    <row r="509">
      <c r="A509" t="inlineStr">
        <is>
          <t>No</t>
        </is>
      </c>
      <c r="B509" t="inlineStr"/>
      <c r="C509" t="inlineStr">
        <is>
          <t>My son didn’t want me to! :)</t>
        </is>
      </c>
      <c r="D509" t="inlineStr"/>
    </row>
    <row r="510">
      <c r="A510" t="inlineStr">
        <is>
          <t>No</t>
        </is>
      </c>
      <c r="B510" t="inlineStr"/>
      <c r="C510" t="inlineStr">
        <is>
          <t>My daughter wanted to go alone</t>
        </is>
      </c>
      <c r="D510" t="inlineStr"/>
    </row>
    <row r="511">
      <c r="A511" t="inlineStr">
        <is>
          <t>No</t>
        </is>
      </c>
      <c r="B511" t="inlineStr"/>
      <c r="C511" t="inlineStr">
        <is>
          <t>price</t>
        </is>
      </c>
      <c r="D511" t="inlineStr"/>
    </row>
    <row r="512">
      <c r="A512" t="inlineStr">
        <is>
          <t>No</t>
        </is>
      </c>
      <c r="B512" t="inlineStr"/>
      <c r="C512" t="inlineStr">
        <is>
          <t>too much going on at home</t>
        </is>
      </c>
      <c r="D512" t="inlineStr"/>
    </row>
    <row r="513">
      <c r="A513" t="inlineStr">
        <is>
          <t>No</t>
        </is>
      </c>
      <c r="B513" t="inlineStr"/>
      <c r="C513" t="inlineStr"/>
      <c r="D513" t="inlineStr"/>
    </row>
    <row r="514">
      <c r="A514" t="inlineStr">
        <is>
          <t>No</t>
        </is>
      </c>
      <c r="B514" t="inlineStr"/>
      <c r="C514" t="inlineStr">
        <is>
          <t>Can’t take off work for that long/leave the younger kuds</t>
        </is>
      </c>
      <c r="D514" t="inlineStr"/>
    </row>
    <row r="515">
      <c r="A515" t="inlineStr">
        <is>
          <t>No</t>
        </is>
      </c>
      <c r="B515" t="inlineStr"/>
      <c r="C515" t="inlineStr">
        <is>
          <t>Cost</t>
        </is>
      </c>
      <c r="D515" t="inlineStr"/>
    </row>
    <row r="516">
      <c r="A516" t="inlineStr">
        <is>
          <t>No</t>
        </is>
      </c>
      <c r="B516" t="inlineStr"/>
      <c r="C516" t="inlineStr">
        <is>
          <t>Money and time</t>
        </is>
      </c>
      <c r="D516" t="inlineStr"/>
    </row>
    <row r="517">
      <c r="A517" t="inlineStr">
        <is>
          <t>No</t>
        </is>
      </c>
      <c r="B517" t="inlineStr"/>
      <c r="C517" t="inlineStr">
        <is>
          <t>I am in school and don’t have the time</t>
        </is>
      </c>
      <c r="D517" t="inlineStr"/>
    </row>
    <row r="518">
      <c r="A518" t="inlineStr">
        <is>
          <t>No</t>
        </is>
      </c>
      <c r="B518" t="inlineStr"/>
      <c r="C518" t="inlineStr">
        <is>
          <t xml:space="preserve">Other children at home to take care of </t>
        </is>
      </c>
      <c r="D518" t="inlineStr"/>
    </row>
    <row r="519">
      <c r="A519" t="inlineStr">
        <is>
          <t>Yes</t>
        </is>
      </c>
      <c r="B519" t="inlineStr">
        <is>
          <t>Gone in the past. going this year but to WV with another son (not Kenya)</t>
        </is>
      </c>
      <c r="C519" t="inlineStr"/>
      <c r="D519" t="inlineStr"/>
    </row>
    <row r="520">
      <c r="A520" t="inlineStr">
        <is>
          <t>No</t>
        </is>
      </c>
      <c r="B520" t="inlineStr"/>
      <c r="C520" t="inlineStr">
        <is>
          <t xml:space="preserve">Unable to commit for that long due to other obligations </t>
        </is>
      </c>
      <c r="D520" t="inlineStr"/>
    </row>
    <row r="521">
      <c r="A521" t="inlineStr">
        <is>
          <t>No</t>
        </is>
      </c>
      <c r="B521" t="inlineStr"/>
      <c r="C521" t="inlineStr">
        <is>
          <t>I’d like my child to branch out without me there. I think she’d stuck by my side and not have a full experience that she would without me.</t>
        </is>
      </c>
      <c r="D521" t="inlineStr"/>
    </row>
    <row r="522">
      <c r="A522" t="inlineStr">
        <is>
          <t>No</t>
        </is>
      </c>
      <c r="B522" t="inlineStr"/>
      <c r="C522" t="inlineStr">
        <is>
          <t>We are very involved with our child's activities at home &amp; school and we want him to have the opportunity to have independent travel, cultural and spiritual experiences ...I know my husband and I would love being Parent Builders :(</t>
        </is>
      </c>
      <c r="D522" t="inlineStr"/>
    </row>
    <row r="523">
      <c r="A523" t="inlineStr">
        <is>
          <t>No</t>
        </is>
      </c>
      <c r="B523" t="inlineStr"/>
      <c r="C523" t="inlineStr">
        <is>
          <t>Wanted my son to have experience with new friends and not a patent</t>
        </is>
      </c>
      <c r="D523" t="inlineStr"/>
    </row>
    <row r="524">
      <c r="A524" t="inlineStr">
        <is>
          <t>No</t>
        </is>
      </c>
      <c r="B524" t="inlineStr"/>
      <c r="C524" t="inlineStr">
        <is>
          <t>My husband is going with my son!</t>
        </is>
      </c>
      <c r="D524" t="inlineStr"/>
    </row>
    <row r="525">
      <c r="A525" t="inlineStr">
        <is>
          <t>Yes</t>
        </is>
      </c>
      <c r="B525" t="inlineStr">
        <is>
          <t>My child invited me</t>
        </is>
      </c>
      <c r="C525" t="inlineStr"/>
      <c r="D525" t="inlineStr"/>
    </row>
    <row r="526">
      <c r="A526" t="inlineStr">
        <is>
          <t>No</t>
        </is>
      </c>
      <c r="B526" t="inlineStr"/>
      <c r="C526" t="inlineStr"/>
      <c r="D526" t="inlineStr"/>
    </row>
    <row r="527">
      <c r="A527" t="inlineStr">
        <is>
          <t>No</t>
        </is>
      </c>
      <c r="B527" t="inlineStr"/>
      <c r="C527" t="inlineStr">
        <is>
          <t xml:space="preserve">Daughter didn’t want me to go </t>
        </is>
      </c>
      <c r="D527" t="inlineStr"/>
    </row>
    <row r="528">
      <c r="A528" t="inlineStr">
        <is>
          <t>No</t>
        </is>
      </c>
      <c r="B528" t="inlineStr"/>
      <c r="C528" t="inlineStr">
        <is>
          <t>My own health and for my husband, the inability to take off that amount of time from work</t>
        </is>
      </c>
      <c r="D528" t="inlineStr"/>
    </row>
    <row r="529">
      <c r="A529" t="inlineStr">
        <is>
          <t>No</t>
        </is>
      </c>
      <c r="B529" t="inlineStr"/>
      <c r="C529" t="inlineStr">
        <is>
          <t xml:space="preserve">I have no extra time </t>
        </is>
      </c>
      <c r="D529" t="inlineStr"/>
    </row>
    <row r="530">
      <c r="A530" t="inlineStr">
        <is>
          <t>No</t>
        </is>
      </c>
      <c r="B530" t="inlineStr"/>
      <c r="C530" t="inlineStr">
        <is>
          <t>Other children</t>
        </is>
      </c>
      <c r="D530" t="inlineStr"/>
    </row>
    <row r="531">
      <c r="A531" t="inlineStr">
        <is>
          <t>No</t>
        </is>
      </c>
      <c r="B531" t="inlineStr"/>
      <c r="C531" t="inlineStr">
        <is>
          <t>So my daughter could have her own unique experience</t>
        </is>
      </c>
      <c r="D531" t="inlineStr"/>
    </row>
    <row r="532">
      <c r="A532" t="inlineStr">
        <is>
          <t>Yes</t>
        </is>
      </c>
      <c r="B532" t="inlineStr">
        <is>
          <t>Help my 14 year old, bonding experience</t>
        </is>
      </c>
      <c r="C532" t="inlineStr"/>
      <c r="D532" t="inlineStr"/>
    </row>
    <row r="533">
      <c r="A533" t="inlineStr">
        <is>
          <t>No</t>
        </is>
      </c>
      <c r="B533" t="inlineStr"/>
      <c r="C533" t="inlineStr">
        <is>
          <t>Money</t>
        </is>
      </c>
      <c r="D533" t="inlineStr"/>
    </row>
    <row r="534">
      <c r="A534" t="inlineStr">
        <is>
          <t>No</t>
        </is>
      </c>
      <c r="B534" t="inlineStr"/>
      <c r="C534" t="inlineStr">
        <is>
          <t>Money</t>
        </is>
      </c>
      <c r="D534" t="inlineStr"/>
    </row>
    <row r="535">
      <c r="A535" t="inlineStr">
        <is>
          <t>No</t>
        </is>
      </c>
      <c r="B535" t="inlineStr"/>
      <c r="C535" t="inlineStr">
        <is>
          <t xml:space="preserve">Give my son space to have his own experience </t>
        </is>
      </c>
      <c r="D535" t="inlineStr"/>
    </row>
    <row r="536">
      <c r="A536" t="inlineStr">
        <is>
          <t>No</t>
        </is>
      </c>
      <c r="B536" t="inlineStr"/>
      <c r="C536" t="inlineStr">
        <is>
          <t>Time and cost</t>
        </is>
      </c>
      <c r="D536" t="inlineStr"/>
    </row>
    <row r="537">
      <c r="A537" t="inlineStr">
        <is>
          <t>No</t>
        </is>
      </c>
      <c r="B537" t="inlineStr"/>
      <c r="C537" t="inlineStr">
        <is>
          <t xml:space="preserve">Other children at home </t>
        </is>
      </c>
      <c r="D537" t="inlineStr"/>
    </row>
    <row r="538">
      <c r="A538" t="inlineStr">
        <is>
          <t>Yes</t>
        </is>
      </c>
      <c r="B538" t="inlineStr">
        <is>
          <t xml:space="preserve">My daughter </t>
        </is>
      </c>
      <c r="C538" t="inlineStr"/>
      <c r="D538" t="inlineStr"/>
    </row>
    <row r="539">
      <c r="A539" t="inlineStr">
        <is>
          <t>No</t>
        </is>
      </c>
      <c r="B539" t="inlineStr"/>
      <c r="C539" t="inlineStr">
        <is>
          <t>I have 5 kids and two of them are younger than Kindergarten</t>
        </is>
      </c>
      <c r="D539" t="inlineStr"/>
    </row>
    <row r="540">
      <c r="A540" t="inlineStr">
        <is>
          <t>No</t>
        </is>
      </c>
      <c r="B540" t="inlineStr"/>
      <c r="C540" t="inlineStr"/>
      <c r="D540" t="inlineStr"/>
    </row>
    <row r="541">
      <c r="A541" t="inlineStr">
        <is>
          <t>No</t>
        </is>
      </c>
      <c r="B541" t="inlineStr"/>
      <c r="C541" t="inlineStr">
        <is>
          <t xml:space="preserve">Timing- otherwise I’d love to go - wanted my child to have their own experience independent from me </t>
        </is>
      </c>
      <c r="D541" t="inlineStr"/>
    </row>
    <row r="542">
      <c r="A542" t="inlineStr">
        <is>
          <t>No</t>
        </is>
      </c>
      <c r="B542" t="inlineStr"/>
      <c r="C542" t="inlineStr">
        <is>
          <t>I couldn’t be away from work for that long and my child didn’t care if I was there or not.</t>
        </is>
      </c>
      <c r="D542" t="inlineStr"/>
    </row>
    <row r="543">
      <c r="A543" t="inlineStr">
        <is>
          <t>No</t>
        </is>
      </c>
      <c r="B543" t="inlineStr"/>
      <c r="C543" t="inlineStr">
        <is>
          <t xml:space="preserve">We think our son will have a better experience with out us there </t>
        </is>
      </c>
      <c r="D543" t="inlineStr"/>
    </row>
    <row r="544">
      <c r="A544" t="inlineStr">
        <is>
          <t>No</t>
        </is>
      </c>
      <c r="B544" t="inlineStr"/>
      <c r="C544" t="inlineStr"/>
      <c r="D544" t="inlineStr"/>
    </row>
    <row r="545">
      <c r="A545" t="inlineStr">
        <is>
          <t>No</t>
        </is>
      </c>
      <c r="B545" t="inlineStr"/>
      <c r="C545" t="inlineStr"/>
      <c r="D545" t="inlineStr"/>
    </row>
    <row r="546">
      <c r="A546" t="inlineStr">
        <is>
          <t>No</t>
        </is>
      </c>
      <c r="B546" t="inlineStr"/>
      <c r="C546" t="inlineStr">
        <is>
          <t>My daughter didn't care if I went; hard to take off work for 3 weeks.</t>
        </is>
      </c>
      <c r="D546" t="inlineStr"/>
    </row>
    <row r="547">
      <c r="A547" t="inlineStr">
        <is>
          <t>No</t>
        </is>
      </c>
      <c r="B547" t="inlineStr"/>
      <c r="C547" t="inlineStr">
        <is>
          <t>Because of other travel plans, I would’ve been out of town for longer than a month, which I’m not able to do.</t>
        </is>
      </c>
      <c r="D547" t="inlineStr"/>
    </row>
    <row r="548">
      <c r="A548" t="inlineStr">
        <is>
          <t>No</t>
        </is>
      </c>
      <c r="B548" t="inlineStr"/>
      <c r="C548" t="inlineStr">
        <is>
          <t xml:space="preserve">Kids at home </t>
        </is>
      </c>
      <c r="D548" t="inlineStr"/>
    </row>
    <row r="549">
      <c r="A549" t="inlineStr">
        <is>
          <t>No</t>
        </is>
      </c>
      <c r="B549" t="inlineStr"/>
      <c r="C549" t="inlineStr">
        <is>
          <t>My child didn’t want me along</t>
        </is>
      </c>
      <c r="D549" t="inlineStr"/>
    </row>
    <row r="550">
      <c r="A550" t="inlineStr">
        <is>
          <t>No</t>
        </is>
      </c>
      <c r="B550" t="inlineStr"/>
      <c r="C550" t="inlineStr">
        <is>
          <t>Past Experiences</t>
        </is>
      </c>
      <c r="D550" t="inlineStr"/>
    </row>
    <row r="551">
      <c r="A551" t="inlineStr">
        <is>
          <t>No</t>
        </is>
      </c>
      <c r="B551" t="inlineStr"/>
      <c r="C551" t="inlineStr">
        <is>
          <t xml:space="preserve">This summer, I'm unable to with my younger son at home. I would love to go along with him in the future when he goes, though! </t>
        </is>
      </c>
      <c r="D551" t="inlineStr"/>
    </row>
    <row r="552">
      <c r="A552" t="inlineStr">
        <is>
          <t>No</t>
        </is>
      </c>
      <c r="B552" t="inlineStr"/>
      <c r="C552" t="inlineStr">
        <is>
          <t xml:space="preserve">Time and wanting my bullder to have their own experience </t>
        </is>
      </c>
      <c r="D552" t="inlineStr"/>
    </row>
    <row r="553">
      <c r="A553" t="inlineStr">
        <is>
          <t>No</t>
        </is>
      </c>
      <c r="B553" t="inlineStr"/>
      <c r="C553" t="inlineStr">
        <is>
          <t>Wanted daughter to have a solo experience</t>
        </is>
      </c>
      <c r="D553" t="inlineStr"/>
    </row>
    <row r="554">
      <c r="A554" t="inlineStr">
        <is>
          <t>No</t>
        </is>
      </c>
      <c r="B554" t="inlineStr"/>
      <c r="C554" t="inlineStr">
        <is>
          <t>Wanted him to grow</t>
        </is>
      </c>
      <c r="D554" t="inlineStr"/>
    </row>
    <row r="555">
      <c r="A555" t="inlineStr">
        <is>
          <t>No</t>
        </is>
      </c>
      <c r="B555" t="inlineStr"/>
      <c r="C555" t="inlineStr">
        <is>
          <t>It was full.</t>
        </is>
      </c>
      <c r="D555" t="inlineStr"/>
    </row>
    <row r="556">
      <c r="A556" t="inlineStr">
        <is>
          <t>No</t>
        </is>
      </c>
      <c r="B556" t="inlineStr"/>
      <c r="C556" t="inlineStr">
        <is>
          <t xml:space="preserve">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 </t>
        </is>
      </c>
      <c r="D556" t="inlineStr"/>
    </row>
    <row r="557">
      <c r="A557" t="inlineStr">
        <is>
          <t>Yes</t>
        </is>
      </c>
      <c r="B557" t="inlineStr">
        <is>
          <t>Having gone on a previous trip</t>
        </is>
      </c>
      <c r="C557" t="inlineStr"/>
      <c r="D557" t="inlineStr"/>
    </row>
    <row r="558">
      <c r="A558" t="inlineStr"/>
      <c r="B558" t="inlineStr"/>
      <c r="C558" t="inlineStr"/>
      <c r="D558" t="inlineStr"/>
    </row>
    <row r="559">
      <c r="A559" t="inlineStr">
        <is>
          <t>No</t>
        </is>
      </c>
      <c r="B559" t="inlineStr"/>
      <c r="C559" t="inlineStr">
        <is>
          <t>Wanted to give my son space to have his own experience</t>
        </is>
      </c>
      <c r="D559" t="inlineStr"/>
    </row>
    <row r="560">
      <c r="A560" t="inlineStr">
        <is>
          <t>No</t>
        </is>
      </c>
      <c r="B560" t="inlineStr"/>
      <c r="C560" t="inlineStr"/>
      <c r="D560" t="inlineStr"/>
    </row>
    <row r="561">
      <c r="A561" t="inlineStr">
        <is>
          <t>No</t>
        </is>
      </c>
      <c r="B561" t="inlineStr"/>
      <c r="C561" t="inlineStr">
        <is>
          <t>practicality of leaving my family for 3 weeks</t>
        </is>
      </c>
      <c r="D561" t="inlineStr"/>
    </row>
    <row r="562">
      <c r="A562" t="inlineStr">
        <is>
          <t>No</t>
        </is>
      </c>
      <c r="B562" t="inlineStr"/>
      <c r="C562" t="inlineStr">
        <is>
          <t xml:space="preserve">Let our child have his own experience </t>
        </is>
      </c>
      <c r="D562" t="inlineStr"/>
    </row>
    <row r="563">
      <c r="A563" t="inlineStr">
        <is>
          <t>No</t>
        </is>
      </c>
      <c r="B563" t="inlineStr"/>
      <c r="C563" t="inlineStr">
        <is>
          <t>Other Extended Family went last year</t>
        </is>
      </c>
      <c r="D563" t="inlineStr"/>
    </row>
    <row r="564">
      <c r="A564" t="inlineStr">
        <is>
          <t>No</t>
        </is>
      </c>
      <c r="B564" t="inlineStr"/>
      <c r="C564" t="inlineStr">
        <is>
          <t xml:space="preserve">Just time commitments.  </t>
        </is>
      </c>
      <c r="D564" t="inlineStr"/>
    </row>
    <row r="565">
      <c r="A565" t="inlineStr">
        <is>
          <t>No</t>
        </is>
      </c>
      <c r="B565" t="inlineStr"/>
      <c r="C565" t="inlineStr">
        <is>
          <t xml:space="preserve">I am a trip leader for a different experience with my daughter this summer </t>
        </is>
      </c>
      <c r="D565" t="inlineStr"/>
    </row>
    <row r="566">
      <c r="A566" t="inlineStr">
        <is>
          <t>No</t>
        </is>
      </c>
      <c r="B566" t="inlineStr"/>
      <c r="C566" t="inlineStr">
        <is>
          <t>Cost</t>
        </is>
      </c>
      <c r="D566" t="inlineStr"/>
    </row>
    <row r="567">
      <c r="A567" t="inlineStr">
        <is>
          <t>No</t>
        </is>
      </c>
      <c r="B567" t="inlineStr"/>
      <c r="C567" t="inlineStr">
        <is>
          <t>other younger children</t>
        </is>
      </c>
      <c r="D567" t="inlineStr"/>
    </row>
    <row r="568">
      <c r="A568" t="inlineStr">
        <is>
          <t>No</t>
        </is>
      </c>
      <c r="B568" t="inlineStr"/>
      <c r="C568" t="inlineStr"/>
      <c r="D568" t="inlineStr"/>
    </row>
    <row r="569">
      <c r="A569" t="inlineStr"/>
      <c r="B569" t="inlineStr"/>
      <c r="C569" t="inlineStr"/>
      <c r="D569" t="inlineStr"/>
    </row>
    <row r="570">
      <c r="A570" t="inlineStr">
        <is>
          <t>No</t>
        </is>
      </c>
      <c r="B570" t="inlineStr"/>
      <c r="C570" t="inlineStr">
        <is>
          <t xml:space="preserve">My daughter wanted to go alone.  </t>
        </is>
      </c>
      <c r="D570" t="inlineStr"/>
    </row>
    <row r="571">
      <c r="A571" t="inlineStr">
        <is>
          <t>No</t>
        </is>
      </c>
      <c r="B571" t="inlineStr"/>
      <c r="C571" t="inlineStr">
        <is>
          <t xml:space="preserve">I have younger children </t>
        </is>
      </c>
      <c r="D571" t="inlineStr"/>
    </row>
    <row r="572">
      <c r="A572" t="inlineStr">
        <is>
          <t>Yes</t>
        </is>
      </c>
      <c r="B572" t="inlineStr">
        <is>
          <t>time with my daughter, doing something for others</t>
        </is>
      </c>
      <c r="C572" t="inlineStr"/>
      <c r="D572" t="inlineStr"/>
    </row>
    <row r="573">
      <c r="A573" t="inlineStr">
        <is>
          <t>No</t>
        </is>
      </c>
      <c r="B573" t="inlineStr"/>
      <c r="C573" t="inlineStr">
        <is>
          <t xml:space="preserve">My son wants to have an experience on his own. </t>
        </is>
      </c>
      <c r="D573" t="inlineStr"/>
    </row>
    <row r="574">
      <c r="A574" t="inlineStr">
        <is>
          <t>No</t>
        </is>
      </c>
      <c r="B574" t="inlineStr"/>
      <c r="C574" t="inlineStr">
        <is>
          <t>my daughter wanted to do this independently</t>
        </is>
      </c>
      <c r="D574" t="inlineStr"/>
    </row>
    <row r="575">
      <c r="A575" t="inlineStr">
        <is>
          <t>Maybe</t>
        </is>
      </c>
      <c r="B575" t="inlineStr"/>
      <c r="C575" t="inlineStr"/>
      <c r="D575" t="inlineStr">
        <is>
          <t>Free time</t>
        </is>
      </c>
    </row>
    <row r="576">
      <c r="A576" t="inlineStr">
        <is>
          <t>Yes</t>
        </is>
      </c>
      <c r="B576" t="inlineStr">
        <is>
          <t>spend time with my son, build memories together and watch him grow.</t>
        </is>
      </c>
      <c r="C576" t="inlineStr"/>
      <c r="D576" t="inlineStr"/>
    </row>
    <row r="577">
      <c r="A577" t="inlineStr">
        <is>
          <t>No</t>
        </is>
      </c>
      <c r="B577" t="inlineStr"/>
      <c r="C577" t="inlineStr">
        <is>
          <t>I wanted my daughter to experience it without me!</t>
        </is>
      </c>
      <c r="D577" t="inlineStr"/>
    </row>
    <row r="578">
      <c r="A578" t="inlineStr">
        <is>
          <t>No</t>
        </is>
      </c>
      <c r="B578" t="inlineStr"/>
      <c r="C578" t="inlineStr">
        <is>
          <t xml:space="preserve">Daughter wanted to have her own adventure </t>
        </is>
      </c>
      <c r="D578" t="inlineStr"/>
    </row>
    <row r="579">
      <c r="A579" t="inlineStr">
        <is>
          <t>Maybe</t>
        </is>
      </c>
      <c r="B579" t="inlineStr"/>
      <c r="C579" t="inlineStr"/>
      <c r="D579" t="inlineStr">
        <is>
          <t>Finances and logistics with other children/husband.</t>
        </is>
      </c>
    </row>
    <row r="580">
      <c r="A580" t="inlineStr">
        <is>
          <t>No</t>
        </is>
      </c>
      <c r="B580" t="inlineStr"/>
      <c r="C580" t="inlineStr">
        <is>
          <t>Busy with other kids</t>
        </is>
      </c>
      <c r="D580" t="inlineStr"/>
    </row>
    <row r="581">
      <c r="A581" t="inlineStr">
        <is>
          <t>No</t>
        </is>
      </c>
      <c r="B581" t="inlineStr"/>
      <c r="C581" t="inlineStr">
        <is>
          <t>My child wanted to gain confidence and independence on this first trip. I'd love to go in the future.</t>
        </is>
      </c>
      <c r="D581" t="inlineStr"/>
    </row>
    <row r="582">
      <c r="A582" t="inlineStr"/>
      <c r="B582" t="inlineStr"/>
      <c r="C582" t="inlineStr"/>
      <c r="D582" t="inlineStr"/>
    </row>
    <row r="583">
      <c r="A583" t="inlineStr">
        <is>
          <t>No</t>
        </is>
      </c>
      <c r="B583" t="inlineStr"/>
      <c r="C583" t="inlineStr">
        <is>
          <t xml:space="preserve">I didn’t want a competition in relationship building. </t>
        </is>
      </c>
      <c r="D583" t="inlineStr"/>
    </row>
    <row r="584">
      <c r="A584" t="inlineStr">
        <is>
          <t>No</t>
        </is>
      </c>
      <c r="B584" t="inlineStr"/>
      <c r="C584" t="inlineStr">
        <is>
          <t xml:space="preserve">Don't know anyone who has done it personally so wasn't able to hear what to expect. </t>
        </is>
      </c>
      <c r="D584" t="inlineStr"/>
    </row>
    <row r="585">
      <c r="A585" t="inlineStr">
        <is>
          <t>No</t>
        </is>
      </c>
      <c r="B585" t="inlineStr"/>
      <c r="C585" t="inlineStr">
        <is>
          <t>Time</t>
        </is>
      </c>
      <c r="D585" t="inlineStr"/>
    </row>
    <row r="586">
      <c r="A586" t="inlineStr">
        <is>
          <t>No</t>
        </is>
      </c>
      <c r="B586" t="inlineStr"/>
      <c r="C586" t="inlineStr">
        <is>
          <t>Too busy with other kids at home.</t>
        </is>
      </c>
      <c r="D586" t="inlineStr"/>
    </row>
    <row r="587">
      <c r="A587" t="inlineStr">
        <is>
          <t>No</t>
        </is>
      </c>
      <c r="B587" t="inlineStr"/>
      <c r="C587" t="inlineStr">
        <is>
          <t>I have younger kids at home</t>
        </is>
      </c>
      <c r="D587" t="inlineStr"/>
    </row>
    <row r="588">
      <c r="A588" t="inlineStr">
        <is>
          <t>No</t>
        </is>
      </c>
      <c r="B588" t="inlineStr"/>
      <c r="C588" t="inlineStr">
        <is>
          <t>Cost &amp; scheduling conflict</t>
        </is>
      </c>
      <c r="D588" t="inlineStr"/>
    </row>
    <row r="589">
      <c r="A589" t="inlineStr"/>
      <c r="B589" t="inlineStr"/>
      <c r="C589" t="inlineStr"/>
      <c r="D589" t="inlineStr"/>
    </row>
    <row r="590">
      <c r="A590" t="inlineStr">
        <is>
          <t>No</t>
        </is>
      </c>
      <c r="B590" t="inlineStr"/>
      <c r="C590" t="inlineStr">
        <is>
          <t>We want our son to have an experience without us. We are viewing this as mission prep - doing things on his own, finding solutions to problems, showing grit and flexibility, etc.</t>
        </is>
      </c>
      <c r="D590" t="inlineStr"/>
    </row>
    <row r="591">
      <c r="A591" t="inlineStr">
        <is>
          <t>No</t>
        </is>
      </c>
      <c r="B591" t="inlineStr"/>
      <c r="C591" t="inlineStr">
        <is>
          <t>Money and obligations at home</t>
        </is>
      </c>
      <c r="D591" t="inlineStr"/>
    </row>
    <row r="592">
      <c r="A592" t="inlineStr">
        <is>
          <t>No</t>
        </is>
      </c>
      <c r="B592" t="inlineStr"/>
      <c r="C592" t="inlineStr">
        <is>
          <t xml:space="preserve">Time off work </t>
        </is>
      </c>
      <c r="D592" t="inlineStr"/>
    </row>
    <row r="593">
      <c r="A593" t="inlineStr">
        <is>
          <t>No</t>
        </is>
      </c>
      <c r="B593" t="inlineStr"/>
      <c r="C593" t="inlineStr">
        <is>
          <t>Norhing</t>
        </is>
      </c>
      <c r="D593" t="inlineStr"/>
    </row>
    <row r="594">
      <c r="A594" t="inlineStr">
        <is>
          <t>No</t>
        </is>
      </c>
      <c r="B594" t="inlineStr"/>
      <c r="C594" t="inlineStr">
        <is>
          <t>The cost</t>
        </is>
      </c>
      <c r="D594" t="inlineStr"/>
    </row>
    <row r="595">
      <c r="A595" t="inlineStr">
        <is>
          <t>No</t>
        </is>
      </c>
      <c r="B595" t="inlineStr"/>
      <c r="C595" t="inlineStr">
        <is>
          <t xml:space="preserve">My child wants to meet new people on his own. </t>
        </is>
      </c>
      <c r="D595" t="inlineStr"/>
    </row>
    <row r="596">
      <c r="A596" t="inlineStr">
        <is>
          <t>No</t>
        </is>
      </c>
      <c r="B596" t="inlineStr"/>
      <c r="C596" t="inlineStr">
        <is>
          <t>My daughter wanted to go alone.  Her dad went the last time with another daughter.</t>
        </is>
      </c>
      <c r="D596" t="inlineStr"/>
    </row>
    <row r="597">
      <c r="A597" t="inlineStr">
        <is>
          <t>No</t>
        </is>
      </c>
      <c r="B597" t="inlineStr"/>
      <c r="C597" t="inlineStr">
        <is>
          <t>Work conflict, wanted my builder to go on their own</t>
        </is>
      </c>
      <c r="D597" t="inlineStr"/>
    </row>
    <row r="598">
      <c r="A598" t="inlineStr">
        <is>
          <t>No</t>
        </is>
      </c>
      <c r="B598" t="inlineStr"/>
      <c r="C598" t="inlineStr"/>
      <c r="D598" t="inlineStr"/>
    </row>
    <row r="599">
      <c r="A599" t="inlineStr">
        <is>
          <t>No</t>
        </is>
      </c>
      <c r="B599" t="inlineStr"/>
      <c r="C599" t="inlineStr">
        <is>
          <t>It is difficult with my schedule for me to go. Additoinally, my kids wanted to have this opporunity to "spread their wings" and be more independent without my wife or me there.</t>
        </is>
      </c>
      <c r="D599" t="inlineStr"/>
    </row>
    <row r="600">
      <c r="A600" t="inlineStr">
        <is>
          <t>No</t>
        </is>
      </c>
      <c r="B600" t="inlineStr"/>
      <c r="C600" t="inlineStr">
        <is>
          <t xml:space="preserve">This an experience my kid wanted to have on his own. </t>
        </is>
      </c>
      <c r="D600" t="inlineStr"/>
    </row>
    <row r="601">
      <c r="A601" t="inlineStr">
        <is>
          <t>No</t>
        </is>
      </c>
      <c r="B601" t="inlineStr"/>
      <c r="C601" t="inlineStr">
        <is>
          <t>I felt this was a great growing experiance for my daughter that to do on her own before college.</t>
        </is>
      </c>
      <c r="D601" t="inlineStr"/>
    </row>
    <row r="602">
      <c r="A602" t="inlineStr">
        <is>
          <t>No</t>
        </is>
      </c>
      <c r="B602" t="inlineStr"/>
      <c r="C602" t="inlineStr">
        <is>
          <t>Money</t>
        </is>
      </c>
      <c r="D602" t="inlineStr"/>
    </row>
    <row r="603">
      <c r="A603" t="inlineStr">
        <is>
          <t>Yes</t>
        </is>
      </c>
      <c r="B603" t="inlineStr">
        <is>
          <t xml:space="preserve">My husband and I decided to take turns going with our boys on these trips when we first heard about HEFY years ago and have been saving to do so since then. </t>
        </is>
      </c>
      <c r="C603" t="inlineStr"/>
      <c r="D603" t="inlineStr"/>
    </row>
    <row r="604">
      <c r="A604" t="inlineStr">
        <is>
          <t>No</t>
        </is>
      </c>
      <c r="B604" t="inlineStr"/>
      <c r="C604" t="inlineStr">
        <is>
          <t>Too many other vacations on the calendar already. Daughter wanted it to be an "independent" experience w/o parents</t>
        </is>
      </c>
      <c r="D604" t="inlineStr"/>
    </row>
    <row r="605">
      <c r="A605" t="inlineStr">
        <is>
          <t>No</t>
        </is>
      </c>
      <c r="B605" t="inlineStr"/>
      <c r="C605" t="inlineStr">
        <is>
          <t xml:space="preserve">Not able for many reasons </t>
        </is>
      </c>
      <c r="D605" t="inlineStr"/>
    </row>
    <row r="606">
      <c r="A606" t="inlineStr"/>
      <c r="B606" t="inlineStr"/>
      <c r="C606" t="inlineStr"/>
      <c r="D606" t="inlineStr"/>
    </row>
    <row r="607">
      <c r="A607" t="inlineStr">
        <is>
          <t>No</t>
        </is>
      </c>
      <c r="B607" t="inlineStr"/>
      <c r="C607" t="inlineStr">
        <is>
          <t>Can’t get time off work</t>
        </is>
      </c>
      <c r="D607" t="inlineStr"/>
    </row>
    <row r="608">
      <c r="A608" t="inlineStr">
        <is>
          <t>No</t>
        </is>
      </c>
      <c r="B608" t="inlineStr"/>
      <c r="C608" t="inlineStr">
        <is>
          <t>Money and time. Also, our daughter needs an experience on her own without family.</t>
        </is>
      </c>
      <c r="D608" t="inlineStr"/>
    </row>
    <row r="609">
      <c r="A609" t="inlineStr">
        <is>
          <t>No</t>
        </is>
      </c>
      <c r="B609" t="inlineStr"/>
      <c r="C609" t="inlineStr">
        <is>
          <t>The added expense. Sending a child was expense enough, we could not double the expense. One parent is needed to stay home. The other does not have paid vacation, making the trip even more expensive with the lost income.</t>
        </is>
      </c>
      <c r="D609" t="inlineStr"/>
    </row>
    <row r="610">
      <c r="A610" t="inlineStr">
        <is>
          <t>No</t>
        </is>
      </c>
      <c r="B610" t="inlineStr"/>
      <c r="C610" t="inlineStr">
        <is>
          <t>We want our son to experience HXP on his own.  We think it will be good for him.</t>
        </is>
      </c>
      <c r="D610" t="inlineStr"/>
    </row>
    <row r="611">
      <c r="A611" t="inlineStr">
        <is>
          <t>No</t>
        </is>
      </c>
      <c r="B611" t="inlineStr"/>
      <c r="C611" t="inlineStr">
        <is>
          <t xml:space="preserve">We would have loved to go but we were moving 1/2 way across the country the same time.  </t>
        </is>
      </c>
      <c r="D611" t="inlineStr"/>
    </row>
    <row r="612">
      <c r="A612" t="inlineStr">
        <is>
          <t>No</t>
        </is>
      </c>
      <c r="B612" t="inlineStr"/>
      <c r="C612" t="inlineStr">
        <is>
          <t>money</t>
        </is>
      </c>
      <c r="D612" t="inlineStr"/>
    </row>
    <row r="613">
      <c r="A613" t="inlineStr">
        <is>
          <t>No</t>
        </is>
      </c>
      <c r="B613" t="inlineStr"/>
      <c r="C613" t="inlineStr">
        <is>
          <t xml:space="preserve">My son went last year and he likes being on his own. He would have been fine having us go, but I think he likes the independence. </t>
        </is>
      </c>
      <c r="D613" t="inlineStr"/>
    </row>
    <row r="614">
      <c r="A614" t="inlineStr">
        <is>
          <t>No</t>
        </is>
      </c>
      <c r="B614" t="inlineStr"/>
      <c r="C614" t="inlineStr">
        <is>
          <t xml:space="preserve">My builder didn’t want me on the trip </t>
        </is>
      </c>
      <c r="D614" t="inlineStr"/>
    </row>
    <row r="615">
      <c r="A615" t="inlineStr">
        <is>
          <t>No</t>
        </is>
      </c>
      <c r="B615" t="inlineStr"/>
      <c r="C615" t="inlineStr">
        <is>
          <t>$$$</t>
        </is>
      </c>
      <c r="D615" t="inlineStr"/>
    </row>
    <row r="616">
      <c r="A616" t="inlineStr">
        <is>
          <t>No</t>
        </is>
      </c>
      <c r="B616" t="inlineStr"/>
      <c r="C616" t="inlineStr">
        <is>
          <t>Too many younger kids at home still</t>
        </is>
      </c>
      <c r="D616" t="inlineStr"/>
    </row>
    <row r="617">
      <c r="A617" t="inlineStr"/>
      <c r="B617" t="inlineStr"/>
      <c r="C617" t="inlineStr"/>
      <c r="D617" t="inlineStr"/>
    </row>
    <row r="618">
      <c r="A618" t="inlineStr">
        <is>
          <t>No</t>
        </is>
      </c>
      <c r="B618" t="inlineStr"/>
      <c r="C618" t="inlineStr">
        <is>
          <t>Expense</t>
        </is>
      </c>
      <c r="D618" t="inlineStr"/>
    </row>
    <row r="619">
      <c r="A619" t="inlineStr"/>
      <c r="B619" t="inlineStr"/>
      <c r="C619" t="inlineStr"/>
      <c r="D619" t="inlineStr"/>
    </row>
    <row r="620">
      <c r="A620" t="inlineStr">
        <is>
          <t>No</t>
        </is>
      </c>
      <c r="B620" t="inlineStr"/>
      <c r="C620" t="inlineStr">
        <is>
          <t>I hope my child will have a positive experience away from home and independent from me.</t>
        </is>
      </c>
      <c r="D620" t="inlineStr"/>
    </row>
    <row r="621">
      <c r="A621" t="inlineStr">
        <is>
          <t>No</t>
        </is>
      </c>
      <c r="B621" t="inlineStr"/>
      <c r="C621" t="inlineStr">
        <is>
          <t>Money</t>
        </is>
      </c>
      <c r="D621" t="inlineStr"/>
    </row>
    <row r="622">
      <c r="A622" t="inlineStr">
        <is>
          <t>No</t>
        </is>
      </c>
      <c r="B622" t="inlineStr"/>
      <c r="C622" t="inlineStr">
        <is>
          <t xml:space="preserve">Timing </t>
        </is>
      </c>
      <c r="D622" t="inlineStr"/>
    </row>
    <row r="623">
      <c r="A623" t="inlineStr"/>
      <c r="B623" t="inlineStr"/>
      <c r="C623" t="inlineStr"/>
      <c r="D623" t="inlineStr"/>
    </row>
    <row r="624">
      <c r="A624" t="inlineStr">
        <is>
          <t>No</t>
        </is>
      </c>
      <c r="B624" t="inlineStr"/>
      <c r="C624" t="inlineStr">
        <is>
          <t xml:space="preserve"> My husband and I have both been a parent builder for this child and she wanted to go on her own this year</t>
        </is>
      </c>
      <c r="D624" t="inlineStr"/>
    </row>
    <row r="625">
      <c r="A625" t="inlineStr">
        <is>
          <t>No</t>
        </is>
      </c>
      <c r="B625" t="inlineStr"/>
      <c r="C625" t="inlineStr">
        <is>
          <t>Just no time to take off work this year I would LOVE to I. The future if I can make it woek</t>
        </is>
      </c>
      <c r="D625" t="inlineStr"/>
    </row>
    <row r="626">
      <c r="A626" t="inlineStr">
        <is>
          <t>No</t>
        </is>
      </c>
      <c r="B626" t="inlineStr"/>
      <c r="C626" t="inlineStr"/>
      <c r="D626" t="inlineStr"/>
    </row>
    <row r="627">
      <c r="A627" t="inlineStr">
        <is>
          <t>Yes</t>
        </is>
      </c>
      <c r="B627" t="inlineStr">
        <is>
          <t>Need and my daughter said it was okay</t>
        </is>
      </c>
      <c r="C627" t="inlineStr"/>
      <c r="D627" t="inlineStr"/>
    </row>
    <row r="628">
      <c r="A628" t="inlineStr">
        <is>
          <t>No</t>
        </is>
      </c>
      <c r="B628" t="inlineStr"/>
      <c r="C628" t="inlineStr">
        <is>
          <t>Work, ill probably go later</t>
        </is>
      </c>
      <c r="D628" t="inlineStr"/>
    </row>
    <row r="629">
      <c r="A629" t="inlineStr">
        <is>
          <t>No</t>
        </is>
      </c>
      <c r="B629" t="inlineStr"/>
      <c r="C629" t="inlineStr"/>
      <c r="D629" t="inlineStr"/>
    </row>
    <row r="630">
      <c r="A630" t="inlineStr">
        <is>
          <t>No</t>
        </is>
      </c>
      <c r="B630" t="inlineStr"/>
      <c r="C630" t="inlineStr">
        <is>
          <t>Cost</t>
        </is>
      </c>
      <c r="D630" t="inlineStr"/>
    </row>
    <row r="631">
      <c r="A631" t="inlineStr">
        <is>
          <t>No</t>
        </is>
      </c>
      <c r="B631" t="inlineStr"/>
      <c r="C631" t="inlineStr">
        <is>
          <t xml:space="preserve">Family responsibilities at home and builder wants an independent experience </t>
        </is>
      </c>
      <c r="D631" t="inlineStr"/>
    </row>
    <row r="632">
      <c r="A632" t="inlineStr">
        <is>
          <t>No</t>
        </is>
      </c>
      <c r="B632" t="inlineStr"/>
      <c r="C632" t="inlineStr">
        <is>
          <t xml:space="preserve">Unable to get that much time off of work. </t>
        </is>
      </c>
      <c r="D632" t="inlineStr"/>
    </row>
    <row r="633">
      <c r="A633" t="inlineStr">
        <is>
          <t>No</t>
        </is>
      </c>
      <c r="B633" t="inlineStr"/>
      <c r="C633" t="inlineStr">
        <is>
          <t xml:space="preserve">I just need my other kids to be older or I’d be there in a heartbeat! </t>
        </is>
      </c>
      <c r="D633" t="inlineStr"/>
    </row>
    <row r="634">
      <c r="A634" t="inlineStr">
        <is>
          <t>No</t>
        </is>
      </c>
      <c r="B634" t="inlineStr"/>
      <c r="C634" t="inlineStr">
        <is>
          <t xml:space="preserve">Allow my daughter time and growth Independent of parents    </t>
        </is>
      </c>
      <c r="D634" t="inlineStr"/>
    </row>
    <row r="635">
      <c r="A635" t="inlineStr">
        <is>
          <t>No</t>
        </is>
      </c>
      <c r="B635" t="inlineStr"/>
      <c r="C635" t="inlineStr"/>
      <c r="D635" t="inlineStr"/>
    </row>
    <row r="636">
      <c r="A636" t="inlineStr">
        <is>
          <t>Yes</t>
        </is>
      </c>
      <c r="B636" t="inlineStr"/>
      <c r="C636" t="inlineStr"/>
      <c r="D636" t="inlineStr"/>
    </row>
    <row r="637">
      <c r="A637" t="inlineStr">
        <is>
          <t>Yes</t>
        </is>
      </c>
      <c r="B637" t="inlineStr">
        <is>
          <t>Wanting to experience some of the things they have experienced with their previous trips. This is also my youngest and so last opportunity.</t>
        </is>
      </c>
      <c r="C637" t="inlineStr"/>
      <c r="D637" t="inlineStr"/>
    </row>
    <row r="638">
      <c r="A638" t="inlineStr">
        <is>
          <t>No</t>
        </is>
      </c>
      <c r="B638" t="inlineStr"/>
      <c r="C638" t="inlineStr">
        <is>
          <t>Brighton did not want either of us to go, he wanted to go on his own. He wanted an experience on his own before he goes on his mission in a year.</t>
        </is>
      </c>
      <c r="D638" t="inlineStr"/>
    </row>
    <row r="639">
      <c r="A639" t="inlineStr">
        <is>
          <t>No</t>
        </is>
      </c>
      <c r="B639" t="inlineStr"/>
      <c r="C639" t="inlineStr">
        <is>
          <t xml:space="preserve">Money, but would love to go in the future </t>
        </is>
      </c>
      <c r="D639" t="inlineStr"/>
    </row>
    <row r="640">
      <c r="A640" t="inlineStr">
        <is>
          <t>Yes</t>
        </is>
      </c>
      <c r="B640" t="inlineStr">
        <is>
          <t xml:space="preserve">I have always wanted to do something like this. </t>
        </is>
      </c>
      <c r="C640" t="inlineStr"/>
      <c r="D640" t="inlineStr"/>
    </row>
    <row r="641">
      <c r="A641" t="inlineStr">
        <is>
          <t>No</t>
        </is>
      </c>
      <c r="B641" t="inlineStr"/>
      <c r="C641" t="inlineStr">
        <is>
          <t xml:space="preserve">Time and money. I would love to go at some point. </t>
        </is>
      </c>
      <c r="D641" t="inlineStr"/>
    </row>
    <row r="642">
      <c r="A642" t="inlineStr">
        <is>
          <t>No</t>
        </is>
      </c>
      <c r="B642" t="inlineStr"/>
      <c r="C642" t="inlineStr"/>
      <c r="D642" t="inlineStr"/>
    </row>
    <row r="643">
      <c r="A643" t="inlineStr">
        <is>
          <t>No</t>
        </is>
      </c>
      <c r="B643" t="inlineStr"/>
      <c r="C643" t="inlineStr">
        <is>
          <t>We wanted our kids to have the opportunity to go parent free</t>
        </is>
      </c>
      <c r="D643" t="inlineStr"/>
    </row>
    <row r="644">
      <c r="A644" t="inlineStr"/>
      <c r="B644" t="inlineStr"/>
      <c r="C644" t="inlineStr"/>
      <c r="D644" t="inlineStr"/>
    </row>
    <row r="645">
      <c r="A645" t="inlineStr">
        <is>
          <t>No</t>
        </is>
      </c>
      <c r="B645" t="inlineStr"/>
      <c r="C645" t="inlineStr">
        <is>
          <t xml:space="preserve">I travelled on humanitarian trips when I was young, without my parents. This was an incredible time for me to grow. I want the same for my daughter. </t>
        </is>
      </c>
      <c r="D645" t="inlineStr"/>
    </row>
    <row r="646">
      <c r="A646" t="inlineStr">
        <is>
          <t>No</t>
        </is>
      </c>
      <c r="B646" t="inlineStr"/>
      <c r="C646" t="inlineStr"/>
      <c r="D646" t="inlineStr"/>
    </row>
    <row r="647">
      <c r="A647" t="inlineStr">
        <is>
          <t>No</t>
        </is>
      </c>
      <c r="B647" t="inlineStr"/>
      <c r="C647" t="inlineStr">
        <is>
          <t>Other children at home</t>
        </is>
      </c>
      <c r="D647" t="inlineStr"/>
    </row>
    <row r="648">
      <c r="A648" t="inlineStr">
        <is>
          <t>No</t>
        </is>
      </c>
      <c r="B648" t="inlineStr"/>
      <c r="C648" t="inlineStr">
        <is>
          <t>Other kids are too young planning on going when they’re older.</t>
        </is>
      </c>
      <c r="D648" t="inlineStr"/>
    </row>
    <row r="649">
      <c r="A649" t="inlineStr">
        <is>
          <t>No</t>
        </is>
      </c>
      <c r="B649" t="inlineStr"/>
      <c r="C649" t="inlineStr">
        <is>
          <t>Daughter wanted to go alone</t>
        </is>
      </c>
      <c r="D649" t="inlineStr"/>
    </row>
    <row r="650">
      <c r="A650" t="inlineStr">
        <is>
          <t>No</t>
        </is>
      </c>
      <c r="B650" t="inlineStr"/>
      <c r="C650" t="inlineStr">
        <is>
          <t xml:space="preserve">I’ve been a parent builder twice before and my daughter wants to go without me 😂 </t>
        </is>
      </c>
      <c r="D650" t="inlineStr"/>
    </row>
    <row r="651">
      <c r="A651" t="inlineStr">
        <is>
          <t>No</t>
        </is>
      </c>
      <c r="B651" t="inlineStr"/>
      <c r="C651" t="inlineStr">
        <is>
          <t xml:space="preserve">Having other children at home </t>
        </is>
      </c>
      <c r="D651" t="inlineStr"/>
    </row>
    <row r="652">
      <c r="A652" t="inlineStr">
        <is>
          <t>Maybe</t>
        </is>
      </c>
      <c r="B652" t="inlineStr"/>
      <c r="C652" t="inlineStr"/>
      <c r="D652" t="inlineStr">
        <is>
          <t>I would’ve loved to go on this one. My daughter wasn’t as excited when we were signing up! But now she wishes I were going! 😂</t>
        </is>
      </c>
    </row>
    <row r="653">
      <c r="A653" t="inlineStr">
        <is>
          <t>No</t>
        </is>
      </c>
      <c r="B653" t="inlineStr"/>
      <c r="C653" t="inlineStr">
        <is>
          <t>I don’t have enough vacation time from work</t>
        </is>
      </c>
      <c r="D653" t="inlineStr"/>
    </row>
    <row r="654">
      <c r="A654" t="inlineStr">
        <is>
          <t>No</t>
        </is>
      </c>
      <c r="B654" t="inlineStr"/>
      <c r="C654" t="inlineStr">
        <is>
          <t>Younger kids at home.</t>
        </is>
      </c>
      <c r="D654" t="inlineStr"/>
    </row>
    <row r="655">
      <c r="A655" t="inlineStr">
        <is>
          <t>Yes</t>
        </is>
      </c>
      <c r="B655" t="inlineStr">
        <is>
          <t xml:space="preserve">I want my children and other teens to realize that they can do hard things and that serving others is what brings us pure Joy. I loved the previous trips that I’ve gone with my other children. </t>
        </is>
      </c>
      <c r="C655" t="inlineStr"/>
      <c r="D655" t="inlineStr"/>
    </row>
    <row r="656">
      <c r="A656" t="inlineStr">
        <is>
          <t>Yes</t>
        </is>
      </c>
      <c r="B656" t="inlineStr">
        <is>
          <t>Previous experiences with family and friends going</t>
        </is>
      </c>
      <c r="C656" t="inlineStr"/>
      <c r="D656" t="inlineStr"/>
    </row>
    <row r="657">
      <c r="A657" t="inlineStr">
        <is>
          <t>No</t>
        </is>
      </c>
      <c r="B657" t="inlineStr"/>
      <c r="C657" t="inlineStr"/>
      <c r="D657" t="inlineStr"/>
    </row>
    <row r="658">
      <c r="A658" t="inlineStr">
        <is>
          <t>No</t>
        </is>
      </c>
      <c r="B658" t="inlineStr"/>
      <c r="C658" t="inlineStr">
        <is>
          <t>Other children at home and job</t>
        </is>
      </c>
      <c r="D658" t="inlineStr"/>
    </row>
    <row r="659">
      <c r="A659" t="inlineStr">
        <is>
          <t>No</t>
        </is>
      </c>
      <c r="B659" t="inlineStr"/>
      <c r="C659" t="inlineStr">
        <is>
          <t>Cost. I would do a heartbeat! It’s actually my dream.</t>
        </is>
      </c>
      <c r="D659" t="inlineStr"/>
    </row>
    <row r="660">
      <c r="A660" t="inlineStr">
        <is>
          <t>No</t>
        </is>
      </c>
      <c r="B660" t="inlineStr"/>
      <c r="C660" t="inlineStr">
        <is>
          <t>Cost</t>
        </is>
      </c>
      <c r="D660" t="inlineStr"/>
    </row>
    <row r="661">
      <c r="A661" t="inlineStr">
        <is>
          <t>Yes</t>
        </is>
      </c>
      <c r="B661" t="inlineStr">
        <is>
          <t>Just wanted to serve 🤍</t>
        </is>
      </c>
      <c r="C661" t="inlineStr"/>
      <c r="D661" t="inlineStr"/>
    </row>
    <row r="662">
      <c r="A662" t="inlineStr">
        <is>
          <t>No</t>
        </is>
      </c>
      <c r="B662" t="inlineStr"/>
      <c r="C662" t="inlineStr"/>
      <c r="D662" t="inlineStr"/>
    </row>
    <row r="663">
      <c r="A663" t="inlineStr">
        <is>
          <t>No</t>
        </is>
      </c>
      <c r="B663" t="inlineStr"/>
      <c r="C663" t="inlineStr">
        <is>
          <t xml:space="preserve">Financial </t>
        </is>
      </c>
      <c r="D663" t="inlineStr"/>
    </row>
    <row r="664">
      <c r="A664" t="inlineStr">
        <is>
          <t>No</t>
        </is>
      </c>
      <c r="B664" t="inlineStr"/>
      <c r="C664" t="inlineStr"/>
      <c r="D664" t="inlineStr"/>
    </row>
    <row r="665">
      <c r="A665" t="inlineStr">
        <is>
          <t>Maybe</t>
        </is>
      </c>
      <c r="B665" t="inlineStr"/>
      <c r="C665" t="inlineStr"/>
      <c r="D665" t="inlineStr">
        <is>
          <t>Not sure</t>
        </is>
      </c>
    </row>
    <row r="666">
      <c r="A666" t="inlineStr">
        <is>
          <t>Maybe</t>
        </is>
      </c>
      <c r="B666" t="inlineStr"/>
      <c r="C666" t="inlineStr"/>
      <c r="D666" t="inlineStr"/>
    </row>
    <row r="667">
      <c r="A667" t="inlineStr">
        <is>
          <t>No</t>
        </is>
      </c>
      <c r="B667" t="inlineStr"/>
      <c r="C667" t="inlineStr">
        <is>
          <t xml:space="preserve">I would have loved to go but my brother in law wanted to go with my daughter </t>
        </is>
      </c>
      <c r="D667" t="inlineStr"/>
    </row>
    <row r="668">
      <c r="A668" t="inlineStr">
        <is>
          <t>Yes</t>
        </is>
      </c>
      <c r="B668" t="inlineStr">
        <is>
          <t>My builder.</t>
        </is>
      </c>
      <c r="C668" t="inlineStr"/>
      <c r="D668" t="inlineStr"/>
    </row>
    <row r="669">
      <c r="A669" t="inlineStr">
        <is>
          <t>Yes</t>
        </is>
      </c>
      <c r="B669" t="inlineStr">
        <is>
          <t>Time with my child</t>
        </is>
      </c>
      <c r="C669" t="inlineStr"/>
      <c r="D669" t="inlineStr"/>
    </row>
    <row r="670">
      <c r="A670" t="inlineStr">
        <is>
          <t>Yes</t>
        </is>
      </c>
      <c r="B670" t="inlineStr">
        <is>
          <t>Wanted a meaningful experience serving with my son</t>
        </is>
      </c>
      <c r="C670" t="inlineStr"/>
      <c r="D670" t="inlineStr"/>
    </row>
    <row r="671">
      <c r="A671" t="inlineStr">
        <is>
          <t>No</t>
        </is>
      </c>
      <c r="B671" t="inlineStr"/>
      <c r="C671" t="inlineStr">
        <is>
          <t>I want my son to have an experience without me to grow.</t>
        </is>
      </c>
      <c r="D671" t="inlineStr"/>
    </row>
    <row r="672">
      <c r="A672" t="inlineStr">
        <is>
          <t>Maybe</t>
        </is>
      </c>
      <c r="B672" t="inlineStr"/>
      <c r="C672" t="inlineStr"/>
      <c r="D672" t="inlineStr">
        <is>
          <t xml:space="preserve">My kids grew out of the age range for builders </t>
        </is>
      </c>
    </row>
    <row r="673">
      <c r="A673" t="inlineStr">
        <is>
          <t>No</t>
        </is>
      </c>
      <c r="B673" t="inlineStr"/>
      <c r="C673" t="inlineStr">
        <is>
          <t>I have been twice as a parent builder. My husband called "dibs" for this trip.</t>
        </is>
      </c>
      <c r="D673" t="inlineStr"/>
    </row>
    <row r="674">
      <c r="A674" t="inlineStr">
        <is>
          <t>No</t>
        </is>
      </c>
      <c r="B674" t="inlineStr"/>
      <c r="C674" t="inlineStr">
        <is>
          <t>Kids at home</t>
        </is>
      </c>
      <c r="D674" t="inlineStr"/>
    </row>
    <row r="675">
      <c r="A675" t="inlineStr">
        <is>
          <t>No</t>
        </is>
      </c>
      <c r="B675" t="inlineStr"/>
      <c r="C675" t="inlineStr"/>
      <c r="D675" t="inlineStr"/>
    </row>
    <row r="676">
      <c r="A676" t="inlineStr">
        <is>
          <t>No</t>
        </is>
      </c>
      <c r="B676" t="inlineStr"/>
      <c r="C676" t="inlineStr">
        <is>
          <t>Small kids at home I can’t leave</t>
        </is>
      </c>
      <c r="D676" t="inlineStr"/>
    </row>
    <row r="677">
      <c r="A677" t="inlineStr">
        <is>
          <t>No</t>
        </is>
      </c>
      <c r="B677" t="inlineStr"/>
      <c r="C677" t="inlineStr">
        <is>
          <t xml:space="preserve">What her to have independence </t>
        </is>
      </c>
      <c r="D677" t="inlineStr"/>
    </row>
    <row r="678">
      <c r="A678" t="inlineStr">
        <is>
          <t>No</t>
        </is>
      </c>
      <c r="B678" t="inlineStr"/>
      <c r="C678" t="inlineStr">
        <is>
          <t>I have younger kids at home that I couldn't leave for that long.  And work.</t>
        </is>
      </c>
      <c r="D678" t="inlineStr"/>
    </row>
    <row r="679">
      <c r="A679" t="inlineStr">
        <is>
          <t>No</t>
        </is>
      </c>
      <c r="B679" t="inlineStr"/>
      <c r="C679" t="inlineStr">
        <is>
          <t>I wanted my daughter to have this experience on her own.</t>
        </is>
      </c>
      <c r="D679" t="inlineStr"/>
    </row>
    <row r="680">
      <c r="A680" t="inlineStr">
        <is>
          <t>No</t>
        </is>
      </c>
      <c r="B680" t="inlineStr"/>
      <c r="C680" t="inlineStr">
        <is>
          <t xml:space="preserve">Our daughter asked to go on this trip alone without depending on us otherwise I for sure would have gone </t>
        </is>
      </c>
      <c r="D680" t="inlineStr"/>
    </row>
    <row r="681">
      <c r="A681" t="inlineStr">
        <is>
          <t>No</t>
        </is>
      </c>
      <c r="B681" t="inlineStr"/>
      <c r="C681" t="inlineStr">
        <is>
          <t>I don’t have time plus the expenses</t>
        </is>
      </c>
      <c r="D681" t="inlineStr"/>
    </row>
    <row r="682">
      <c r="A682" t="inlineStr">
        <is>
          <t>No</t>
        </is>
      </c>
      <c r="B682" t="inlineStr"/>
      <c r="C682" t="inlineStr">
        <is>
          <t>I want my child to have this experience away from home on his own in preparation for college/mission</t>
        </is>
      </c>
      <c r="D682" t="inlineStr"/>
    </row>
    <row r="683">
      <c r="A683" t="inlineStr">
        <is>
          <t>No</t>
        </is>
      </c>
      <c r="B683" t="inlineStr"/>
      <c r="C683" t="inlineStr"/>
      <c r="D683" t="inlineStr"/>
    </row>
    <row r="684">
      <c r="A684" t="inlineStr">
        <is>
          <t>Yes</t>
        </is>
      </c>
      <c r="B684" t="inlineStr">
        <is>
          <t>Time with my kid</t>
        </is>
      </c>
      <c r="C684" t="inlineStr"/>
      <c r="D684" t="inlineStr"/>
    </row>
    <row r="685">
      <c r="A685" t="inlineStr">
        <is>
          <t>No</t>
        </is>
      </c>
      <c r="B685" t="inlineStr"/>
      <c r="C685" t="inlineStr">
        <is>
          <t>Time off.</t>
        </is>
      </c>
      <c r="D685" t="inlineStr"/>
    </row>
    <row r="686">
      <c r="A686" t="inlineStr">
        <is>
          <t>No</t>
        </is>
      </c>
      <c r="B686" t="inlineStr"/>
      <c r="C686" t="inlineStr">
        <is>
          <t xml:space="preserve">Cost, availability </t>
        </is>
      </c>
      <c r="D686" t="inlineStr"/>
    </row>
    <row r="687">
      <c r="A687" t="inlineStr">
        <is>
          <t>No</t>
        </is>
      </c>
      <c r="B687" t="inlineStr"/>
      <c r="C687" t="inlineStr"/>
      <c r="D687" t="inlineStr"/>
    </row>
    <row r="688">
      <c r="A688" t="inlineStr">
        <is>
          <t>No</t>
        </is>
      </c>
      <c r="B688" t="inlineStr"/>
      <c r="C688" t="inlineStr">
        <is>
          <t>Mostly, because she would lean on me too much if I was there. Plus I have other responsibilities at home.</t>
        </is>
      </c>
      <c r="D688" t="inlineStr"/>
    </row>
    <row r="689">
      <c r="A689" t="inlineStr">
        <is>
          <t>No</t>
        </is>
      </c>
      <c r="B689" t="inlineStr"/>
      <c r="C689" t="inlineStr">
        <is>
          <t>Cost and time away from work.</t>
        </is>
      </c>
      <c r="D689" t="inlineStr"/>
    </row>
    <row r="690">
      <c r="A690" t="inlineStr">
        <is>
          <t>No</t>
        </is>
      </c>
      <c r="B690" t="inlineStr"/>
      <c r="C690" t="inlineStr">
        <is>
          <t xml:space="preserve">Amount of time I would need to take off work and physical limitations </t>
        </is>
      </c>
      <c r="D690" t="inlineStr"/>
    </row>
    <row r="691">
      <c r="A691" t="inlineStr">
        <is>
          <t>No</t>
        </is>
      </c>
      <c r="B691" t="inlineStr"/>
      <c r="C691" t="inlineStr">
        <is>
          <t>Other commitments</t>
        </is>
      </c>
      <c r="D691" t="inlineStr"/>
    </row>
    <row r="692">
      <c r="A692" t="inlineStr">
        <is>
          <t>No</t>
        </is>
      </c>
      <c r="B692" t="inlineStr"/>
      <c r="C692" t="inlineStr">
        <is>
          <t xml:space="preserve">I want my child to have an independent experience without a parent there.   </t>
        </is>
      </c>
      <c r="D692" t="inlineStr"/>
    </row>
    <row r="693">
      <c r="A693" t="inlineStr">
        <is>
          <t>No</t>
        </is>
      </c>
      <c r="B693" t="inlineStr"/>
      <c r="C693" t="inlineStr">
        <is>
          <t>Time</t>
        </is>
      </c>
      <c r="D693" t="inlineStr"/>
    </row>
    <row r="694">
      <c r="A694" t="inlineStr">
        <is>
          <t>No</t>
        </is>
      </c>
      <c r="B694" t="inlineStr"/>
      <c r="C694" t="inlineStr">
        <is>
          <t xml:space="preserve">She tends to lean on me when I'm present. She is excited to do it alone. </t>
        </is>
      </c>
      <c r="D694" t="inlineStr"/>
    </row>
    <row r="695">
      <c r="A695" t="inlineStr">
        <is>
          <t>No</t>
        </is>
      </c>
      <c r="B695" t="inlineStr"/>
      <c r="C695" t="inlineStr">
        <is>
          <t>I was unavailable and it’s expensive to pay for 2 trips</t>
        </is>
      </c>
      <c r="D695" t="inlineStr"/>
    </row>
    <row r="696">
      <c r="A696" t="inlineStr">
        <is>
          <t>No</t>
        </is>
      </c>
      <c r="B696" t="inlineStr"/>
      <c r="C696" t="inlineStr">
        <is>
          <t>time away from work, plus added cost</t>
        </is>
      </c>
      <c r="D696" t="inlineStr"/>
    </row>
    <row r="697">
      <c r="A697" t="inlineStr">
        <is>
          <t>No</t>
        </is>
      </c>
      <c r="B697" t="inlineStr"/>
      <c r="C697" t="inlineStr">
        <is>
          <t>Work</t>
        </is>
      </c>
      <c r="D697" t="inlineStr"/>
    </row>
    <row r="698">
      <c r="A698" t="inlineStr">
        <is>
          <t>No</t>
        </is>
      </c>
      <c r="B698" t="inlineStr"/>
      <c r="C698" t="inlineStr">
        <is>
          <t>My daughter preferred to go on her own</t>
        </is>
      </c>
      <c r="D698" t="inlineStr"/>
    </row>
    <row r="699">
      <c r="A699" t="inlineStr">
        <is>
          <t>No</t>
        </is>
      </c>
      <c r="B699" t="inlineStr"/>
      <c r="C699" t="inlineStr">
        <is>
          <t>I know my daughter will do best without me there!</t>
        </is>
      </c>
      <c r="D699" t="inlineStr"/>
    </row>
    <row r="700">
      <c r="A700" t="inlineStr"/>
      <c r="B700" t="inlineStr"/>
      <c r="C700" t="inlineStr"/>
      <c r="D700" t="inlineStr"/>
    </row>
    <row r="701">
      <c r="A701" t="inlineStr">
        <is>
          <t>No</t>
        </is>
      </c>
      <c r="B701" t="inlineStr"/>
      <c r="C701" t="inlineStr">
        <is>
          <t>I've been before and I wanted my daughter to have the experience sans parent.</t>
        </is>
      </c>
      <c r="D701" t="inlineStr"/>
    </row>
    <row r="702">
      <c r="A702" t="inlineStr">
        <is>
          <t>No</t>
        </is>
      </c>
      <c r="B702" t="inlineStr"/>
      <c r="C702" t="inlineStr">
        <is>
          <t>My child specifically said she wanted to go by herself</t>
        </is>
      </c>
      <c r="D702" t="inlineStr"/>
    </row>
    <row r="703">
      <c r="A703" t="inlineStr">
        <is>
          <t>No</t>
        </is>
      </c>
      <c r="B703" t="inlineStr"/>
      <c r="C703" t="inlineStr">
        <is>
          <t>too much time off of work, wanted to give my son his space to experience without parent along</t>
        </is>
      </c>
      <c r="D703" t="inlineStr"/>
    </row>
    <row r="704">
      <c r="A704" t="inlineStr">
        <is>
          <t>No</t>
        </is>
      </c>
      <c r="B704" t="inlineStr"/>
      <c r="C704" t="inlineStr">
        <is>
          <t>My Job</t>
        </is>
      </c>
      <c r="D704" t="inlineStr"/>
    </row>
    <row r="705">
      <c r="A705" t="inlineStr">
        <is>
          <t>No</t>
        </is>
      </c>
      <c r="B705" t="inlineStr"/>
      <c r="C705" t="inlineStr">
        <is>
          <t>Cost</t>
        </is>
      </c>
      <c r="D705" t="inlineStr"/>
    </row>
    <row r="706">
      <c r="A706" t="inlineStr">
        <is>
          <t>Maybe</t>
        </is>
      </c>
      <c r="B706" t="inlineStr"/>
      <c r="C706" t="inlineStr"/>
      <c r="D706" t="inlineStr">
        <is>
          <t>Care for my children I leave at home. :)</t>
        </is>
      </c>
    </row>
    <row r="707">
      <c r="A707" t="inlineStr">
        <is>
          <t>No</t>
        </is>
      </c>
      <c r="B707" t="inlineStr"/>
      <c r="C707" t="inlineStr">
        <is>
          <t>I think my children would prefer the experience independent of a parent. Didn't want to spend the money.</t>
        </is>
      </c>
      <c r="D707" t="inlineStr"/>
    </row>
    <row r="708">
      <c r="A708" t="inlineStr">
        <is>
          <t>No</t>
        </is>
      </c>
      <c r="B708" t="inlineStr"/>
      <c r="C708" t="inlineStr">
        <is>
          <t>seeing friends go</t>
        </is>
      </c>
      <c r="D708" t="inlineStr"/>
    </row>
    <row r="709">
      <c r="A709" t="inlineStr">
        <is>
          <t>No</t>
        </is>
      </c>
      <c r="B709" t="inlineStr"/>
      <c r="C709" t="inlineStr">
        <is>
          <t>Nothing.  Did not consider it</t>
        </is>
      </c>
      <c r="D709" t="inlineStr"/>
    </row>
    <row r="710">
      <c r="A710" t="inlineStr">
        <is>
          <t>Maybe</t>
        </is>
      </c>
      <c r="B710" t="inlineStr"/>
      <c r="C710" t="inlineStr"/>
      <c r="D710" t="inlineStr">
        <is>
          <t>Knowing the dates you need help so I can get work off</t>
        </is>
      </c>
    </row>
    <row r="711">
      <c r="A711" t="inlineStr"/>
      <c r="B711" t="inlineStr"/>
      <c r="C711" t="inlineStr"/>
      <c r="D711" t="inlineStr"/>
    </row>
    <row r="712">
      <c r="A712" t="inlineStr">
        <is>
          <t>No</t>
        </is>
      </c>
      <c r="B712" t="inlineStr"/>
      <c r="C712" t="inlineStr">
        <is>
          <t xml:space="preserve">My other kids went and they had a positive experience. </t>
        </is>
      </c>
      <c r="D712" t="inlineStr"/>
    </row>
    <row r="713">
      <c r="A713" t="inlineStr">
        <is>
          <t>Yes</t>
        </is>
      </c>
      <c r="B713" t="inlineStr">
        <is>
          <t>great experiences with my other two girls.  and my daughter asked me to go with her</t>
        </is>
      </c>
      <c r="C713" t="inlineStr"/>
      <c r="D713" t="inlineStr"/>
    </row>
    <row r="714">
      <c r="A714" t="inlineStr"/>
      <c r="B714" t="inlineStr"/>
      <c r="C714" t="inlineStr"/>
      <c r="D714" t="inlineStr"/>
    </row>
    <row r="715">
      <c r="A715" t="inlineStr">
        <is>
          <t>No</t>
        </is>
      </c>
      <c r="B715" t="inlineStr"/>
      <c r="C715" t="inlineStr">
        <is>
          <t>Cost of paying for both parent and builder and I wanted my kid to have an experience without me</t>
        </is>
      </c>
      <c r="D715" t="inlineStr"/>
    </row>
    <row r="716">
      <c r="A716" t="inlineStr">
        <is>
          <t>Maybe</t>
        </is>
      </c>
      <c r="B716" t="inlineStr"/>
      <c r="C716" t="inlineStr"/>
      <c r="D716" t="inlineStr">
        <is>
          <t>Cost</t>
        </is>
      </c>
    </row>
    <row r="717">
      <c r="A717" t="inlineStr">
        <is>
          <t>No</t>
        </is>
      </c>
      <c r="B717" t="inlineStr"/>
      <c r="C717" t="inlineStr">
        <is>
          <t>Want our son to have an individual experience without us there :)</t>
        </is>
      </c>
      <c r="D717" t="inlineStr"/>
    </row>
    <row r="718">
      <c r="A718" t="inlineStr">
        <is>
          <t>No</t>
        </is>
      </c>
      <c r="B718" t="inlineStr"/>
      <c r="C718" t="inlineStr">
        <is>
          <t xml:space="preserve">Time commitment. Child didn't want her parents to come. </t>
        </is>
      </c>
      <c r="D718" t="inlineStr"/>
    </row>
    <row r="719">
      <c r="A719" t="inlineStr">
        <is>
          <t>No</t>
        </is>
      </c>
      <c r="B719" t="inlineStr"/>
      <c r="C719" t="inlineStr">
        <is>
          <t>Money!</t>
        </is>
      </c>
      <c r="D719" t="inlineStr"/>
    </row>
    <row r="720">
      <c r="A720" t="inlineStr"/>
      <c r="B720" t="inlineStr"/>
      <c r="C720" t="inlineStr"/>
      <c r="D720" t="inlineStr"/>
    </row>
    <row r="721">
      <c r="A721" t="inlineStr"/>
      <c r="B721" t="inlineStr"/>
      <c r="C721" t="inlineStr"/>
      <c r="D721" t="inlineStr"/>
    </row>
    <row r="722">
      <c r="A722" t="inlineStr">
        <is>
          <t>No</t>
        </is>
      </c>
      <c r="B722" t="inlineStr"/>
      <c r="C722" t="inlineStr">
        <is>
          <t>Cost</t>
        </is>
      </c>
      <c r="D722" t="inlineStr"/>
    </row>
    <row r="723">
      <c r="A723" t="inlineStr">
        <is>
          <t>No</t>
        </is>
      </c>
      <c r="B723" t="inlineStr"/>
      <c r="C723" t="inlineStr">
        <is>
          <t>time off work, family obligations</t>
        </is>
      </c>
      <c r="D723" t="inlineStr"/>
    </row>
    <row r="724">
      <c r="A724" t="inlineStr">
        <is>
          <t>No</t>
        </is>
      </c>
      <c r="B724" t="inlineStr"/>
      <c r="C724" t="inlineStr">
        <is>
          <t>Work</t>
        </is>
      </c>
      <c r="D724" t="inlineStr"/>
    </row>
    <row r="725">
      <c r="A725" t="inlineStr">
        <is>
          <t>No</t>
        </is>
      </c>
      <c r="B725" t="inlineStr"/>
      <c r="C725" t="inlineStr">
        <is>
          <t>I really wanted to go and kind of begged my daughter. But she has never traveled alone and wanted to do this one by herself. CRYING FACE EMOJI!!</t>
        </is>
      </c>
      <c r="D725" t="inlineStr"/>
    </row>
    <row r="726">
      <c r="A726" t="inlineStr">
        <is>
          <t>No</t>
        </is>
      </c>
      <c r="B726" t="inlineStr"/>
      <c r="C726" t="inlineStr">
        <is>
          <t>I have a 12 year old son who is staying with me at home</t>
        </is>
      </c>
      <c r="D726" t="inlineStr"/>
    </row>
    <row r="727">
      <c r="A727" t="inlineStr">
        <is>
          <t>No</t>
        </is>
      </c>
      <c r="B727" t="inlineStr"/>
      <c r="C727" t="inlineStr">
        <is>
          <t>Unavailable due to other children's schedules</t>
        </is>
      </c>
      <c r="D727" t="inlineStr"/>
    </row>
    <row r="728">
      <c r="A728" t="inlineStr">
        <is>
          <t>No</t>
        </is>
      </c>
      <c r="B728" t="inlineStr"/>
      <c r="C728" t="inlineStr">
        <is>
          <t>younger kids at home</t>
        </is>
      </c>
      <c r="D728" t="inlineStr"/>
    </row>
    <row r="729">
      <c r="A729" t="inlineStr"/>
      <c r="B729" t="inlineStr"/>
      <c r="C729" t="inlineStr"/>
      <c r="D729" t="inlineStr"/>
    </row>
    <row r="730">
      <c r="A730" t="inlineStr"/>
      <c r="B730" t="inlineStr"/>
      <c r="C730" t="inlineStr"/>
      <c r="D730" t="inlineStr"/>
    </row>
    <row r="731">
      <c r="A731" t="inlineStr">
        <is>
          <t>No</t>
        </is>
      </c>
      <c r="B731" t="inlineStr"/>
      <c r="C731" t="inlineStr">
        <is>
          <t xml:space="preserve">My daughter wanted to go alone so she could experience it as a mini-mission growing experience. </t>
        </is>
      </c>
      <c r="D731" t="inlineStr"/>
    </row>
    <row r="732">
      <c r="A732" t="inlineStr">
        <is>
          <t>Maybe</t>
        </is>
      </c>
      <c r="B732" t="inlineStr"/>
      <c r="C732" t="inlineStr"/>
      <c r="D732" t="inlineStr">
        <is>
          <t>Funds and next child's desire to go</t>
        </is>
      </c>
    </row>
    <row r="733">
      <c r="A733" t="inlineStr">
        <is>
          <t>No</t>
        </is>
      </c>
      <c r="B733" t="inlineStr"/>
      <c r="C733" t="inlineStr">
        <is>
          <t>Funds</t>
        </is>
      </c>
      <c r="D733" t="inlineStr"/>
    </row>
    <row r="734">
      <c r="A734" t="inlineStr">
        <is>
          <t>No</t>
        </is>
      </c>
      <c r="B734" t="inlineStr"/>
      <c r="C734" t="inlineStr">
        <is>
          <t>Time and Cost</t>
        </is>
      </c>
      <c r="D734" t="inlineStr"/>
    </row>
    <row r="735">
      <c r="A735" t="inlineStr">
        <is>
          <t>No</t>
        </is>
      </c>
      <c r="B735" t="inlineStr"/>
      <c r="C735" t="inlineStr">
        <is>
          <t>Other children at home.</t>
        </is>
      </c>
      <c r="D735" t="inlineStr"/>
    </row>
    <row r="736">
      <c r="A736" t="inlineStr">
        <is>
          <t>No</t>
        </is>
      </c>
      <c r="B736" t="inlineStr"/>
      <c r="C736" t="inlineStr">
        <is>
          <t>money, could only afford to send my kid.</t>
        </is>
      </c>
      <c r="D736" t="inlineStr"/>
    </row>
    <row r="737">
      <c r="A737" t="inlineStr">
        <is>
          <t>No</t>
        </is>
      </c>
      <c r="B737" t="inlineStr"/>
      <c r="C737" t="inlineStr">
        <is>
          <t>Younger kids at home that need me</t>
        </is>
      </c>
      <c r="D737" t="inlineStr"/>
    </row>
    <row r="738">
      <c r="A738" t="inlineStr">
        <is>
          <t>No</t>
        </is>
      </c>
      <c r="B738" t="inlineStr"/>
      <c r="C738" t="inlineStr">
        <is>
          <t xml:space="preserve">It’s a good experience for my son without me there </t>
        </is>
      </c>
      <c r="D738" t="inlineStr"/>
    </row>
    <row r="739">
      <c r="A739" t="inlineStr">
        <is>
          <t>No</t>
        </is>
      </c>
      <c r="B739" t="inlineStr"/>
      <c r="C739" t="inlineStr">
        <is>
          <t>I don't have time and didn't want to pay for myself.</t>
        </is>
      </c>
      <c r="D739" t="inlineStr"/>
    </row>
    <row r="740">
      <c r="A740" t="inlineStr">
        <is>
          <t>No</t>
        </is>
      </c>
      <c r="B740" t="inlineStr"/>
      <c r="C740" t="inlineStr">
        <is>
          <t>Time</t>
        </is>
      </c>
      <c r="D740" t="inlineStr"/>
    </row>
    <row r="741">
      <c r="A741" t="inlineStr">
        <is>
          <t>No</t>
        </is>
      </c>
      <c r="B741" t="inlineStr"/>
      <c r="C741" t="inlineStr">
        <is>
          <t>My son doesn’t want me to</t>
        </is>
      </c>
      <c r="D741" t="inlineStr"/>
    </row>
    <row r="742">
      <c r="A742" t="inlineStr">
        <is>
          <t>No</t>
        </is>
      </c>
      <c r="B742" t="inlineStr"/>
      <c r="C742" t="inlineStr">
        <is>
          <t xml:space="preserve">Child care </t>
        </is>
      </c>
      <c r="D742" t="inlineStr"/>
    </row>
    <row r="743">
      <c r="A743" t="inlineStr">
        <is>
          <t>Yes</t>
        </is>
      </c>
      <c r="B743" t="inlineStr">
        <is>
          <t>Spending time with my child</t>
        </is>
      </c>
      <c r="C743" t="inlineStr"/>
      <c r="D743" t="inlineStr"/>
    </row>
    <row r="744">
      <c r="A744" t="inlineStr">
        <is>
          <t>Yes</t>
        </is>
      </c>
      <c r="B744" t="inlineStr">
        <is>
          <t xml:space="preserve">We've gone previously and have had a great experience with it. </t>
        </is>
      </c>
      <c r="C744" t="inlineStr"/>
      <c r="D744" t="inlineStr"/>
    </row>
    <row r="745">
      <c r="A745" t="inlineStr"/>
      <c r="B745" t="inlineStr"/>
      <c r="C745" t="inlineStr"/>
      <c r="D745" t="inlineStr"/>
    </row>
    <row r="746">
      <c r="A746" t="inlineStr">
        <is>
          <t>No</t>
        </is>
      </c>
      <c r="B746" t="inlineStr"/>
      <c r="C746" t="inlineStr">
        <is>
          <t>I have other children to care for, but plan to go next year!</t>
        </is>
      </c>
      <c r="D746" t="inlineStr"/>
    </row>
    <row r="747">
      <c r="A747" t="inlineStr">
        <is>
          <t>No</t>
        </is>
      </c>
      <c r="B747" t="inlineStr"/>
      <c r="C747" t="inlineStr">
        <is>
          <t xml:space="preserve">She’s a mommas girl so I decided it would be better for her to experience it on her own, if for sure go with my son in a few years though </t>
        </is>
      </c>
      <c r="D747" t="inlineStr"/>
    </row>
    <row r="748">
      <c r="A748" t="inlineStr">
        <is>
          <t>No</t>
        </is>
      </c>
      <c r="B748" t="inlineStr"/>
      <c r="C748" t="inlineStr">
        <is>
          <t>My daughter/builder wanted this experience on her own.</t>
        </is>
      </c>
      <c r="D748" t="inlineStr"/>
    </row>
    <row r="749">
      <c r="A749" t="inlineStr">
        <is>
          <t>No</t>
        </is>
      </c>
      <c r="B749" t="inlineStr"/>
      <c r="C749" t="inlineStr">
        <is>
          <t>cost</t>
        </is>
      </c>
      <c r="D749" t="inlineStr"/>
    </row>
    <row r="750">
      <c r="A750" t="inlineStr">
        <is>
          <t>No</t>
        </is>
      </c>
      <c r="B750" t="inlineStr"/>
      <c r="C750" t="inlineStr">
        <is>
          <t>Money</t>
        </is>
      </c>
      <c r="D750" t="inlineStr"/>
    </row>
    <row r="751">
      <c r="A751" t="inlineStr">
        <is>
          <t>No</t>
        </is>
      </c>
      <c r="B751" t="inlineStr"/>
      <c r="C751" t="inlineStr">
        <is>
          <t>Wanted my son to have his own experience. although I'd love to go as a parent builder with a different group</t>
        </is>
      </c>
      <c r="D751" t="inlineStr"/>
    </row>
    <row r="752">
      <c r="A752" t="inlineStr">
        <is>
          <t>No</t>
        </is>
      </c>
      <c r="B752" t="inlineStr"/>
      <c r="C752" t="inlineStr">
        <is>
          <t>Time away from other kids and cost of trip</t>
        </is>
      </c>
      <c r="D752" t="inlineStr"/>
    </row>
    <row r="753">
      <c r="A753" t="inlineStr"/>
      <c r="B753" t="inlineStr"/>
      <c r="C753" t="inlineStr"/>
      <c r="D753" t="inlineStr"/>
    </row>
    <row r="754">
      <c r="A754" t="inlineStr">
        <is>
          <t>No</t>
        </is>
      </c>
      <c r="B754" t="inlineStr"/>
      <c r="C754" t="inlineStr">
        <is>
          <t>Not in the budget right now.</t>
        </is>
      </c>
      <c r="D754" t="inlineStr"/>
    </row>
    <row r="755">
      <c r="A755" t="inlineStr">
        <is>
          <t>No</t>
        </is>
      </c>
      <c r="B755" t="inlineStr"/>
      <c r="C755" t="inlineStr">
        <is>
          <t>I’m not comfortable in positions like that</t>
        </is>
      </c>
      <c r="D755" t="inlineStr"/>
    </row>
    <row r="756">
      <c r="A756" t="inlineStr">
        <is>
          <t>Yes</t>
        </is>
      </c>
      <c r="B756" t="inlineStr">
        <is>
          <t xml:space="preserve">We’ve tried to do something like this with our older 3 kids and I wanted to go to this with Addie. </t>
        </is>
      </c>
      <c r="C756" t="inlineStr"/>
      <c r="D756" t="inlineStr"/>
    </row>
    <row r="757">
      <c r="A757" t="inlineStr">
        <is>
          <t>No</t>
        </is>
      </c>
      <c r="B757" t="inlineStr"/>
      <c r="C757" t="inlineStr">
        <is>
          <t xml:space="preserve">The cost. </t>
        </is>
      </c>
      <c r="D757" t="inlineStr"/>
    </row>
    <row r="758">
      <c r="A758" t="inlineStr">
        <is>
          <t>No</t>
        </is>
      </c>
      <c r="B758" t="inlineStr"/>
      <c r="C758" t="inlineStr">
        <is>
          <t>My son will open up more when I'm not there.</t>
        </is>
      </c>
      <c r="D758" t="inlineStr"/>
    </row>
    <row r="759">
      <c r="A759" t="inlineStr">
        <is>
          <t>No</t>
        </is>
      </c>
      <c r="B759" t="inlineStr"/>
      <c r="C759" t="inlineStr">
        <is>
          <t>I want my son to have this spiritual experience on his own. But I'm so jealous. I'd love to be there.</t>
        </is>
      </c>
      <c r="D759" t="inlineStr"/>
    </row>
    <row r="760">
      <c r="A760" t="inlineStr">
        <is>
          <t>No</t>
        </is>
      </c>
      <c r="B760" t="inlineStr"/>
      <c r="C760" t="inlineStr">
        <is>
          <t>Give my kid independence</t>
        </is>
      </c>
      <c r="D760" t="inlineStr"/>
    </row>
    <row r="761">
      <c r="A761" t="inlineStr">
        <is>
          <t>Yes</t>
        </is>
      </c>
      <c r="B761" t="inlineStr">
        <is>
          <t xml:space="preserve">Getting my daughter to go &amp; just overall experience. </t>
        </is>
      </c>
      <c r="C761" t="inlineStr"/>
      <c r="D761" t="inlineStr"/>
    </row>
    <row r="762">
      <c r="A762" t="inlineStr">
        <is>
          <t>No</t>
        </is>
      </c>
      <c r="B762" t="inlineStr"/>
      <c r="C762" t="inlineStr">
        <is>
          <t>Can’t miss 3 weeks of work</t>
        </is>
      </c>
      <c r="D762" t="inlineStr"/>
    </row>
    <row r="763">
      <c r="A763" t="inlineStr">
        <is>
          <t>Yes</t>
        </is>
      </c>
      <c r="B763"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63" t="inlineStr"/>
      <c r="D763" t="inlineStr"/>
    </row>
    <row r="764">
      <c r="A764" t="inlineStr">
        <is>
          <t>No</t>
        </is>
      </c>
      <c r="B764" t="inlineStr"/>
      <c r="C764" t="inlineStr">
        <is>
          <t>No PTO available</t>
        </is>
      </c>
      <c r="D764" t="inlineStr"/>
    </row>
    <row r="765">
      <c r="A765" t="inlineStr">
        <is>
          <t>No</t>
        </is>
      </c>
      <c r="B765" t="inlineStr"/>
      <c r="C765" t="inlineStr">
        <is>
          <t>Cost. I want my kids to be independent</t>
        </is>
      </c>
      <c r="D765" t="inlineStr"/>
    </row>
    <row r="766">
      <c r="A766" t="inlineStr">
        <is>
          <t>No</t>
        </is>
      </c>
      <c r="B766" t="inlineStr"/>
      <c r="C766" t="inlineStr">
        <is>
          <t xml:space="preserve">Cost and duration of the trip is too long to leave younger children at home </t>
        </is>
      </c>
      <c r="D766" t="inlineStr"/>
    </row>
    <row r="767">
      <c r="A767" t="inlineStr">
        <is>
          <t>No</t>
        </is>
      </c>
      <c r="B767" t="inlineStr"/>
      <c r="C767" t="inlineStr">
        <is>
          <t>My other kids at home and money</t>
        </is>
      </c>
      <c r="D767" t="inlineStr"/>
    </row>
    <row r="768">
      <c r="A768" t="inlineStr">
        <is>
          <t>No</t>
        </is>
      </c>
      <c r="B768" t="inlineStr"/>
      <c r="C768" t="inlineStr">
        <is>
          <t>Single parent with a little at home</t>
        </is>
      </c>
      <c r="D768" t="inlineStr"/>
    </row>
    <row r="769">
      <c r="A769" t="inlineStr">
        <is>
          <t>No</t>
        </is>
      </c>
      <c r="B769" t="inlineStr"/>
      <c r="C769" t="inlineStr"/>
      <c r="D769" t="inlineStr"/>
    </row>
    <row r="770">
      <c r="A770" t="inlineStr">
        <is>
          <t>No</t>
        </is>
      </c>
      <c r="B770" t="inlineStr"/>
      <c r="C770" t="inlineStr">
        <is>
          <t xml:space="preserve">Wanted child to have the privilege of independence. </t>
        </is>
      </c>
      <c r="D770" t="inlineStr"/>
    </row>
    <row r="771">
      <c r="A771" t="inlineStr">
        <is>
          <t>No</t>
        </is>
      </c>
      <c r="B771" t="inlineStr"/>
      <c r="C771" t="inlineStr">
        <is>
          <t>too much money for the parent builder</t>
        </is>
      </c>
      <c r="D771" t="inlineStr"/>
    </row>
    <row r="772">
      <c r="A772" t="inlineStr"/>
      <c r="B772" t="inlineStr"/>
      <c r="C772" t="inlineStr"/>
      <c r="D772" t="inlineStr"/>
    </row>
    <row r="773">
      <c r="A773" t="inlineStr">
        <is>
          <t>No</t>
        </is>
      </c>
      <c r="B773" t="inlineStr"/>
      <c r="C773" t="inlineStr">
        <is>
          <t>Finances</t>
        </is>
      </c>
      <c r="D773" t="inlineStr"/>
    </row>
    <row r="774">
      <c r="A774" t="inlineStr">
        <is>
          <t>No</t>
        </is>
      </c>
      <c r="B774" t="inlineStr"/>
      <c r="C774" t="inlineStr">
        <is>
          <t>scheduling conlicts</t>
        </is>
      </c>
      <c r="D774" t="inlineStr"/>
    </row>
    <row r="775">
      <c r="A775" t="inlineStr">
        <is>
          <t>No</t>
        </is>
      </c>
      <c r="B775" t="inlineStr"/>
      <c r="C775" t="inlineStr">
        <is>
          <t>work conflicts</t>
        </is>
      </c>
      <c r="D775" t="inlineStr"/>
    </row>
    <row r="776">
      <c r="A776" t="inlineStr">
        <is>
          <t>No</t>
        </is>
      </c>
      <c r="B776" t="inlineStr"/>
      <c r="C776" t="inlineStr">
        <is>
          <t>My work won't allow for it.</t>
        </is>
      </c>
      <c r="D776" t="inlineStr"/>
    </row>
    <row r="777">
      <c r="A777" t="inlineStr">
        <is>
          <t>No</t>
        </is>
      </c>
      <c r="B777" t="inlineStr"/>
      <c r="C777" t="inlineStr">
        <is>
          <t>Price and time off</t>
        </is>
      </c>
      <c r="D777" t="inlineStr"/>
    </row>
    <row r="778">
      <c r="A778" t="inlineStr">
        <is>
          <t>No</t>
        </is>
      </c>
      <c r="B778" t="inlineStr"/>
      <c r="C778" t="inlineStr">
        <is>
          <t xml:space="preserve">Price </t>
        </is>
      </c>
      <c r="D778" t="inlineStr"/>
    </row>
    <row r="779">
      <c r="A779" t="inlineStr">
        <is>
          <t>No</t>
        </is>
      </c>
      <c r="B779" t="inlineStr"/>
      <c r="C779" t="inlineStr">
        <is>
          <t>Sister went and looking for a testimony builder for my son</t>
        </is>
      </c>
      <c r="D779" t="inlineStr"/>
    </row>
    <row r="780">
      <c r="A780" t="inlineStr"/>
      <c r="B780" t="inlineStr"/>
      <c r="C780" t="inlineStr"/>
      <c r="D780" t="inlineStr"/>
    </row>
    <row r="781">
      <c r="A781" t="inlineStr"/>
      <c r="B781" t="inlineStr"/>
      <c r="C781" t="inlineStr"/>
      <c r="D781" t="inlineStr"/>
    </row>
    <row r="782">
      <c r="A782" t="inlineStr">
        <is>
          <t>No</t>
        </is>
      </c>
      <c r="B782" t="inlineStr"/>
      <c r="C782" t="inlineStr">
        <is>
          <t xml:space="preserve">Money, time and my son needed experiences indépendant of me. </t>
        </is>
      </c>
      <c r="D782" t="inlineStr"/>
    </row>
    <row r="783">
      <c r="A783" t="inlineStr">
        <is>
          <t>No</t>
        </is>
      </c>
      <c r="B783" t="inlineStr"/>
      <c r="C783" t="inlineStr">
        <is>
          <t>Money, 3 of my kids are doing hxp trips and I can’t afford to go too, although I would love to!!</t>
        </is>
      </c>
      <c r="D783" t="inlineStr"/>
    </row>
    <row r="784">
      <c r="A784" t="inlineStr">
        <is>
          <t>Yes</t>
        </is>
      </c>
      <c r="B784" t="inlineStr">
        <is>
          <t xml:space="preserve">They were in need of a female parent builder and it sounded like a great experience </t>
        </is>
      </c>
      <c r="C784" t="inlineStr"/>
      <c r="D784" t="inlineStr"/>
    </row>
    <row r="785">
      <c r="A785" t="inlineStr">
        <is>
          <t>No</t>
        </is>
      </c>
      <c r="B785" t="inlineStr"/>
      <c r="C785" t="inlineStr">
        <is>
          <t>money and time</t>
        </is>
      </c>
      <c r="D785" t="inlineStr"/>
    </row>
    <row r="786">
      <c r="A786" t="inlineStr">
        <is>
          <t>No</t>
        </is>
      </c>
      <c r="B786" t="inlineStr"/>
      <c r="C786" t="inlineStr">
        <is>
          <t>My husband is going :)</t>
        </is>
      </c>
      <c r="D786" t="inlineStr"/>
    </row>
    <row r="787">
      <c r="A787" t="inlineStr">
        <is>
          <t>Yes</t>
        </is>
      </c>
      <c r="B787" t="inlineStr">
        <is>
          <t>I had a great experience last year in Ghana</t>
        </is>
      </c>
      <c r="C787" t="inlineStr"/>
      <c r="D787" t="inlineStr"/>
    </row>
    <row r="788">
      <c r="A788" t="inlineStr"/>
      <c r="B788" t="inlineStr"/>
      <c r="C788" t="inlineStr"/>
      <c r="D788" t="inlineStr"/>
    </row>
    <row r="789">
      <c r="A789" t="inlineStr">
        <is>
          <t>No</t>
        </is>
      </c>
      <c r="B789" t="inlineStr"/>
      <c r="C789" t="inlineStr">
        <is>
          <t>I want my child to have this experience separate from us. I actually really want to go!!!</t>
        </is>
      </c>
      <c r="D789" t="inlineStr"/>
    </row>
    <row r="790">
      <c r="A790" t="inlineStr">
        <is>
          <t>No</t>
        </is>
      </c>
      <c r="B790" t="inlineStr"/>
      <c r="C790" t="inlineStr">
        <is>
          <t xml:space="preserve">Work </t>
        </is>
      </c>
      <c r="D790" t="inlineStr"/>
    </row>
    <row r="791">
      <c r="A791" t="inlineStr"/>
      <c r="B791" t="inlineStr"/>
      <c r="C791" t="inlineStr"/>
      <c r="D791" t="inlineStr"/>
    </row>
    <row r="792">
      <c r="A792" t="inlineStr">
        <is>
          <t>No</t>
        </is>
      </c>
      <c r="B792" t="inlineStr"/>
      <c r="C792" t="inlineStr">
        <is>
          <t>Too busy with other kids and life</t>
        </is>
      </c>
      <c r="D792" t="inlineStr"/>
    </row>
    <row r="793">
      <c r="A793" t="inlineStr">
        <is>
          <t>No</t>
        </is>
      </c>
      <c r="B793" t="inlineStr"/>
      <c r="C793" t="inlineStr">
        <is>
          <t>Want my builder to have that time for just her</t>
        </is>
      </c>
      <c r="D793" t="inlineStr"/>
    </row>
    <row r="794">
      <c r="A794" t="inlineStr">
        <is>
          <t>No</t>
        </is>
      </c>
      <c r="B794" t="inlineStr"/>
      <c r="C794" t="inlineStr">
        <is>
          <t xml:space="preserve">Our son wanted to go on his own. </t>
        </is>
      </c>
      <c r="D794" t="inlineStr"/>
    </row>
    <row r="795">
      <c r="A795" t="inlineStr">
        <is>
          <t>No</t>
        </is>
      </c>
      <c r="B795" t="inlineStr"/>
      <c r="C795" t="inlineStr">
        <is>
          <t xml:space="preserve">Cost prohibitive and the length of time away from other younger kids </t>
        </is>
      </c>
      <c r="D795" t="inlineStr"/>
    </row>
    <row r="796">
      <c r="A796" t="inlineStr">
        <is>
          <t>No</t>
        </is>
      </c>
      <c r="B796" t="inlineStr"/>
      <c r="C796" t="inlineStr">
        <is>
          <t xml:space="preserve">My spouse is going with our daughter </t>
        </is>
      </c>
      <c r="D796" t="inlineStr"/>
    </row>
    <row r="797">
      <c r="A797" t="inlineStr">
        <is>
          <t>Yes</t>
        </is>
      </c>
      <c r="B797" t="inlineStr">
        <is>
          <t>My daughter asked me to accompany her on her first international trip.</t>
        </is>
      </c>
      <c r="C797" t="inlineStr"/>
      <c r="D797" t="inlineStr"/>
    </row>
    <row r="798">
      <c r="A798" t="inlineStr">
        <is>
          <t>No</t>
        </is>
      </c>
      <c r="B798" t="inlineStr"/>
      <c r="C798" t="inlineStr">
        <is>
          <t>Too many young children at home</t>
        </is>
      </c>
      <c r="D798" t="inlineStr"/>
    </row>
    <row r="799">
      <c r="A799" t="inlineStr">
        <is>
          <t>No</t>
        </is>
      </c>
      <c r="B799" t="inlineStr"/>
      <c r="C799" t="inlineStr">
        <is>
          <t>I felt like it would be good for my daughter to go on her own.</t>
        </is>
      </c>
      <c r="D799" t="inlineStr"/>
    </row>
    <row r="800">
      <c r="A800" t="inlineStr">
        <is>
          <t>No</t>
        </is>
      </c>
      <c r="B800" t="inlineStr"/>
      <c r="C800" t="inlineStr"/>
      <c r="D800" t="inlineStr"/>
    </row>
    <row r="801">
      <c r="A801" t="inlineStr">
        <is>
          <t>No</t>
        </is>
      </c>
      <c r="B801" t="inlineStr"/>
      <c r="C801" t="inlineStr">
        <is>
          <t xml:space="preserve">I have 6 younger kids at home. </t>
        </is>
      </c>
      <c r="D801" t="inlineStr"/>
    </row>
    <row r="802">
      <c r="A802" t="inlineStr">
        <is>
          <t>No</t>
        </is>
      </c>
      <c r="B802" t="inlineStr"/>
      <c r="C802" t="inlineStr">
        <is>
          <t>My child needing to be on their own- and cost</t>
        </is>
      </c>
      <c r="D802" t="inlineStr"/>
    </row>
    <row r="803">
      <c r="A803" t="inlineStr">
        <is>
          <t>Yes</t>
        </is>
      </c>
      <c r="B803" t="inlineStr">
        <is>
          <t xml:space="preserve">To be with my son, opportunity to serve </t>
        </is>
      </c>
      <c r="C803" t="inlineStr"/>
      <c r="D803" t="inlineStr"/>
    </row>
    <row r="804">
      <c r="A804" t="inlineStr">
        <is>
          <t>No</t>
        </is>
      </c>
      <c r="B804" t="inlineStr"/>
      <c r="C804" t="inlineStr">
        <is>
          <t>Money</t>
        </is>
      </c>
      <c r="D804" t="inlineStr"/>
    </row>
    <row r="805">
      <c r="A805" t="inlineStr"/>
      <c r="B805" t="inlineStr"/>
      <c r="C805" t="inlineStr"/>
      <c r="D805" t="inlineStr"/>
    </row>
    <row r="806">
      <c r="A806" t="inlineStr"/>
      <c r="B806" t="inlineStr"/>
      <c r="C806" t="inlineStr"/>
      <c r="D806" t="inlineStr"/>
    </row>
    <row r="807">
      <c r="A807" t="inlineStr">
        <is>
          <t>No</t>
        </is>
      </c>
      <c r="B807" t="inlineStr"/>
      <c r="C807" t="inlineStr"/>
      <c r="D807" t="inlineStr"/>
    </row>
    <row r="808">
      <c r="A808" t="inlineStr">
        <is>
          <t>No</t>
        </is>
      </c>
      <c r="B808" t="inlineStr"/>
      <c r="C808" t="inlineStr">
        <is>
          <t>My husband is going.</t>
        </is>
      </c>
      <c r="D808" t="inlineStr"/>
    </row>
    <row r="809">
      <c r="A809" t="inlineStr">
        <is>
          <t>No</t>
        </is>
      </c>
      <c r="B809" t="inlineStr"/>
      <c r="C809" t="inlineStr">
        <is>
          <t xml:space="preserve">Too busy </t>
        </is>
      </c>
      <c r="D809" t="inlineStr"/>
    </row>
    <row r="810">
      <c r="A810" t="inlineStr">
        <is>
          <t>Maybe</t>
        </is>
      </c>
      <c r="B810" t="inlineStr"/>
      <c r="C810" t="inlineStr"/>
      <c r="D810" t="inlineStr">
        <is>
          <t xml:space="preserve">Cost timing </t>
        </is>
      </c>
    </row>
    <row r="811">
      <c r="A811" t="inlineStr">
        <is>
          <t>No</t>
        </is>
      </c>
      <c r="B811" t="inlineStr"/>
      <c r="C811" t="inlineStr">
        <is>
          <t>I want my kid to have his own personal experience without me there. This is his adventure.</t>
        </is>
      </c>
      <c r="D811" t="inlineStr"/>
    </row>
    <row r="812">
      <c r="A812" t="inlineStr">
        <is>
          <t>No</t>
        </is>
      </c>
      <c r="B812" t="inlineStr"/>
      <c r="C812" t="inlineStr"/>
      <c r="D812" t="inlineStr"/>
    </row>
    <row r="813">
      <c r="A813" t="inlineStr">
        <is>
          <t>No</t>
        </is>
      </c>
      <c r="B813" t="inlineStr"/>
      <c r="C813" t="inlineStr">
        <is>
          <t>Work</t>
        </is>
      </c>
      <c r="D813" t="inlineStr"/>
    </row>
    <row r="814">
      <c r="A814" t="inlineStr">
        <is>
          <t>No</t>
        </is>
      </c>
      <c r="B814" t="inlineStr"/>
      <c r="C814" t="inlineStr">
        <is>
          <t xml:space="preserve">My daughter said I couldn’t </t>
        </is>
      </c>
      <c r="D814" t="inlineStr"/>
    </row>
    <row r="815">
      <c r="A815" t="inlineStr">
        <is>
          <t>No</t>
        </is>
      </c>
      <c r="B815" t="inlineStr"/>
      <c r="C815" t="inlineStr">
        <is>
          <t>I have young ones at home.</t>
        </is>
      </c>
      <c r="D815" t="inlineStr"/>
    </row>
    <row r="816">
      <c r="A816" t="inlineStr"/>
      <c r="B816" t="inlineStr"/>
      <c r="C816" t="inlineStr"/>
      <c r="D816" t="inlineStr"/>
    </row>
    <row r="817">
      <c r="A817" t="inlineStr">
        <is>
          <t>No</t>
        </is>
      </c>
      <c r="B817" t="inlineStr"/>
      <c r="C817" t="inlineStr">
        <is>
          <t xml:space="preserve">My son didn’t want me to go, lol. I really wanted to go. </t>
        </is>
      </c>
      <c r="D817" t="inlineStr"/>
    </row>
    <row r="818">
      <c r="A818" t="inlineStr">
        <is>
          <t>No</t>
        </is>
      </c>
      <c r="B818" t="inlineStr"/>
      <c r="C818" t="inlineStr">
        <is>
          <t xml:space="preserve">To busy </t>
        </is>
      </c>
      <c r="D818" t="inlineStr"/>
    </row>
    <row r="819">
      <c r="A819" t="inlineStr">
        <is>
          <t>No</t>
        </is>
      </c>
      <c r="B819" t="inlineStr"/>
      <c r="C819" t="inlineStr">
        <is>
          <t>My child needed this time away from home to grow</t>
        </is>
      </c>
      <c r="D819" t="inlineStr"/>
    </row>
    <row r="820">
      <c r="A820" t="inlineStr"/>
      <c r="B820" t="inlineStr"/>
      <c r="C820" t="inlineStr"/>
      <c r="D820" t="inlineStr"/>
    </row>
    <row r="821">
      <c r="A821" t="inlineStr"/>
      <c r="B821" t="inlineStr"/>
      <c r="C821" t="inlineStr"/>
      <c r="D821" t="inlineStr"/>
    </row>
    <row r="822">
      <c r="A822" t="inlineStr">
        <is>
          <t>No</t>
        </is>
      </c>
      <c r="B822" t="inlineStr"/>
      <c r="C822" t="inlineStr">
        <is>
          <t>Younger Children at Home</t>
        </is>
      </c>
      <c r="D822" t="inlineStr"/>
    </row>
    <row r="823">
      <c r="A823" t="inlineStr">
        <is>
          <t>No</t>
        </is>
      </c>
      <c r="B823" t="inlineStr"/>
      <c r="C823" t="inlineStr">
        <is>
          <t>independence for my daughter being away from us</t>
        </is>
      </c>
      <c r="D823" t="inlineStr"/>
    </row>
    <row r="824">
      <c r="A824" t="inlineStr">
        <is>
          <t>No</t>
        </is>
      </c>
      <c r="B824" t="inlineStr"/>
      <c r="C824" t="inlineStr">
        <is>
          <t xml:space="preserve">I have other kids at home and I felt that this would be a good experience for my daughter without her parents. </t>
        </is>
      </c>
      <c r="D824" t="inlineStr"/>
    </row>
    <row r="825">
      <c r="A825" t="inlineStr">
        <is>
          <t>No</t>
        </is>
      </c>
      <c r="B825" t="inlineStr"/>
      <c r="C825" t="inlineStr"/>
      <c r="D825" t="inlineStr"/>
    </row>
    <row r="826">
      <c r="A826" t="inlineStr">
        <is>
          <t>No</t>
        </is>
      </c>
      <c r="B826" t="inlineStr"/>
      <c r="C826" t="inlineStr">
        <is>
          <t xml:space="preserve">The desire to serve </t>
        </is>
      </c>
      <c r="D826" t="inlineStr"/>
    </row>
    <row r="827">
      <c r="A827" t="inlineStr">
        <is>
          <t>No</t>
        </is>
      </c>
      <c r="B827" t="inlineStr"/>
      <c r="C827" t="inlineStr">
        <is>
          <t>Time / work</t>
        </is>
      </c>
      <c r="D827" t="inlineStr"/>
    </row>
    <row r="828">
      <c r="A828" t="inlineStr">
        <is>
          <t>No</t>
        </is>
      </c>
      <c r="B828" t="inlineStr"/>
      <c r="C828" t="inlineStr">
        <is>
          <t>We have a lot of kids and responsibilities at home.  Hard to step away even though we’d have loved to have gone.</t>
        </is>
      </c>
      <c r="D828" t="inlineStr"/>
    </row>
    <row r="829">
      <c r="A829" t="inlineStr">
        <is>
          <t>No</t>
        </is>
      </c>
      <c r="B829" t="inlineStr"/>
      <c r="C829" t="inlineStr">
        <is>
          <t xml:space="preserve">I might go when my you gear son goes. </t>
        </is>
      </c>
      <c r="D829" t="inlineStr"/>
    </row>
    <row r="830">
      <c r="A830" t="inlineStr">
        <is>
          <t>No</t>
        </is>
      </c>
      <c r="B830" t="inlineStr"/>
      <c r="C830" t="inlineStr">
        <is>
          <t xml:space="preserve">My son asked me not to </t>
        </is>
      </c>
      <c r="D830" t="inlineStr"/>
    </row>
    <row r="831">
      <c r="A831" t="inlineStr">
        <is>
          <t>No</t>
        </is>
      </c>
      <c r="B831" t="inlineStr"/>
      <c r="C831" t="inlineStr">
        <is>
          <t xml:space="preserve">I do't have the time to take off of work and leave my younger children </t>
        </is>
      </c>
      <c r="D831" t="inlineStr"/>
    </row>
    <row r="832">
      <c r="A832" t="inlineStr">
        <is>
          <t>No</t>
        </is>
      </c>
      <c r="B832" t="inlineStr"/>
      <c r="C832" t="inlineStr">
        <is>
          <t>I want my son to have influences outside of his parents</t>
        </is>
      </c>
      <c r="D832" t="inlineStr"/>
    </row>
    <row r="833">
      <c r="A833" t="inlineStr"/>
      <c r="B833" t="inlineStr"/>
      <c r="C833" t="inlineStr"/>
      <c r="D833" t="inlineStr"/>
    </row>
    <row r="834">
      <c r="A834" t="inlineStr">
        <is>
          <t>No</t>
        </is>
      </c>
      <c r="B834" t="inlineStr"/>
      <c r="C834" t="inlineStr">
        <is>
          <t>Money</t>
        </is>
      </c>
      <c r="D834" t="inlineStr"/>
    </row>
    <row r="835">
      <c r="A835" t="inlineStr">
        <is>
          <t>No</t>
        </is>
      </c>
      <c r="B835" t="inlineStr"/>
      <c r="C835" t="inlineStr">
        <is>
          <t>Cost and time</t>
        </is>
      </c>
      <c r="D835" t="inlineStr"/>
    </row>
    <row r="836">
      <c r="A836" t="inlineStr">
        <is>
          <t>Yes</t>
        </is>
      </c>
      <c r="B836" t="inlineStr">
        <is>
          <t>The opportunity to travel and serve</t>
        </is>
      </c>
      <c r="C836" t="inlineStr"/>
      <c r="D836" t="inlineStr"/>
    </row>
    <row r="837">
      <c r="A837" t="inlineStr">
        <is>
          <t>No</t>
        </is>
      </c>
      <c r="B837" t="inlineStr"/>
      <c r="C837" t="inlineStr">
        <is>
          <t xml:space="preserve">Time, other children </t>
        </is>
      </c>
      <c r="D837" t="inlineStr"/>
    </row>
    <row r="838">
      <c r="A838" t="inlineStr">
        <is>
          <t>No</t>
        </is>
      </c>
      <c r="B838" t="inlineStr"/>
      <c r="C838" t="inlineStr">
        <is>
          <t>I don't have time, I have other kids at home</t>
        </is>
      </c>
      <c r="D838" t="inlineStr"/>
    </row>
    <row r="839">
      <c r="A839" t="inlineStr">
        <is>
          <t>Yes</t>
        </is>
      </c>
      <c r="B839" t="inlineStr">
        <is>
          <t>Spend time with my son</t>
        </is>
      </c>
      <c r="C839" t="inlineStr"/>
      <c r="D839" t="inlineStr"/>
    </row>
    <row r="840">
      <c r="A840" t="inlineStr">
        <is>
          <t>No</t>
        </is>
      </c>
      <c r="B840" t="inlineStr"/>
      <c r="C840" t="inlineStr">
        <is>
          <t xml:space="preserve">I wanted this to be my daughters experience, not mine. </t>
        </is>
      </c>
      <c r="D840" t="inlineStr"/>
    </row>
    <row r="841">
      <c r="A841" t="inlineStr">
        <is>
          <t>No</t>
        </is>
      </c>
      <c r="B841" t="inlineStr"/>
      <c r="C841" t="inlineStr"/>
      <c r="D841" t="inlineStr"/>
    </row>
    <row r="842">
      <c r="A842" t="inlineStr">
        <is>
          <t>Yes</t>
        </is>
      </c>
      <c r="B842" t="inlineStr">
        <is>
          <t>wanting to share an experience with my daughter</t>
        </is>
      </c>
      <c r="C842" t="inlineStr"/>
      <c r="D842" t="inlineStr"/>
    </row>
    <row r="843">
      <c r="A843" t="inlineStr">
        <is>
          <t>No</t>
        </is>
      </c>
      <c r="B843" t="inlineStr"/>
      <c r="C843" t="inlineStr">
        <is>
          <t xml:space="preserve">originally a friend recommendation, this trip though was because other siblings have gone and loved it. </t>
        </is>
      </c>
      <c r="D843" t="inlineStr"/>
    </row>
    <row r="844">
      <c r="A844" t="inlineStr">
        <is>
          <t>No</t>
        </is>
      </c>
      <c r="B844" t="inlineStr"/>
      <c r="C844" t="inlineStr">
        <is>
          <t xml:space="preserve">I have other kids who need me. Daughter didn’t want me to. </t>
        </is>
      </c>
      <c r="D844" t="inlineStr"/>
    </row>
    <row r="845">
      <c r="A845" t="inlineStr">
        <is>
          <t>No</t>
        </is>
      </c>
      <c r="B845" t="inlineStr"/>
      <c r="C845" t="inlineStr">
        <is>
          <t>responsibilities at home</t>
        </is>
      </c>
      <c r="D845" t="inlineStr"/>
    </row>
    <row r="846">
      <c r="A846" t="inlineStr"/>
      <c r="B846" t="inlineStr"/>
      <c r="C846" t="inlineStr"/>
      <c r="D846" t="inlineStr"/>
    </row>
    <row r="847">
      <c r="A847" t="inlineStr">
        <is>
          <t>No</t>
        </is>
      </c>
      <c r="B847" t="inlineStr"/>
      <c r="C847" t="inlineStr">
        <is>
          <t>Kids at home</t>
        </is>
      </c>
      <c r="D847" t="inlineStr"/>
    </row>
    <row r="848">
      <c r="A848" t="inlineStr">
        <is>
          <t>No</t>
        </is>
      </c>
      <c r="B848" t="inlineStr"/>
      <c r="C848" t="inlineStr">
        <is>
          <t>Work</t>
        </is>
      </c>
      <c r="D848" t="inlineStr"/>
    </row>
    <row r="849">
      <c r="A849" t="inlineStr">
        <is>
          <t>No</t>
        </is>
      </c>
      <c r="B849" t="inlineStr"/>
      <c r="C849" t="inlineStr">
        <is>
          <t>Other responsibilities at home</t>
        </is>
      </c>
      <c r="D849" t="inlineStr"/>
    </row>
    <row r="850">
      <c r="A850" t="inlineStr">
        <is>
          <t>No</t>
        </is>
      </c>
      <c r="B850" t="inlineStr"/>
      <c r="C850" t="inlineStr">
        <is>
          <t>Didn't get my head in the game soon enough. :)</t>
        </is>
      </c>
      <c r="D850" t="inlineStr"/>
    </row>
    <row r="851">
      <c r="A851" t="inlineStr">
        <is>
          <t>No</t>
        </is>
      </c>
      <c r="B851" t="inlineStr"/>
      <c r="C851" t="inlineStr">
        <is>
          <t>Time away from work</t>
        </is>
      </c>
      <c r="D851" t="inlineStr"/>
    </row>
    <row r="852">
      <c r="A852" t="inlineStr">
        <is>
          <t>No</t>
        </is>
      </c>
      <c r="B852" t="inlineStr"/>
      <c r="C852" t="inlineStr">
        <is>
          <t>Chronic illness (nothing to do with HXP)</t>
        </is>
      </c>
      <c r="D852" t="inlineStr"/>
    </row>
    <row r="853">
      <c r="A853" t="inlineStr">
        <is>
          <t>No</t>
        </is>
      </c>
      <c r="B853" t="inlineStr"/>
      <c r="C853" t="inlineStr">
        <is>
          <t>Health issues</t>
        </is>
      </c>
      <c r="D853" t="inlineStr"/>
    </row>
    <row r="854">
      <c r="A854" t="inlineStr">
        <is>
          <t>No</t>
        </is>
      </c>
      <c r="B854" t="inlineStr"/>
      <c r="C854" t="inlineStr">
        <is>
          <t>Time</t>
        </is>
      </c>
      <c r="D854" t="inlineStr"/>
    </row>
    <row r="855">
      <c r="A855" t="inlineStr">
        <is>
          <t>No</t>
        </is>
      </c>
      <c r="B855" t="inlineStr"/>
      <c r="C855" t="inlineStr">
        <is>
          <t>Cost and other vacations already planned.</t>
        </is>
      </c>
      <c r="D855" t="inlineStr"/>
    </row>
    <row r="856">
      <c r="A856" t="inlineStr">
        <is>
          <t>No</t>
        </is>
      </c>
      <c r="B856" t="inlineStr"/>
      <c r="C856" t="inlineStr"/>
      <c r="D856" t="inlineStr"/>
    </row>
    <row r="857">
      <c r="A857" t="inlineStr">
        <is>
          <t>Yes</t>
        </is>
      </c>
      <c r="B857" t="inlineStr">
        <is>
          <t>My wife</t>
        </is>
      </c>
      <c r="C857" t="inlineStr"/>
      <c r="D857" t="inlineStr"/>
    </row>
    <row r="858">
      <c r="A858" t="inlineStr">
        <is>
          <t>No</t>
        </is>
      </c>
      <c r="B858" t="inlineStr"/>
      <c r="C858" t="inlineStr">
        <is>
          <t xml:space="preserve">Daughter wanted to be independent </t>
        </is>
      </c>
      <c r="D858" t="inlineStr"/>
    </row>
    <row r="859">
      <c r="A859" t="inlineStr">
        <is>
          <t>No</t>
        </is>
      </c>
      <c r="B859" t="inlineStr"/>
      <c r="C859" t="inlineStr">
        <is>
          <t>Various factors including cost, time away, other children at home and work obligations.  As well as wanting my child to have her own experience.</t>
        </is>
      </c>
      <c r="D859" t="inlineStr"/>
    </row>
    <row r="860">
      <c r="A860" t="inlineStr">
        <is>
          <t>No</t>
        </is>
      </c>
      <c r="B860" t="inlineStr"/>
      <c r="C860" t="inlineStr">
        <is>
          <t>Our son wanted to go by himself</t>
        </is>
      </c>
      <c r="D860" t="inlineStr"/>
    </row>
    <row r="861">
      <c r="A861" t="inlineStr">
        <is>
          <t>No</t>
        </is>
      </c>
      <c r="B861" t="inlineStr"/>
      <c r="C861" t="inlineStr">
        <is>
          <t xml:space="preserve">Daughter didn’t want me to go with her </t>
        </is>
      </c>
      <c r="D861" t="inlineStr"/>
    </row>
    <row r="862">
      <c r="A862" t="inlineStr">
        <is>
          <t>No</t>
        </is>
      </c>
      <c r="B862" t="inlineStr"/>
      <c r="C862" t="inlineStr">
        <is>
          <t>Want her to go with out me</t>
        </is>
      </c>
      <c r="D862" t="inlineStr"/>
    </row>
    <row r="863">
      <c r="A863" t="inlineStr">
        <is>
          <t>No</t>
        </is>
      </c>
      <c r="B863" t="inlineStr"/>
      <c r="C863" t="inlineStr">
        <is>
          <t xml:space="preserve">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  </t>
        </is>
      </c>
      <c r="D863" t="inlineStr"/>
    </row>
    <row r="864">
      <c r="A864" t="inlineStr">
        <is>
          <t>No</t>
        </is>
      </c>
      <c r="B864" t="inlineStr"/>
      <c r="C864" t="inlineStr">
        <is>
          <t>Son didn’t want me to go</t>
        </is>
      </c>
      <c r="D864" t="inlineStr"/>
    </row>
    <row r="865">
      <c r="A865" t="inlineStr">
        <is>
          <t>No</t>
        </is>
      </c>
      <c r="B865" t="inlineStr"/>
      <c r="C865" t="inlineStr">
        <is>
          <t>Time</t>
        </is>
      </c>
      <c r="D865" t="inlineStr"/>
    </row>
    <row r="866">
      <c r="A866" t="inlineStr"/>
      <c r="B866" t="inlineStr"/>
      <c r="C866" t="inlineStr"/>
      <c r="D866" t="inlineStr"/>
    </row>
    <row r="867">
      <c r="A867" t="inlineStr">
        <is>
          <t>No</t>
        </is>
      </c>
      <c r="B867" t="inlineStr"/>
      <c r="C867" t="inlineStr">
        <is>
          <t>Give my son more opportunity for individual growth</t>
        </is>
      </c>
      <c r="D867" t="inlineStr"/>
    </row>
    <row r="868">
      <c r="A868" t="inlineStr">
        <is>
          <t>Yes</t>
        </is>
      </c>
      <c r="B868" t="inlineStr">
        <is>
          <t>Time with my daughter; opportunity to serve</t>
        </is>
      </c>
      <c r="C868" t="inlineStr"/>
      <c r="D868" t="inlineStr"/>
    </row>
    <row r="869">
      <c r="A869" t="inlineStr">
        <is>
          <t>No</t>
        </is>
      </c>
      <c r="B869" t="inlineStr"/>
      <c r="C869" t="inlineStr">
        <is>
          <t>I think its better for my daughter not to have me there as someone to lean ion. She will need to trust herself and those shes with</t>
        </is>
      </c>
      <c r="D869" t="inlineStr"/>
    </row>
    <row r="870">
      <c r="A870" t="inlineStr"/>
      <c r="B870" t="inlineStr"/>
      <c r="C870" t="inlineStr"/>
      <c r="D870" t="inlineStr"/>
    </row>
    <row r="871">
      <c r="A871" t="inlineStr">
        <is>
          <t>No</t>
        </is>
      </c>
      <c r="B871" t="inlineStr"/>
      <c r="C871" t="inlineStr">
        <is>
          <t>work</t>
        </is>
      </c>
      <c r="D871" t="inlineStr"/>
    </row>
    <row r="872">
      <c r="A872" t="inlineStr">
        <is>
          <t>No</t>
        </is>
      </c>
      <c r="B872" t="inlineStr"/>
      <c r="C872" t="inlineStr">
        <is>
          <t xml:space="preserve">My husband is going, that's why. </t>
        </is>
      </c>
      <c r="D872" t="inlineStr"/>
    </row>
    <row r="873">
      <c r="A873" t="inlineStr">
        <is>
          <t>No</t>
        </is>
      </c>
      <c r="B873" t="inlineStr"/>
      <c r="C873" t="inlineStr">
        <is>
          <t>I would like to go as a parent builder in the future</t>
        </is>
      </c>
      <c r="D873" t="inlineStr"/>
    </row>
    <row r="874">
      <c r="A874" t="inlineStr">
        <is>
          <t>No</t>
        </is>
      </c>
      <c r="B874" t="inlineStr"/>
      <c r="C874" t="inlineStr"/>
      <c r="D874" t="inlineStr"/>
    </row>
    <row r="875">
      <c r="A875" t="inlineStr">
        <is>
          <t>No</t>
        </is>
      </c>
      <c r="B875" t="inlineStr"/>
      <c r="C875" t="inlineStr">
        <is>
          <t>Heard positive report from someone else that went.</t>
        </is>
      </c>
      <c r="D875" t="inlineStr"/>
    </row>
    <row r="876">
      <c r="A876" t="inlineStr">
        <is>
          <t>No</t>
        </is>
      </c>
      <c r="B876" t="inlineStr"/>
      <c r="C876" t="inlineStr">
        <is>
          <t xml:space="preserve">How long the trip is, It's a long time to be away from the rest of my family </t>
        </is>
      </c>
      <c r="D876" t="inlineStr"/>
    </row>
    <row r="877">
      <c r="A877" t="inlineStr">
        <is>
          <t>No</t>
        </is>
      </c>
      <c r="B877" t="inlineStr"/>
      <c r="C877" t="inlineStr">
        <is>
          <t>Want child to have experience away from parent</t>
        </is>
      </c>
      <c r="D877" t="inlineStr"/>
    </row>
    <row r="878">
      <c r="A878" t="inlineStr">
        <is>
          <t>No</t>
        </is>
      </c>
      <c r="B878" t="inlineStr"/>
      <c r="C878" t="inlineStr">
        <is>
          <t>previous children have gone</t>
        </is>
      </c>
      <c r="D878" t="inlineStr"/>
    </row>
    <row r="879">
      <c r="A879" t="inlineStr">
        <is>
          <t>No</t>
        </is>
      </c>
      <c r="B879" t="inlineStr"/>
      <c r="C879" t="inlineStr">
        <is>
          <t>not interested</t>
        </is>
      </c>
      <c r="D879" t="inlineStr"/>
    </row>
    <row r="880">
      <c r="A880" t="inlineStr">
        <is>
          <t>No</t>
        </is>
      </c>
      <c r="B880" t="inlineStr"/>
      <c r="C880" t="inlineStr"/>
      <c r="D880" t="inlineStr"/>
    </row>
    <row r="881">
      <c r="A881" t="inlineStr">
        <is>
          <t>No</t>
        </is>
      </c>
      <c r="B881" t="inlineStr"/>
      <c r="C881" t="inlineStr"/>
      <c r="D881" t="inlineStr"/>
    </row>
    <row r="882">
      <c r="A882" t="inlineStr">
        <is>
          <t>No</t>
        </is>
      </c>
      <c r="B882" t="inlineStr"/>
      <c r="C882" t="inlineStr">
        <is>
          <t>I have 6 kids and a husband that works a busy job.  Just not my season yet.</t>
        </is>
      </c>
      <c r="D882" t="inlineStr"/>
    </row>
    <row r="883">
      <c r="A883" t="inlineStr">
        <is>
          <t>No</t>
        </is>
      </c>
      <c r="B883" t="inlineStr"/>
      <c r="C883" t="inlineStr">
        <is>
          <t>Daughter wants to go alone</t>
        </is>
      </c>
      <c r="D883" t="inlineStr"/>
    </row>
    <row r="884">
      <c r="A884" t="inlineStr"/>
      <c r="B884" t="inlineStr"/>
      <c r="C884" t="inlineStr"/>
      <c r="D884" t="inlineStr"/>
    </row>
    <row r="885">
      <c r="A885" t="inlineStr">
        <is>
          <t>No</t>
        </is>
      </c>
      <c r="B885" t="inlineStr"/>
      <c r="C885" t="inlineStr">
        <is>
          <t>My husband is going this year</t>
        </is>
      </c>
      <c r="D885" t="inlineStr"/>
    </row>
    <row r="886">
      <c r="A886" t="inlineStr">
        <is>
          <t>No</t>
        </is>
      </c>
      <c r="B886" t="inlineStr"/>
      <c r="C886" t="inlineStr">
        <is>
          <t>Already full and I have my most busy time at work in the summer.</t>
        </is>
      </c>
      <c r="D886" t="inlineStr"/>
    </row>
    <row r="887">
      <c r="A887" t="inlineStr">
        <is>
          <t>No</t>
        </is>
      </c>
      <c r="B887" t="inlineStr"/>
      <c r="C887" t="inlineStr">
        <is>
          <t>Couldn’t leave my other kids home that long</t>
        </is>
      </c>
      <c r="D887" t="inlineStr"/>
    </row>
    <row r="888">
      <c r="A888" t="inlineStr">
        <is>
          <t>Maybe</t>
        </is>
      </c>
      <c r="B888" t="inlineStr"/>
      <c r="C888" t="inlineStr"/>
      <c r="D888" t="inlineStr"/>
    </row>
    <row r="889">
      <c r="A889" t="inlineStr">
        <is>
          <t>No</t>
        </is>
      </c>
      <c r="B889" t="inlineStr"/>
      <c r="C889" t="inlineStr">
        <is>
          <t xml:space="preserve">I can’t leave my kids. </t>
        </is>
      </c>
      <c r="D889" t="inlineStr"/>
    </row>
    <row r="890">
      <c r="A890" t="inlineStr">
        <is>
          <t>No</t>
        </is>
      </c>
      <c r="B890" t="inlineStr"/>
      <c r="C890" t="inlineStr">
        <is>
          <t>I never heard it as an option from my child (or as you call her “builder”)</t>
        </is>
      </c>
      <c r="D890" t="inlineStr"/>
    </row>
    <row r="891">
      <c r="A891" t="inlineStr">
        <is>
          <t>No</t>
        </is>
      </c>
      <c r="B891" t="inlineStr"/>
      <c r="C891" t="inlineStr">
        <is>
          <t xml:space="preserve">have other kids to take care of </t>
        </is>
      </c>
      <c r="D891" t="inlineStr"/>
    </row>
    <row r="892">
      <c r="A892" t="inlineStr">
        <is>
          <t>Maybe</t>
        </is>
      </c>
      <c r="B892" t="inlineStr"/>
      <c r="C892" t="inlineStr"/>
      <c r="D892" t="inlineStr">
        <is>
          <t>cost</t>
        </is>
      </c>
    </row>
    <row r="893">
      <c r="A893" t="inlineStr">
        <is>
          <t>Maybe</t>
        </is>
      </c>
      <c r="B893" t="inlineStr"/>
      <c r="C893" t="inlineStr"/>
      <c r="D893" t="inlineStr">
        <is>
          <t>I might go when my youngest is old enough so I don't have to worry about other kids being left unattended at home.</t>
        </is>
      </c>
    </row>
    <row r="894">
      <c r="A894" t="inlineStr">
        <is>
          <t>No</t>
        </is>
      </c>
      <c r="B894" t="inlineStr"/>
      <c r="C894" t="inlineStr">
        <is>
          <t>Cost</t>
        </is>
      </c>
      <c r="D894" t="inlineStr"/>
    </row>
    <row r="895">
      <c r="A895" t="inlineStr">
        <is>
          <t>No</t>
        </is>
      </c>
      <c r="B895" t="inlineStr"/>
      <c r="C895" t="inlineStr">
        <is>
          <t>💵</t>
        </is>
      </c>
      <c r="D895" t="inlineStr"/>
    </row>
    <row r="896">
      <c r="A896" t="inlineStr"/>
      <c r="B896" t="inlineStr"/>
      <c r="C896" t="inlineStr"/>
      <c r="D896" t="inlineStr"/>
    </row>
    <row r="897">
      <c r="A897" t="inlineStr">
        <is>
          <t>No</t>
        </is>
      </c>
      <c r="B897" t="inlineStr"/>
      <c r="C897" t="inlineStr"/>
      <c r="D897" t="inlineStr"/>
    </row>
    <row r="898">
      <c r="A898" t="inlineStr">
        <is>
          <t>No</t>
        </is>
      </c>
      <c r="B898" t="inlineStr"/>
      <c r="C898" t="inlineStr">
        <is>
          <t xml:space="preserve">Daughter wanted own experience </t>
        </is>
      </c>
      <c r="D898" t="inlineStr"/>
    </row>
    <row r="899">
      <c r="A899" t="inlineStr">
        <is>
          <t>Yes</t>
        </is>
      </c>
      <c r="B899" t="inlineStr">
        <is>
          <t>I was asked to go by HXP. I've considered it for all of my kids' trips, but didn't want to negatively impact their experience. I only decided to go because my daughter agreed.</t>
        </is>
      </c>
      <c r="C899" t="inlineStr"/>
      <c r="D899" t="inlineStr"/>
    </row>
    <row r="900">
      <c r="A900" t="inlineStr">
        <is>
          <t>No</t>
        </is>
      </c>
      <c r="B900" t="inlineStr"/>
      <c r="C900" t="inlineStr">
        <is>
          <t>Cost</t>
        </is>
      </c>
      <c r="D900" t="inlineStr"/>
    </row>
    <row r="901">
      <c r="A901" t="inlineStr">
        <is>
          <t>No</t>
        </is>
      </c>
      <c r="B901" t="inlineStr"/>
      <c r="C901" t="inlineStr">
        <is>
          <t xml:space="preserve">I wanted to give my son a chance to have a trip all by himself. </t>
        </is>
      </c>
      <c r="D901" t="inlineStr"/>
    </row>
    <row r="902">
      <c r="A902" t="inlineStr">
        <is>
          <t>No</t>
        </is>
      </c>
      <c r="B902" t="inlineStr"/>
      <c r="C902" t="inlineStr">
        <is>
          <t>My husband is going, I’m excited for both him and my daughter!</t>
        </is>
      </c>
      <c r="D902" t="inlineStr"/>
    </row>
    <row r="903">
      <c r="A903" t="inlineStr">
        <is>
          <t>No</t>
        </is>
      </c>
      <c r="B903" t="inlineStr"/>
      <c r="C903" t="inlineStr">
        <is>
          <t>Work schedule</t>
        </is>
      </c>
      <c r="D903" t="inlineStr"/>
    </row>
    <row r="904">
      <c r="A904" t="inlineStr">
        <is>
          <t>No</t>
        </is>
      </c>
      <c r="B904" t="inlineStr"/>
      <c r="C904" t="inlineStr">
        <is>
          <t>Work</t>
        </is>
      </c>
      <c r="D904" t="inlineStr"/>
    </row>
    <row r="905">
      <c r="A905" t="inlineStr">
        <is>
          <t>No</t>
        </is>
      </c>
      <c r="B905" t="inlineStr"/>
      <c r="C905" t="inlineStr">
        <is>
          <t xml:space="preserve">Flight time </t>
        </is>
      </c>
      <c r="D905" t="inlineStr"/>
    </row>
    <row r="906">
      <c r="A906" t="inlineStr">
        <is>
          <t>No</t>
        </is>
      </c>
      <c r="B906" t="inlineStr"/>
      <c r="C906" t="inlineStr">
        <is>
          <t xml:space="preserve">Time and money </t>
        </is>
      </c>
      <c r="D906" t="inlineStr"/>
    </row>
    <row r="907">
      <c r="A907" t="inlineStr">
        <is>
          <t>No</t>
        </is>
      </c>
      <c r="B907" t="inlineStr"/>
      <c r="C907" t="inlineStr">
        <is>
          <t xml:space="preserve">Cost and time off work </t>
        </is>
      </c>
      <c r="D907" t="inlineStr"/>
    </row>
    <row r="908">
      <c r="A908" t="inlineStr">
        <is>
          <t>Yes</t>
        </is>
      </c>
      <c r="B908" t="inlineStr">
        <is>
          <t xml:space="preserve">Daughter </t>
        </is>
      </c>
      <c r="C908" t="inlineStr"/>
      <c r="D908" t="inlineStr"/>
    </row>
    <row r="909">
      <c r="A909" t="inlineStr">
        <is>
          <t>Yes</t>
        </is>
      </c>
      <c r="B909" t="inlineStr">
        <is>
          <t xml:space="preserve">My daughter </t>
        </is>
      </c>
      <c r="C909" t="inlineStr"/>
      <c r="D909" t="inlineStr"/>
    </row>
    <row r="910">
      <c r="A910" t="inlineStr">
        <is>
          <t>No</t>
        </is>
      </c>
      <c r="B910" t="inlineStr"/>
      <c r="C910" t="inlineStr"/>
      <c r="D910" t="inlineStr"/>
    </row>
    <row r="911">
      <c r="A911" t="inlineStr">
        <is>
          <t>No</t>
        </is>
      </c>
      <c r="B911" t="inlineStr"/>
      <c r="C911" t="inlineStr">
        <is>
          <t>My daughter didn’t want me to :)</t>
        </is>
      </c>
      <c r="D911" t="inlineStr"/>
    </row>
    <row r="912">
      <c r="A912" t="inlineStr">
        <is>
          <t>No</t>
        </is>
      </c>
      <c r="B912" t="inlineStr"/>
      <c r="C912" t="inlineStr"/>
      <c r="D912" t="inlineStr"/>
    </row>
    <row r="913">
      <c r="A913" t="inlineStr">
        <is>
          <t>No</t>
        </is>
      </c>
      <c r="B913" t="inlineStr"/>
      <c r="C913" t="inlineStr">
        <is>
          <t xml:space="preserve">The cost. I would have loved to go. </t>
        </is>
      </c>
      <c r="D913" t="inlineStr"/>
    </row>
    <row r="914">
      <c r="A914" t="inlineStr">
        <is>
          <t>No</t>
        </is>
      </c>
      <c r="B914" t="inlineStr"/>
      <c r="C914" t="inlineStr">
        <is>
          <t xml:space="preserve">My daughter went to West Virginia last summer and had an amazing experience! </t>
        </is>
      </c>
      <c r="D914" t="inlineStr"/>
    </row>
    <row r="915">
      <c r="A915" t="inlineStr">
        <is>
          <t>No</t>
        </is>
      </c>
      <c r="B915" t="inlineStr"/>
      <c r="C915" t="inlineStr">
        <is>
          <t xml:space="preserve">Time and money </t>
        </is>
      </c>
      <c r="D915" t="inlineStr"/>
    </row>
    <row r="916">
      <c r="A916" t="inlineStr">
        <is>
          <t>No</t>
        </is>
      </c>
      <c r="B916" t="inlineStr"/>
      <c r="C916" t="inlineStr">
        <is>
          <t>Too busy and my child wants to go on her own</t>
        </is>
      </c>
      <c r="D916" t="inlineStr"/>
    </row>
    <row r="917">
      <c r="A917" t="inlineStr">
        <is>
          <t>No</t>
        </is>
      </c>
      <c r="B917" t="inlineStr"/>
      <c r="C917" t="inlineStr">
        <is>
          <t xml:space="preserve">Builder did not want me to go </t>
        </is>
      </c>
      <c r="D917" t="inlineStr"/>
    </row>
    <row r="918">
      <c r="A918" t="inlineStr"/>
      <c r="B918" t="inlineStr"/>
      <c r="C918" t="inlineStr"/>
      <c r="D918" t="inlineStr"/>
    </row>
    <row r="919">
      <c r="A919" t="inlineStr"/>
      <c r="B919" t="inlineStr"/>
      <c r="C919" t="inlineStr"/>
      <c r="D919" t="inlineStr"/>
    </row>
    <row r="920">
      <c r="A920" t="inlineStr">
        <is>
          <t>No</t>
        </is>
      </c>
      <c r="B920" t="inlineStr"/>
      <c r="C920" t="inlineStr"/>
      <c r="D920" t="inlineStr"/>
    </row>
    <row r="921">
      <c r="A921" t="inlineStr">
        <is>
          <t>No</t>
        </is>
      </c>
      <c r="B921" t="inlineStr"/>
      <c r="C921" t="inlineStr">
        <is>
          <t>Younger children still at home</t>
        </is>
      </c>
      <c r="D921" t="inlineStr"/>
    </row>
    <row r="922">
      <c r="A922" t="inlineStr">
        <is>
          <t>No</t>
        </is>
      </c>
      <c r="B922" t="inlineStr"/>
      <c r="C922" t="inlineStr">
        <is>
          <t>I wanted my child to have his own experience.</t>
        </is>
      </c>
      <c r="D922" t="inlineStr"/>
    </row>
    <row r="923">
      <c r="A923" t="inlineStr">
        <is>
          <t>No</t>
        </is>
      </c>
      <c r="B923" t="inlineStr"/>
      <c r="C923" t="inlineStr">
        <is>
          <t>Already went, it was awesome</t>
        </is>
      </c>
      <c r="D923" t="inlineStr"/>
    </row>
    <row r="924">
      <c r="A924" t="inlineStr"/>
      <c r="B924" t="inlineStr"/>
      <c r="C924" t="inlineStr"/>
      <c r="D924" t="inlineStr"/>
    </row>
    <row r="925">
      <c r="A925" t="inlineStr">
        <is>
          <t>Maybe</t>
        </is>
      </c>
      <c r="B925" t="inlineStr"/>
      <c r="C925" t="inlineStr"/>
      <c r="D925" t="inlineStr">
        <is>
          <t xml:space="preserve">Less expensive. </t>
        </is>
      </c>
    </row>
    <row r="926">
      <c r="A926" t="inlineStr">
        <is>
          <t>No</t>
        </is>
      </c>
      <c r="B926" t="inlineStr"/>
      <c r="C926" t="inlineStr">
        <is>
          <t xml:space="preserve">Trying to let my kids experience trust in themselves to go. </t>
        </is>
      </c>
      <c r="D926" t="inlineStr"/>
    </row>
    <row r="927">
      <c r="A927" t="inlineStr">
        <is>
          <t>Yes</t>
        </is>
      </c>
      <c r="B927" t="inlineStr">
        <is>
          <t>I wanted my kid and I to be closer together and close to Jesus together</t>
        </is>
      </c>
      <c r="C927" t="inlineStr"/>
      <c r="D927" t="inlineStr"/>
    </row>
    <row r="928">
      <c r="A928" t="inlineStr">
        <is>
          <t>No</t>
        </is>
      </c>
      <c r="B928" t="inlineStr"/>
      <c r="C928" t="inlineStr">
        <is>
          <t>Husband travels and I still have a son at home</t>
        </is>
      </c>
      <c r="D928" t="inlineStr"/>
    </row>
    <row r="929">
      <c r="A929" t="inlineStr"/>
      <c r="B929" t="inlineStr"/>
      <c r="C929" t="inlineStr"/>
      <c r="D929" t="inlineStr"/>
    </row>
    <row r="930">
      <c r="A930" t="inlineStr">
        <is>
          <t>No</t>
        </is>
      </c>
      <c r="B930" t="inlineStr"/>
      <c r="C930" t="inlineStr">
        <is>
          <t>Our builder wanted to go solo</t>
        </is>
      </c>
      <c r="D930" t="inlineStr"/>
    </row>
    <row r="931">
      <c r="A931" t="inlineStr">
        <is>
          <t>No</t>
        </is>
      </c>
      <c r="B931" t="inlineStr"/>
      <c r="C931" t="inlineStr">
        <is>
          <t xml:space="preserve">Sibling went 2 years ago and loves it. </t>
        </is>
      </c>
      <c r="D931" t="inlineStr"/>
    </row>
    <row r="932">
      <c r="A932" t="inlineStr">
        <is>
          <t>Maybe</t>
        </is>
      </c>
      <c r="B932" t="inlineStr"/>
      <c r="C932" t="inlineStr"/>
      <c r="D932"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933">
      <c r="A933" t="inlineStr">
        <is>
          <t>No</t>
        </is>
      </c>
      <c r="B933" t="inlineStr"/>
      <c r="C933" t="inlineStr">
        <is>
          <t>Kids at home</t>
        </is>
      </c>
      <c r="D933" t="inlineStr"/>
    </row>
    <row r="934">
      <c r="A934" t="inlineStr">
        <is>
          <t>Maybe</t>
        </is>
      </c>
      <c r="B934" t="inlineStr"/>
      <c r="C934" t="inlineStr"/>
      <c r="D934" t="inlineStr"/>
    </row>
    <row r="935">
      <c r="A935" t="inlineStr"/>
      <c r="B935" t="inlineStr"/>
      <c r="C935" t="inlineStr"/>
      <c r="D935" t="inlineStr"/>
    </row>
    <row r="936">
      <c r="A936" t="inlineStr">
        <is>
          <t>No</t>
        </is>
      </c>
      <c r="B936" t="inlineStr"/>
      <c r="C936" t="inlineStr">
        <is>
          <t xml:space="preserve">Money </t>
        </is>
      </c>
      <c r="D936" t="inlineStr"/>
    </row>
    <row r="937">
      <c r="A937" t="inlineStr">
        <is>
          <t>No</t>
        </is>
      </c>
      <c r="B937" t="inlineStr"/>
      <c r="C937" t="inlineStr">
        <is>
          <t>I have younger kids I can't leave</t>
        </is>
      </c>
      <c r="D937" t="inlineStr"/>
    </row>
    <row r="938">
      <c r="A938" t="inlineStr">
        <is>
          <t>No</t>
        </is>
      </c>
      <c r="B938" t="inlineStr"/>
      <c r="C938" t="inlineStr">
        <is>
          <t>Logistics with kids at home</t>
        </is>
      </c>
      <c r="D938" t="inlineStr"/>
    </row>
    <row r="939">
      <c r="A939" t="inlineStr">
        <is>
          <t>No</t>
        </is>
      </c>
      <c r="B939" t="inlineStr"/>
      <c r="C939" t="inlineStr">
        <is>
          <t>Cost</t>
        </is>
      </c>
      <c r="D939" t="inlineStr"/>
    </row>
    <row r="940">
      <c r="A940" t="inlineStr">
        <is>
          <t>No</t>
        </is>
      </c>
      <c r="B940" t="inlineStr"/>
      <c r="C940" t="inlineStr">
        <is>
          <t>Work</t>
        </is>
      </c>
      <c r="D940" t="inlineStr"/>
    </row>
    <row r="941">
      <c r="A941" t="inlineStr">
        <is>
          <t>No</t>
        </is>
      </c>
      <c r="B941" t="inlineStr"/>
      <c r="C941" t="inlineStr">
        <is>
          <t>We wanted our son to have an experience serving others, but also wanted him to experience being on his own (since he is graduation age)</t>
        </is>
      </c>
      <c r="D941" t="inlineStr"/>
    </row>
    <row r="942">
      <c r="A942" t="inlineStr">
        <is>
          <t>No</t>
        </is>
      </c>
      <c r="B942" t="inlineStr"/>
      <c r="C942" t="inlineStr">
        <is>
          <t>Child didn't want us to come. We also wanted her to have this experience separate from us.</t>
        </is>
      </c>
      <c r="D942" t="inlineStr"/>
    </row>
    <row r="943">
      <c r="A943" t="inlineStr">
        <is>
          <t>No</t>
        </is>
      </c>
      <c r="B943" t="inlineStr"/>
      <c r="C943" t="inlineStr">
        <is>
          <t>Work</t>
        </is>
      </c>
      <c r="D943" t="inlineStr"/>
    </row>
    <row r="944">
      <c r="A944" t="inlineStr">
        <is>
          <t>Yes</t>
        </is>
      </c>
      <c r="B944" t="inlineStr">
        <is>
          <t>My daughter invited me</t>
        </is>
      </c>
      <c r="C944" t="inlineStr"/>
      <c r="D944" t="inlineStr"/>
    </row>
    <row r="945">
      <c r="A945" t="inlineStr"/>
      <c r="B945" t="inlineStr"/>
      <c r="C945" t="inlineStr"/>
      <c r="D945" t="inlineStr"/>
    </row>
    <row r="946">
      <c r="A946" t="inlineStr">
        <is>
          <t>No</t>
        </is>
      </c>
      <c r="B946" t="inlineStr"/>
      <c r="C946" t="inlineStr">
        <is>
          <t>We like the humanitarian trip experience before high school graduation</t>
        </is>
      </c>
      <c r="D946" t="inlineStr"/>
    </row>
    <row r="947">
      <c r="A947" t="inlineStr">
        <is>
          <t>No</t>
        </is>
      </c>
      <c r="B947" t="inlineStr"/>
      <c r="C947" t="inlineStr">
        <is>
          <t>Money</t>
        </is>
      </c>
      <c r="D947" t="inlineStr"/>
    </row>
    <row r="948">
      <c r="A948" t="inlineStr">
        <is>
          <t>No</t>
        </is>
      </c>
      <c r="B948" t="inlineStr"/>
      <c r="C948" t="inlineStr">
        <is>
          <t>Money</t>
        </is>
      </c>
      <c r="D948" t="inlineStr"/>
    </row>
    <row r="949">
      <c r="A949" t="inlineStr"/>
      <c r="B949" t="inlineStr"/>
      <c r="C949" t="inlineStr"/>
      <c r="D949" t="inlineStr"/>
    </row>
    <row r="950">
      <c r="A950" t="inlineStr"/>
      <c r="B950" t="inlineStr"/>
      <c r="C950" t="inlineStr"/>
      <c r="D950" t="inlineStr"/>
    </row>
    <row r="951">
      <c r="A951" t="inlineStr">
        <is>
          <t>No</t>
        </is>
      </c>
      <c r="B951" t="inlineStr"/>
      <c r="C951" t="inlineStr">
        <is>
          <t>Cost and time away from home (family and job commitments)</t>
        </is>
      </c>
      <c r="D951" t="inlineStr"/>
    </row>
    <row r="952">
      <c r="A952" t="inlineStr">
        <is>
          <t>No</t>
        </is>
      </c>
      <c r="B952" t="inlineStr"/>
      <c r="C952" t="inlineStr">
        <is>
          <t>Wanted my son to have an experience living independently from parents.</t>
        </is>
      </c>
      <c r="D952" t="inlineStr"/>
    </row>
    <row r="953">
      <c r="A953" t="inlineStr">
        <is>
          <t>No</t>
        </is>
      </c>
      <c r="B953" t="inlineStr"/>
      <c r="C953" t="inlineStr"/>
      <c r="D953" t="inlineStr"/>
    </row>
    <row r="954">
      <c r="A954" t="inlineStr">
        <is>
          <t>No</t>
        </is>
      </c>
      <c r="B954" t="inlineStr"/>
      <c r="C954" t="inlineStr">
        <is>
          <t>Cost</t>
        </is>
      </c>
      <c r="D954" t="inlineStr"/>
    </row>
    <row r="955">
      <c r="A955" t="inlineStr">
        <is>
          <t>No</t>
        </is>
      </c>
      <c r="B955" t="inlineStr"/>
      <c r="C955" t="inlineStr">
        <is>
          <t xml:space="preserve">Didn’t know it was an option, money, time commitment </t>
        </is>
      </c>
      <c r="D955" t="inlineStr"/>
    </row>
    <row r="956">
      <c r="A956" t="inlineStr">
        <is>
          <t>No</t>
        </is>
      </c>
      <c r="B956" t="inlineStr"/>
      <c r="C956" t="inlineStr">
        <is>
          <t xml:space="preserve">Wanted my child to have her own experience. </t>
        </is>
      </c>
      <c r="D956" t="inlineStr"/>
    </row>
    <row r="957">
      <c r="A957" t="inlineStr">
        <is>
          <t>No</t>
        </is>
      </c>
      <c r="B957" t="inlineStr"/>
      <c r="C957" t="inlineStr">
        <is>
          <t xml:space="preserve">Small children at home.  The cost of a nanny while I am gone would be difficult to manage. </t>
        </is>
      </c>
      <c r="D957" t="inlineStr"/>
    </row>
    <row r="958">
      <c r="A958" t="inlineStr">
        <is>
          <t>No</t>
        </is>
      </c>
      <c r="B958" t="inlineStr"/>
      <c r="C958" t="inlineStr">
        <is>
          <t>Cost and logistics of leaving my other children at home for that length of time</t>
        </is>
      </c>
      <c r="D958" t="inlineStr"/>
    </row>
    <row r="959">
      <c r="A959" t="inlineStr">
        <is>
          <t>No</t>
        </is>
      </c>
      <c r="B959" t="inlineStr"/>
      <c r="C959" t="inlineStr">
        <is>
          <t>Expense</t>
        </is>
      </c>
      <c r="D959" t="inlineStr"/>
    </row>
    <row r="960">
      <c r="A960" t="inlineStr">
        <is>
          <t>No</t>
        </is>
      </c>
      <c r="B960" t="inlineStr"/>
      <c r="C960" t="inlineStr">
        <is>
          <t>My son likes going without a parent there</t>
        </is>
      </c>
      <c r="D960" t="inlineStr"/>
    </row>
    <row r="961">
      <c r="A961" t="inlineStr">
        <is>
          <t>No</t>
        </is>
      </c>
      <c r="B961" t="inlineStr"/>
      <c r="C961" t="inlineStr">
        <is>
          <t xml:space="preserve">My son didn’t want me on the trip. </t>
        </is>
      </c>
      <c r="D961" t="inlineStr"/>
    </row>
    <row r="962">
      <c r="A962" t="inlineStr">
        <is>
          <t>No</t>
        </is>
      </c>
      <c r="B962" t="inlineStr"/>
      <c r="C962" t="inlineStr">
        <is>
          <t>I work full time and just don't have the time, otherwise I would go.</t>
        </is>
      </c>
      <c r="D962" t="inlineStr"/>
    </row>
    <row r="963">
      <c r="A963" t="inlineStr">
        <is>
          <t>No</t>
        </is>
      </c>
      <c r="B963" t="inlineStr"/>
      <c r="C963" t="inlineStr">
        <is>
          <t>Time away from my other kids</t>
        </is>
      </c>
      <c r="D963" t="inlineStr"/>
    </row>
    <row r="964">
      <c r="A964" t="inlineStr"/>
      <c r="B964" t="inlineStr"/>
      <c r="C964" t="inlineStr"/>
      <c r="D964" t="inlineStr"/>
    </row>
    <row r="965">
      <c r="A965" t="inlineStr">
        <is>
          <t>No</t>
        </is>
      </c>
      <c r="B965" t="inlineStr"/>
      <c r="C965" t="inlineStr">
        <is>
          <t xml:space="preserve">I'm busy working. </t>
        </is>
      </c>
      <c r="D965" t="inlineStr"/>
    </row>
    <row r="966">
      <c r="A966" t="inlineStr">
        <is>
          <t>No</t>
        </is>
      </c>
      <c r="B966" t="inlineStr"/>
      <c r="C966" t="inlineStr"/>
      <c r="D966" t="inlineStr"/>
    </row>
    <row r="967">
      <c r="A967" t="inlineStr">
        <is>
          <t>No</t>
        </is>
      </c>
      <c r="B967" t="inlineStr"/>
      <c r="C967" t="inlineStr">
        <is>
          <t xml:space="preserve">Money. Time away from work </t>
        </is>
      </c>
      <c r="D967" t="inlineStr"/>
    </row>
    <row r="968">
      <c r="A968" t="inlineStr">
        <is>
          <t>No</t>
        </is>
      </c>
      <c r="B968" t="inlineStr"/>
      <c r="C968" t="inlineStr">
        <is>
          <t xml:space="preserve">My child would like to have their own experience away from home. </t>
        </is>
      </c>
      <c r="D968" t="inlineStr"/>
    </row>
    <row r="969">
      <c r="A969" t="inlineStr">
        <is>
          <t>No</t>
        </is>
      </c>
      <c r="B969" t="inlineStr"/>
      <c r="C969" t="inlineStr">
        <is>
          <t>Other kids at home</t>
        </is>
      </c>
      <c r="D969" t="inlineStr"/>
    </row>
    <row r="970">
      <c r="A970" t="inlineStr">
        <is>
          <t>No</t>
        </is>
      </c>
      <c r="B970" t="inlineStr"/>
      <c r="C970" t="inlineStr">
        <is>
          <t>I wanted my child to have the experience of doing it alone!</t>
        </is>
      </c>
      <c r="D970" t="inlineStr"/>
    </row>
    <row r="971">
      <c r="A971" t="inlineStr">
        <is>
          <t>No</t>
        </is>
      </c>
      <c r="B971" t="inlineStr"/>
      <c r="C971" t="inlineStr">
        <is>
          <t>My schedule doesn't work</t>
        </is>
      </c>
      <c r="D971" t="inlineStr"/>
    </row>
    <row r="972">
      <c r="A972" t="inlineStr">
        <is>
          <t>No</t>
        </is>
      </c>
      <c r="B972" t="inlineStr"/>
      <c r="C972" t="inlineStr">
        <is>
          <t xml:space="preserve">My oldest daughter is leaving for her mission during the trip </t>
        </is>
      </c>
      <c r="D972" t="inlineStr"/>
    </row>
    <row r="973">
      <c r="A973" t="inlineStr"/>
      <c r="B973" t="inlineStr"/>
      <c r="C973" t="inlineStr"/>
      <c r="D973" t="inlineStr"/>
    </row>
    <row r="974">
      <c r="A974" t="inlineStr">
        <is>
          <t>No</t>
        </is>
      </c>
      <c r="B974" t="inlineStr"/>
      <c r="C974" t="inlineStr">
        <is>
          <t>Money</t>
        </is>
      </c>
      <c r="D974" t="inlineStr"/>
    </row>
    <row r="975">
      <c r="A975" t="inlineStr">
        <is>
          <t>Yes</t>
        </is>
      </c>
      <c r="B975" t="inlineStr">
        <is>
          <t>My daughter asked for me to come and this will be the last summer before she graduates from HS.</t>
        </is>
      </c>
      <c r="C975" t="inlineStr"/>
      <c r="D975" t="inlineStr"/>
    </row>
    <row r="976">
      <c r="A976" t="inlineStr">
        <is>
          <t>No</t>
        </is>
      </c>
      <c r="B976" t="inlineStr"/>
      <c r="C976" t="inlineStr">
        <is>
          <t>More kids at home</t>
        </is>
      </c>
      <c r="D976" t="inlineStr"/>
    </row>
    <row r="977">
      <c r="A977" t="inlineStr">
        <is>
          <t>No</t>
        </is>
      </c>
      <c r="B977" t="inlineStr"/>
      <c r="C977" t="inlineStr">
        <is>
          <t xml:space="preserve">Couldn’t take the time off, younger siblings at home. </t>
        </is>
      </c>
      <c r="D977" t="inlineStr"/>
    </row>
    <row r="978">
      <c r="A978" t="inlineStr"/>
      <c r="B978" t="inlineStr"/>
      <c r="C978" t="inlineStr"/>
      <c r="D978" t="inlineStr"/>
    </row>
    <row r="979">
      <c r="A979" t="inlineStr">
        <is>
          <t>No</t>
        </is>
      </c>
      <c r="B979" t="inlineStr"/>
      <c r="C979" t="inlineStr">
        <is>
          <t>My son needs to be on a trip without me.</t>
        </is>
      </c>
      <c r="D979" t="inlineStr"/>
    </row>
    <row r="980">
      <c r="A980" t="inlineStr">
        <is>
          <t>Yes</t>
        </is>
      </c>
      <c r="B980" t="inlineStr">
        <is>
          <t>I was asked by the trip leader if I could go.</t>
        </is>
      </c>
      <c r="C980" t="inlineStr"/>
      <c r="D980" t="inlineStr"/>
    </row>
    <row r="981">
      <c r="A981" t="inlineStr">
        <is>
          <t>No</t>
        </is>
      </c>
      <c r="B981" t="inlineStr"/>
      <c r="C981" t="inlineStr">
        <is>
          <t xml:space="preserve">Wanted my child to have the experience without me overseeing </t>
        </is>
      </c>
      <c r="D981" t="inlineStr"/>
    </row>
    <row r="982">
      <c r="A982" t="inlineStr">
        <is>
          <t>No</t>
        </is>
      </c>
      <c r="B982" t="inlineStr"/>
      <c r="C982" t="inlineStr">
        <is>
          <t>Child care for other kids</t>
        </is>
      </c>
      <c r="D982" t="inlineStr"/>
    </row>
    <row r="983">
      <c r="A983" t="inlineStr">
        <is>
          <t>No</t>
        </is>
      </c>
      <c r="B983" t="inlineStr"/>
      <c r="C983" t="inlineStr">
        <is>
          <t>I have had three other children participate in this experience and it has always been great!</t>
        </is>
      </c>
      <c r="D983" t="inlineStr"/>
    </row>
    <row r="984">
      <c r="A984" t="inlineStr">
        <is>
          <t>Yes</t>
        </is>
      </c>
      <c r="B984" t="inlineStr">
        <is>
          <t>My daughter and wife</t>
        </is>
      </c>
      <c r="C984" t="inlineStr"/>
      <c r="D984" t="inlineStr"/>
    </row>
    <row r="985">
      <c r="A985" t="inlineStr">
        <is>
          <t>No</t>
        </is>
      </c>
      <c r="B985" t="inlineStr"/>
      <c r="C985" t="inlineStr">
        <is>
          <t>My daughter did not want me to go.</t>
        </is>
      </c>
      <c r="D985" t="inlineStr"/>
    </row>
    <row r="986">
      <c r="A986" t="inlineStr">
        <is>
          <t>No</t>
        </is>
      </c>
      <c r="B986" t="inlineStr"/>
      <c r="C986" t="inlineStr">
        <is>
          <t>Kids at home</t>
        </is>
      </c>
      <c r="D986" t="inlineStr"/>
    </row>
    <row r="987">
      <c r="A987" t="inlineStr">
        <is>
          <t>No</t>
        </is>
      </c>
      <c r="B987" t="inlineStr"/>
      <c r="C987" t="inlineStr">
        <is>
          <t>Did it before - amazing experience</t>
        </is>
      </c>
      <c r="D987" t="inlineStr"/>
    </row>
    <row r="988">
      <c r="A988" t="inlineStr"/>
      <c r="B988" t="inlineStr"/>
      <c r="C988" t="inlineStr"/>
      <c r="D988" t="inlineStr"/>
    </row>
    <row r="989">
      <c r="A989" t="inlineStr"/>
      <c r="B989" t="inlineStr"/>
      <c r="C989" t="inlineStr"/>
      <c r="D989" t="inlineStr"/>
    </row>
    <row r="990">
      <c r="A990" t="inlineStr">
        <is>
          <t>No</t>
        </is>
      </c>
      <c r="B990" t="inlineStr"/>
      <c r="C990" t="inlineStr">
        <is>
          <t>four younger children</t>
        </is>
      </c>
      <c r="D990" t="inlineStr"/>
    </row>
    <row r="991">
      <c r="A991" t="inlineStr">
        <is>
          <t>No</t>
        </is>
      </c>
      <c r="B991" t="inlineStr"/>
      <c r="C991" t="inlineStr">
        <is>
          <t>Don't have time to be gone that long</t>
        </is>
      </c>
      <c r="D991" t="inlineStr"/>
    </row>
    <row r="992">
      <c r="A992" t="inlineStr"/>
      <c r="B992" t="inlineStr"/>
      <c r="C992" t="inlineStr"/>
      <c r="D992" t="inlineStr"/>
    </row>
    <row r="993">
      <c r="A993" t="inlineStr">
        <is>
          <t>No</t>
        </is>
      </c>
      <c r="B993" t="inlineStr"/>
      <c r="C993" t="inlineStr"/>
      <c r="D993" t="inlineStr"/>
    </row>
    <row r="994">
      <c r="A994" t="inlineStr">
        <is>
          <t>No</t>
        </is>
      </c>
      <c r="B994" t="inlineStr"/>
      <c r="C994" t="inlineStr">
        <is>
          <t xml:space="preserve">Too long being away from home </t>
        </is>
      </c>
      <c r="D994" t="inlineStr"/>
    </row>
    <row r="995">
      <c r="A995" t="inlineStr">
        <is>
          <t>Yes</t>
        </is>
      </c>
      <c r="B995" t="inlineStr">
        <is>
          <t xml:space="preserve">Love the youth and quality time with our children. </t>
        </is>
      </c>
      <c r="C995" t="inlineStr"/>
      <c r="D995" t="inlineStr"/>
    </row>
    <row r="996">
      <c r="A996" t="inlineStr">
        <is>
          <t>No</t>
        </is>
      </c>
      <c r="B996" t="inlineStr"/>
      <c r="C996" t="inlineStr">
        <is>
          <t>My son needs to have his own experience</t>
        </is>
      </c>
      <c r="D996" t="inlineStr"/>
    </row>
    <row r="997">
      <c r="A997" t="inlineStr">
        <is>
          <t>No</t>
        </is>
      </c>
      <c r="B997" t="inlineStr"/>
      <c r="C997" t="inlineStr">
        <is>
          <t>Work</t>
        </is>
      </c>
      <c r="D997" t="inlineStr"/>
    </row>
    <row r="998">
      <c r="A998" t="inlineStr">
        <is>
          <t>No</t>
        </is>
      </c>
      <c r="B998" t="inlineStr"/>
      <c r="C998" t="inlineStr">
        <is>
          <t>I have another son with special needs that I need to care for and the other parent is a surgeon who can’t take time off work for that long.</t>
        </is>
      </c>
      <c r="D998" t="inlineStr"/>
    </row>
    <row r="999">
      <c r="A999" t="inlineStr">
        <is>
          <t>No</t>
        </is>
      </c>
      <c r="B999" t="inlineStr"/>
      <c r="C999" t="inlineStr">
        <is>
          <t>Other children at home to care for</t>
        </is>
      </c>
      <c r="D999" t="inlineStr"/>
    </row>
    <row r="1000">
      <c r="A1000" t="inlineStr">
        <is>
          <t>No</t>
        </is>
      </c>
      <c r="B1000" t="inlineStr"/>
      <c r="C1000" t="inlineStr">
        <is>
          <t xml:space="preserve">Too much time away from my other kids. </t>
        </is>
      </c>
      <c r="D1000" t="inlineStr"/>
    </row>
    <row r="1001">
      <c r="A1001" t="inlineStr">
        <is>
          <t>No</t>
        </is>
      </c>
      <c r="B1001" t="inlineStr"/>
      <c r="C1001" t="inlineStr">
        <is>
          <t>Wanted my daughter to have her own experience.  Would like to go in future, but a little too pricey to help her and me go.</t>
        </is>
      </c>
      <c r="D1001" t="inlineStr"/>
    </row>
    <row r="1002">
      <c r="A1002" t="inlineStr">
        <is>
          <t>No</t>
        </is>
      </c>
      <c r="B1002" t="inlineStr"/>
      <c r="C1002" t="inlineStr">
        <is>
          <t>Cost</t>
        </is>
      </c>
      <c r="D1002" t="inlineStr"/>
    </row>
    <row r="1003">
      <c r="A1003" t="inlineStr">
        <is>
          <t>No</t>
        </is>
      </c>
      <c r="B1003" t="inlineStr"/>
      <c r="C1003" t="inlineStr">
        <is>
          <t xml:space="preserve">My daughter wanted this to be HER experience away from home. </t>
        </is>
      </c>
      <c r="D1003" t="inlineStr"/>
    </row>
    <row r="1004">
      <c r="A1004" t="inlineStr">
        <is>
          <t>No</t>
        </is>
      </c>
      <c r="B1004" t="inlineStr"/>
      <c r="C1004" t="inlineStr">
        <is>
          <t xml:space="preserve">Want to go next year when our youngest can be on the trip with us.  </t>
        </is>
      </c>
      <c r="D1004" t="inlineStr"/>
    </row>
    <row r="1005">
      <c r="A1005" t="inlineStr">
        <is>
          <t>No</t>
        </is>
      </c>
      <c r="B1005" t="inlineStr"/>
      <c r="C1005" t="inlineStr">
        <is>
          <t xml:space="preserve">My other daughter did it last year and loved it. Wanted Brenna to have the same type of experience. </t>
        </is>
      </c>
      <c r="D1005" t="inlineStr"/>
    </row>
    <row r="1006">
      <c r="A1006" t="inlineStr">
        <is>
          <t>No</t>
        </is>
      </c>
      <c r="B1006" t="inlineStr"/>
      <c r="C1006" t="inlineStr">
        <is>
          <t>Current Mission Leaders and can't leave the mission.</t>
        </is>
      </c>
      <c r="D1006" t="inlineStr"/>
    </row>
    <row r="1007">
      <c r="A1007" t="inlineStr">
        <is>
          <t>No</t>
        </is>
      </c>
      <c r="B1007" t="inlineStr"/>
      <c r="C1007" t="inlineStr">
        <is>
          <t>Money.  I would love to go but cannot afford it.</t>
        </is>
      </c>
      <c r="D1007" t="inlineStr"/>
    </row>
    <row r="1008">
      <c r="A1008" t="inlineStr">
        <is>
          <t>No</t>
        </is>
      </c>
      <c r="B1008" t="inlineStr"/>
      <c r="C1008" t="inlineStr">
        <is>
          <t>I have a daughter leaving for a mission at the same time</t>
        </is>
      </c>
      <c r="D1008" t="inlineStr"/>
    </row>
    <row r="1009">
      <c r="A1009" t="inlineStr">
        <is>
          <t>No</t>
        </is>
      </c>
      <c r="B1009" t="inlineStr"/>
      <c r="C1009" t="inlineStr">
        <is>
          <t>Her uncle is going with her.</t>
        </is>
      </c>
      <c r="D1009" t="inlineStr"/>
    </row>
    <row r="1010">
      <c r="A1010" t="inlineStr">
        <is>
          <t>No</t>
        </is>
      </c>
      <c r="B1010" t="inlineStr"/>
      <c r="C1010" t="inlineStr">
        <is>
          <t>I may go in the future but I want my daughter to have an experience away from home and her parents. I think it'll be a great growing experience for her!</t>
        </is>
      </c>
      <c r="D1010" t="inlineStr"/>
    </row>
    <row r="1011">
      <c r="A1011" t="inlineStr">
        <is>
          <t>No</t>
        </is>
      </c>
      <c r="B1011" t="inlineStr"/>
      <c r="C1011" t="inlineStr"/>
      <c r="D1011" t="inlineStr"/>
    </row>
    <row r="1012">
      <c r="A1012" t="inlineStr">
        <is>
          <t>No</t>
        </is>
      </c>
      <c r="B1012" t="inlineStr"/>
      <c r="C1012" t="inlineStr">
        <is>
          <t>I'm a mission leader in Utah St. George Mission</t>
        </is>
      </c>
      <c r="D1012" t="inlineStr"/>
    </row>
    <row r="1013">
      <c r="A1013" t="inlineStr">
        <is>
          <t>No</t>
        </is>
      </c>
      <c r="B1013" t="inlineStr"/>
      <c r="C1013" t="inlineStr">
        <is>
          <t>Wondering if I could keep up with the kids</t>
        </is>
      </c>
      <c r="D1013" t="inlineStr"/>
    </row>
    <row r="1014">
      <c r="A1014" t="inlineStr">
        <is>
          <t>No</t>
        </is>
      </c>
      <c r="B1014" t="inlineStr"/>
      <c r="C1014" t="inlineStr">
        <is>
          <t>A business trip planned for the same week</t>
        </is>
      </c>
      <c r="D1014" t="inlineStr"/>
    </row>
    <row r="1015">
      <c r="A1015" t="inlineStr"/>
      <c r="B1015" t="inlineStr"/>
      <c r="C1015" t="inlineStr"/>
      <c r="D1015" t="inlineStr"/>
    </row>
    <row r="1016">
      <c r="A1016" t="inlineStr">
        <is>
          <t>No</t>
        </is>
      </c>
      <c r="B1016" t="inlineStr"/>
      <c r="C1016" t="inlineStr">
        <is>
          <t>money</t>
        </is>
      </c>
      <c r="D1016" t="inlineStr"/>
    </row>
    <row r="1017">
      <c r="A1017" t="inlineStr">
        <is>
          <t>No</t>
        </is>
      </c>
      <c r="B1017" t="inlineStr"/>
      <c r="C1017" t="inlineStr">
        <is>
          <t xml:space="preserve">No desire </t>
        </is>
      </c>
      <c r="D1017" t="inlineStr"/>
    </row>
    <row r="1018">
      <c r="A1018" t="inlineStr">
        <is>
          <t>No</t>
        </is>
      </c>
      <c r="B1018" t="inlineStr"/>
      <c r="C1018" t="inlineStr">
        <is>
          <t>I would consider it for future trips but just did not consider it for this summer</t>
        </is>
      </c>
      <c r="D1018" t="inlineStr"/>
    </row>
    <row r="1019">
      <c r="A1019" t="inlineStr">
        <is>
          <t>Yes</t>
        </is>
      </c>
      <c r="B1019" t="inlineStr">
        <is>
          <t>My daughter asked me to go with her :)</t>
        </is>
      </c>
      <c r="C1019" t="inlineStr"/>
      <c r="D1019" t="inlineStr"/>
    </row>
    <row r="1020">
      <c r="A1020" t="inlineStr">
        <is>
          <t>No</t>
        </is>
      </c>
      <c r="B1020" t="inlineStr"/>
      <c r="C1020" t="inlineStr"/>
      <c r="D1020" t="inlineStr"/>
    </row>
    <row r="1021">
      <c r="A1021" t="inlineStr">
        <is>
          <t>No</t>
        </is>
      </c>
      <c r="B1021" t="inlineStr"/>
      <c r="C1021" t="inlineStr">
        <is>
          <t>Cost</t>
        </is>
      </c>
      <c r="D1021" t="inlineStr"/>
    </row>
    <row r="1022">
      <c r="A1022" t="inlineStr">
        <is>
          <t>No</t>
        </is>
      </c>
      <c r="B1022" t="inlineStr"/>
      <c r="C1022" t="inlineStr">
        <is>
          <t xml:space="preserve">My child wanted to experience this trip on her own. </t>
        </is>
      </c>
      <c r="D1022" t="inlineStr"/>
    </row>
    <row r="1023">
      <c r="A1023" t="inlineStr">
        <is>
          <t>No</t>
        </is>
      </c>
      <c r="B1023" t="inlineStr"/>
      <c r="C1023" t="inlineStr">
        <is>
          <t>My son didn't want us to and cost</t>
        </is>
      </c>
      <c r="D1023" t="inlineStr"/>
    </row>
    <row r="1024">
      <c r="A1024" t="inlineStr">
        <is>
          <t>No</t>
        </is>
      </c>
      <c r="B1024" t="inlineStr"/>
      <c r="C1024" t="inlineStr">
        <is>
          <t>Money</t>
        </is>
      </c>
      <c r="D1024" t="inlineStr"/>
    </row>
    <row r="1025">
      <c r="A1025" t="inlineStr">
        <is>
          <t>No</t>
        </is>
      </c>
      <c r="B1025" t="inlineStr"/>
      <c r="C1025" t="inlineStr">
        <is>
          <t>Work</t>
        </is>
      </c>
      <c r="D1025" t="inlineStr"/>
    </row>
    <row r="1026">
      <c r="A1026" t="inlineStr"/>
      <c r="B1026" t="inlineStr"/>
      <c r="C1026" t="inlineStr"/>
      <c r="D1026" t="inlineStr"/>
    </row>
    <row r="1027">
      <c r="A1027" t="inlineStr">
        <is>
          <t>No</t>
        </is>
      </c>
      <c r="B1027" t="inlineStr"/>
      <c r="C1027" t="inlineStr">
        <is>
          <t>Timing</t>
        </is>
      </c>
      <c r="D1027" t="inlineStr"/>
    </row>
    <row r="1028">
      <c r="A1028" t="inlineStr">
        <is>
          <t>Maybe</t>
        </is>
      </c>
      <c r="B1028" t="inlineStr"/>
      <c r="C1028" t="inlineStr"/>
      <c r="D1028" t="inlineStr">
        <is>
          <t xml:space="preserve">It’s about time and money - so decisions about going will be influenced by those 2 items for next summer. But I have strong interest in going. </t>
        </is>
      </c>
    </row>
    <row r="1029">
      <c r="A1029" t="inlineStr">
        <is>
          <t>Maybe</t>
        </is>
      </c>
      <c r="B1029" t="inlineStr"/>
      <c r="C1029" t="inlineStr"/>
      <c r="D1029" t="inlineStr"/>
    </row>
    <row r="1030">
      <c r="A1030" t="inlineStr">
        <is>
          <t>No</t>
        </is>
      </c>
      <c r="B1030" t="inlineStr"/>
      <c r="C1030" t="inlineStr"/>
      <c r="D1030" t="inlineStr"/>
    </row>
    <row r="1031">
      <c r="A1031" t="inlineStr">
        <is>
          <t>No</t>
        </is>
      </c>
      <c r="B1031" t="inlineStr"/>
      <c r="C1031" t="inlineStr"/>
      <c r="D1031" t="inlineStr"/>
    </row>
    <row r="1032">
      <c r="A1032" t="inlineStr"/>
      <c r="B1032" t="inlineStr"/>
      <c r="C1032" t="inlineStr"/>
      <c r="D1032" t="inlineStr"/>
    </row>
    <row r="1033">
      <c r="A1033" t="inlineStr">
        <is>
          <t>Yes</t>
        </is>
      </c>
      <c r="B1033" t="inlineStr">
        <is>
          <t>I have been twice before</t>
        </is>
      </c>
      <c r="C1033" t="inlineStr"/>
      <c r="D1033" t="inlineStr"/>
    </row>
    <row r="1034">
      <c r="A1034" t="inlineStr">
        <is>
          <t>No</t>
        </is>
      </c>
      <c r="B1034" t="inlineStr"/>
      <c r="C1034" t="inlineStr">
        <is>
          <t>Cost</t>
        </is>
      </c>
      <c r="D1034" t="inlineStr"/>
    </row>
    <row r="1035">
      <c r="A1035" t="inlineStr">
        <is>
          <t>No</t>
        </is>
      </c>
      <c r="B1035" t="inlineStr"/>
      <c r="C1035" t="inlineStr">
        <is>
          <t>$$</t>
        </is>
      </c>
      <c r="D1035" t="inlineStr"/>
    </row>
    <row r="1036">
      <c r="A1036" t="inlineStr">
        <is>
          <t>No</t>
        </is>
      </c>
      <c r="B1036" t="inlineStr"/>
      <c r="C1036" t="inlineStr">
        <is>
          <t xml:space="preserve">Not available </t>
        </is>
      </c>
      <c r="D1036" t="inlineStr"/>
    </row>
    <row r="1037">
      <c r="A1037" t="inlineStr">
        <is>
          <t>No</t>
        </is>
      </c>
      <c r="B1037" t="inlineStr"/>
      <c r="C1037" t="inlineStr">
        <is>
          <t>Think it will be good for kids to do something alone</t>
        </is>
      </c>
      <c r="D1037" t="inlineStr"/>
    </row>
    <row r="1038">
      <c r="A1038" t="inlineStr">
        <is>
          <t>No</t>
        </is>
      </c>
      <c r="B1038" t="inlineStr"/>
      <c r="C1038" t="inlineStr">
        <is>
          <t xml:space="preserve">We have been to Africa, Bolivia and Guatemala on family humanitarian trips.  We are excited for Ririe to have a trip on his own with peers. </t>
        </is>
      </c>
      <c r="D1038" t="inlineStr"/>
    </row>
    <row r="1039">
      <c r="A1039" t="inlineStr"/>
      <c r="B1039" t="inlineStr"/>
      <c r="C1039" t="inlineStr"/>
      <c r="D1039" t="inlineStr"/>
    </row>
    <row r="1040">
      <c r="A1040" t="inlineStr">
        <is>
          <t>No</t>
        </is>
      </c>
      <c r="B1040" t="inlineStr"/>
      <c r="C1040" t="inlineStr"/>
      <c r="D1040" t="inlineStr"/>
    </row>
    <row r="1041">
      <c r="A1041" t="inlineStr">
        <is>
          <t>No</t>
        </is>
      </c>
      <c r="B1041" t="inlineStr"/>
      <c r="C1041" t="inlineStr">
        <is>
          <t xml:space="preserve">I already went as parent builder 2015 to Bolivia and had a wonderful experience. </t>
        </is>
      </c>
      <c r="D1041" t="inlineStr"/>
    </row>
    <row r="1042">
      <c r="A1042" t="inlineStr">
        <is>
          <t>No</t>
        </is>
      </c>
      <c r="B1042" t="inlineStr"/>
      <c r="C1042" t="inlineStr">
        <is>
          <t>I'm not a good traveler</t>
        </is>
      </c>
      <c r="D1042" t="inlineStr"/>
    </row>
    <row r="1043">
      <c r="A1043" t="inlineStr">
        <is>
          <t>No</t>
        </is>
      </c>
      <c r="B1043" t="inlineStr"/>
      <c r="C1043" t="inlineStr">
        <is>
          <t>other children at home to care for at this time</t>
        </is>
      </c>
      <c r="D1043" t="inlineStr"/>
    </row>
    <row r="1044">
      <c r="A1044" t="inlineStr">
        <is>
          <t>No</t>
        </is>
      </c>
      <c r="B1044" t="inlineStr"/>
      <c r="C1044" t="inlineStr">
        <is>
          <t xml:space="preserve">My husband is going </t>
        </is>
      </c>
      <c r="D1044" t="inlineStr"/>
    </row>
    <row r="1045">
      <c r="A1045" t="inlineStr">
        <is>
          <t>No</t>
        </is>
      </c>
      <c r="B1045" t="inlineStr"/>
      <c r="C1045" t="inlineStr">
        <is>
          <t xml:space="preserve">Cost and time commitment </t>
        </is>
      </c>
      <c r="D1045" t="inlineStr"/>
    </row>
    <row r="1046">
      <c r="A1046" t="inlineStr">
        <is>
          <t>No</t>
        </is>
      </c>
      <c r="B1046" t="inlineStr"/>
      <c r="C1046" t="inlineStr"/>
      <c r="D1046" t="inlineStr"/>
    </row>
    <row r="1047">
      <c r="A1047" t="inlineStr"/>
      <c r="B1047" t="inlineStr"/>
      <c r="C1047" t="inlineStr"/>
      <c r="D1047" t="inlineStr"/>
    </row>
    <row r="1048">
      <c r="A1048" t="inlineStr">
        <is>
          <t>No</t>
        </is>
      </c>
      <c r="B1048" t="inlineStr"/>
      <c r="C1048" t="inlineStr">
        <is>
          <t xml:space="preserve">Too long of a trip </t>
        </is>
      </c>
      <c r="D1048" t="inlineStr"/>
    </row>
    <row r="1049">
      <c r="A1049" t="inlineStr">
        <is>
          <t>Maybe</t>
        </is>
      </c>
      <c r="B1049" t="inlineStr"/>
      <c r="C1049" t="inlineStr"/>
      <c r="D1049" t="inlineStr">
        <is>
          <t>If younger sibling decides to go someday</t>
        </is>
      </c>
    </row>
    <row r="1050">
      <c r="A1050" t="inlineStr">
        <is>
          <t>Maybe</t>
        </is>
      </c>
      <c r="B1050" t="inlineStr"/>
      <c r="C1050" t="inlineStr"/>
      <c r="D1050" t="inlineStr">
        <is>
          <t>Personal health improvement</t>
        </is>
      </c>
    </row>
    <row r="1051">
      <c r="A1051" t="inlineStr">
        <is>
          <t>No</t>
        </is>
      </c>
      <c r="B1051" t="inlineStr"/>
      <c r="C1051" t="inlineStr">
        <is>
          <t xml:space="preserve">Timing. I may be interested in the future. I have been a Scout master and high adventure leader for many years and now organized our Stake's Youth Camp.  The timing for this was off. I would be interested in learning more and possibly going in 2025. </t>
        </is>
      </c>
      <c r="D1051" t="inlineStr"/>
    </row>
    <row r="1052">
      <c r="A1052" t="inlineStr">
        <is>
          <t>No</t>
        </is>
      </c>
      <c r="B1052" t="inlineStr"/>
      <c r="C1052" t="inlineStr">
        <is>
          <t>$$</t>
        </is>
      </c>
      <c r="D1052" t="inlineStr"/>
    </row>
    <row r="1053">
      <c r="A1053" t="inlineStr">
        <is>
          <t>No</t>
        </is>
      </c>
      <c r="B1053" t="inlineStr"/>
      <c r="C1053" t="inlineStr">
        <is>
          <t>I think my son wanted to go without a parent</t>
        </is>
      </c>
      <c r="D1053" t="inlineStr"/>
    </row>
    <row r="1054">
      <c r="A1054" t="inlineStr">
        <is>
          <t>Yes</t>
        </is>
      </c>
      <c r="B1054" t="inlineStr">
        <is>
          <t xml:space="preserve">The desire to be with my kid and serve together </t>
        </is>
      </c>
      <c r="C1054" t="inlineStr"/>
      <c r="D1054" t="inlineStr"/>
    </row>
    <row r="1055">
      <c r="A1055" t="inlineStr"/>
      <c r="B1055" t="inlineStr"/>
      <c r="C1055" t="inlineStr"/>
      <c r="D1055" t="inlineStr"/>
    </row>
    <row r="1056">
      <c r="A1056" t="inlineStr">
        <is>
          <t>No</t>
        </is>
      </c>
      <c r="B1056" t="inlineStr"/>
      <c r="C1056" t="inlineStr">
        <is>
          <t>No time</t>
        </is>
      </c>
      <c r="D1056" t="inlineStr"/>
    </row>
    <row r="1057">
      <c r="A1057" t="inlineStr">
        <is>
          <t>No</t>
        </is>
      </c>
      <c r="B1057" t="inlineStr"/>
      <c r="C1057" t="inlineStr">
        <is>
          <t xml:space="preserve">I am not aware that I am able to go.  I thought this was for the kids and leaders only.  I would love to go with my son but am not aware that’s an option </t>
        </is>
      </c>
      <c r="D1057" t="inlineStr"/>
    </row>
    <row r="1058">
      <c r="A1058" t="inlineStr">
        <is>
          <t>No</t>
        </is>
      </c>
      <c r="B1058" t="inlineStr"/>
      <c r="C1058" t="inlineStr">
        <is>
          <t xml:space="preserve">Didn’t really understand what it entailed </t>
        </is>
      </c>
      <c r="D1058" t="inlineStr"/>
    </row>
    <row r="1059">
      <c r="A1059" t="inlineStr">
        <is>
          <t>No</t>
        </is>
      </c>
      <c r="B1059" t="inlineStr"/>
      <c r="C1059" t="inlineStr">
        <is>
          <t>Can't leave the country by the moment</t>
        </is>
      </c>
      <c r="D1059" t="inlineStr"/>
    </row>
    <row r="1060">
      <c r="A1060" t="inlineStr">
        <is>
          <t>No</t>
        </is>
      </c>
      <c r="B1060" t="inlineStr"/>
      <c r="C1060" t="inlineStr">
        <is>
          <t>It was never an option for me due to my work schedule</t>
        </is>
      </c>
      <c r="D1060" t="inlineStr"/>
    </row>
    <row r="1061">
      <c r="A1061" t="inlineStr">
        <is>
          <t>No</t>
        </is>
      </c>
      <c r="B1061" t="inlineStr"/>
      <c r="C1061" t="inlineStr">
        <is>
          <t>Work schedule and wanted my youth to experience it on their own</t>
        </is>
      </c>
      <c r="D1061" t="inlineStr"/>
    </row>
    <row r="1062">
      <c r="A1062" t="inlineStr">
        <is>
          <t>No</t>
        </is>
      </c>
      <c r="B1062" t="inlineStr"/>
      <c r="C1062" t="inlineStr"/>
      <c r="D1062" t="inlineStr"/>
    </row>
    <row r="1063">
      <c r="A1063" t="inlineStr">
        <is>
          <t>No</t>
        </is>
      </c>
      <c r="B1063" t="inlineStr"/>
      <c r="C1063" t="inlineStr">
        <is>
          <t>Small children at home</t>
        </is>
      </c>
      <c r="D1063" t="inlineStr"/>
    </row>
    <row r="1064">
      <c r="A1064" t="inlineStr">
        <is>
          <t>No</t>
        </is>
      </c>
      <c r="B1064" t="inlineStr"/>
      <c r="C1064" t="inlineStr">
        <is>
          <t>My child wanted to go by herself</t>
        </is>
      </c>
      <c r="D1064" t="inlineStr"/>
    </row>
    <row r="1065">
      <c r="A1065" t="inlineStr">
        <is>
          <t>No</t>
        </is>
      </c>
      <c r="B1065" t="inlineStr"/>
      <c r="C1065" t="inlineStr">
        <is>
          <t>Because of the cost</t>
        </is>
      </c>
      <c r="D1065" t="inlineStr"/>
    </row>
    <row r="1066">
      <c r="A1066" t="inlineStr">
        <is>
          <t>No</t>
        </is>
      </c>
      <c r="B1066" t="inlineStr"/>
      <c r="C1066" t="inlineStr">
        <is>
          <t xml:space="preserve">Responsibilities this summer. I’d love to go another time. </t>
        </is>
      </c>
      <c r="D1066" t="inlineStr"/>
    </row>
    <row r="1067">
      <c r="A1067" t="inlineStr">
        <is>
          <t>No</t>
        </is>
      </c>
      <c r="B1067" t="inlineStr"/>
      <c r="C1067" t="inlineStr"/>
      <c r="D1067" t="inlineStr"/>
    </row>
    <row r="1068">
      <c r="A1068" t="inlineStr">
        <is>
          <t>No</t>
        </is>
      </c>
      <c r="B1068" t="inlineStr"/>
      <c r="C1068" t="inlineStr">
        <is>
          <t xml:space="preserve">I have 3 younger kids at home that I need to be with for other summer activities </t>
        </is>
      </c>
      <c r="D1068" t="inlineStr"/>
    </row>
    <row r="1069">
      <c r="A1069" t="inlineStr">
        <is>
          <t>No</t>
        </is>
      </c>
      <c r="B1069" t="inlineStr"/>
      <c r="C1069" t="inlineStr">
        <is>
          <t>Time</t>
        </is>
      </c>
      <c r="D1069" t="inlineStr"/>
    </row>
    <row r="1070">
      <c r="A1070" t="inlineStr">
        <is>
          <t>No</t>
        </is>
      </c>
      <c r="B1070" t="inlineStr"/>
      <c r="C1070" t="inlineStr">
        <is>
          <t>My daughters cousin and also my daughter wanted something more after fsy</t>
        </is>
      </c>
      <c r="D1070" t="inlineStr"/>
    </row>
    <row r="1071">
      <c r="A1071" t="inlineStr">
        <is>
          <t>No</t>
        </is>
      </c>
      <c r="B1071" t="inlineStr"/>
      <c r="C1071" t="inlineStr">
        <is>
          <t xml:space="preserve">I wanted my son to have this experience by himself </t>
        </is>
      </c>
      <c r="D1071" t="inlineStr"/>
    </row>
    <row r="1072">
      <c r="A1072" t="inlineStr">
        <is>
          <t>No</t>
        </is>
      </c>
      <c r="B1072" t="inlineStr"/>
      <c r="C1072" t="inlineStr">
        <is>
          <t>My summer was booked with other activities, I'm planning on going next year.</t>
        </is>
      </c>
      <c r="D1072" t="inlineStr"/>
    </row>
    <row r="1073">
      <c r="A1073" t="inlineStr">
        <is>
          <t>No</t>
        </is>
      </c>
      <c r="B1073" t="inlineStr"/>
      <c r="C1073" t="inlineStr">
        <is>
          <t xml:space="preserve">Wanted my son to be on his own. </t>
        </is>
      </c>
      <c r="D1073" t="inlineStr"/>
    </row>
    <row r="1074">
      <c r="A1074" t="inlineStr">
        <is>
          <t>No</t>
        </is>
      </c>
      <c r="B1074" t="inlineStr"/>
      <c r="C1074" t="inlineStr">
        <is>
          <t>we have a lot of kids.  can't get away</t>
        </is>
      </c>
      <c r="D1074" t="inlineStr"/>
    </row>
    <row r="1075">
      <c r="A1075" t="inlineStr">
        <is>
          <t>No</t>
        </is>
      </c>
      <c r="B1075" t="inlineStr"/>
      <c r="C1075" t="inlineStr">
        <is>
          <t xml:space="preserve">My builder wanted to have an experience without parents. </t>
        </is>
      </c>
      <c r="D1075" t="inlineStr"/>
    </row>
    <row r="1076">
      <c r="A1076" t="inlineStr">
        <is>
          <t>Yes</t>
        </is>
      </c>
      <c r="B1076" t="inlineStr">
        <is>
          <t>We joined so late it guaranteed my son a spot. Plus, I’m super excited to be included!!</t>
        </is>
      </c>
      <c r="C1076" t="inlineStr"/>
      <c r="D1076" t="inlineStr"/>
    </row>
    <row r="1077">
      <c r="A1077" t="inlineStr">
        <is>
          <t>No</t>
        </is>
      </c>
      <c r="B1077" t="inlineStr"/>
      <c r="C1077" t="inlineStr">
        <is>
          <t xml:space="preserve">My daughter is excited about going on this trip on her own. </t>
        </is>
      </c>
      <c r="D1077" t="inlineStr"/>
    </row>
    <row r="1078">
      <c r="A1078" t="inlineStr"/>
      <c r="B1078" t="inlineStr"/>
      <c r="C1078" t="inlineStr"/>
      <c r="D1078" t="inlineStr"/>
    </row>
    <row r="1079">
      <c r="A1079" t="inlineStr">
        <is>
          <t>No</t>
        </is>
      </c>
      <c r="B1079" t="inlineStr"/>
      <c r="C1079"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D1079" t="inlineStr"/>
    </row>
    <row r="1080">
      <c r="A1080" t="inlineStr">
        <is>
          <t>No</t>
        </is>
      </c>
      <c r="B1080" t="inlineStr"/>
      <c r="C1080" t="inlineStr">
        <is>
          <t>time off work</t>
        </is>
      </c>
      <c r="D1080" t="inlineStr"/>
    </row>
    <row r="1081">
      <c r="A1081" t="inlineStr">
        <is>
          <t>Yes</t>
        </is>
      </c>
      <c r="B1081" t="inlineStr">
        <is>
          <t xml:space="preserve">Help my kids to build long lasting friendship and thief testimonies </t>
        </is>
      </c>
      <c r="C1081" t="inlineStr"/>
      <c r="D1081" t="inlineStr"/>
    </row>
    <row r="1082">
      <c r="A1082" t="inlineStr">
        <is>
          <t>No</t>
        </is>
      </c>
      <c r="B1082" t="inlineStr"/>
      <c r="C1082" t="inlineStr">
        <is>
          <t>Work, other children at home</t>
        </is>
      </c>
      <c r="D1082" t="inlineStr"/>
    </row>
    <row r="1083">
      <c r="A1083" t="inlineStr">
        <is>
          <t>No</t>
        </is>
      </c>
      <c r="B1083" t="inlineStr"/>
      <c r="C1083" t="inlineStr">
        <is>
          <t>My son wouldn’t let me since I went last year.  He said he wants to do one on his own.</t>
        </is>
      </c>
      <c r="D1083" t="inlineStr"/>
    </row>
    <row r="1084">
      <c r="A1084" t="inlineStr"/>
      <c r="B1084" t="inlineStr"/>
      <c r="C1084" t="inlineStr"/>
      <c r="D1084" t="inlineStr"/>
    </row>
    <row r="1085">
      <c r="A1085" t="inlineStr">
        <is>
          <t>No</t>
        </is>
      </c>
      <c r="B1085" t="inlineStr"/>
      <c r="C1085" t="inlineStr">
        <is>
          <t>Cost</t>
        </is>
      </c>
      <c r="D1085" t="inlineStr"/>
    </row>
    <row r="1086">
      <c r="A1086" t="inlineStr">
        <is>
          <t>Yes</t>
        </is>
      </c>
      <c r="B1086" t="inlineStr">
        <is>
          <t>Save my daughter</t>
        </is>
      </c>
      <c r="C1086" t="inlineStr"/>
      <c r="D1086" t="inlineStr"/>
    </row>
    <row r="1087">
      <c r="A1087" t="inlineStr">
        <is>
          <t>Maybe</t>
        </is>
      </c>
      <c r="B1087" t="inlineStr"/>
      <c r="C1087" t="inlineStr"/>
      <c r="D1087" t="inlineStr">
        <is>
          <t>If it was cheaper for the parents.</t>
        </is>
      </c>
    </row>
    <row r="1088">
      <c r="A1088" t="inlineStr">
        <is>
          <t>No</t>
        </is>
      </c>
      <c r="B1088" t="inlineStr"/>
      <c r="C1088" t="inlineStr">
        <is>
          <t>Cost and time. Although I’d love to go. Maybe with one of my younger kids</t>
        </is>
      </c>
      <c r="D1088" t="inlineStr"/>
    </row>
    <row r="1089">
      <c r="A1089" t="inlineStr">
        <is>
          <t>No</t>
        </is>
      </c>
      <c r="B1089" t="inlineStr"/>
      <c r="C1089" t="inlineStr"/>
      <c r="D1089" t="inlineStr"/>
    </row>
    <row r="1090">
      <c r="A1090" t="inlineStr">
        <is>
          <t>Yes</t>
        </is>
      </c>
      <c r="B1090" t="inlineStr">
        <is>
          <t>Experience</t>
        </is>
      </c>
      <c r="C1090" t="inlineStr"/>
      <c r="D1090" t="inlineStr"/>
    </row>
    <row r="1091">
      <c r="A1091" t="inlineStr"/>
      <c r="B1091" t="inlineStr"/>
      <c r="C1091" t="inlineStr"/>
      <c r="D1091" t="inlineStr"/>
    </row>
    <row r="1092">
      <c r="A1092" t="inlineStr">
        <is>
          <t>No</t>
        </is>
      </c>
      <c r="B1092" t="inlineStr"/>
      <c r="C1092" t="inlineStr">
        <is>
          <t xml:space="preserve">I have too many younger kids still at home. </t>
        </is>
      </c>
      <c r="D1092" t="inlineStr"/>
    </row>
    <row r="1093">
      <c r="A1093" t="inlineStr">
        <is>
          <t>No</t>
        </is>
      </c>
      <c r="B1093" t="inlineStr"/>
      <c r="C1093" t="inlineStr">
        <is>
          <t xml:space="preserve">Wanted my daughter to get some experience being independent </t>
        </is>
      </c>
      <c r="D1093" t="inlineStr"/>
    </row>
    <row r="1094">
      <c r="A1094" t="inlineStr">
        <is>
          <t>No</t>
        </is>
      </c>
      <c r="B1094" t="inlineStr"/>
      <c r="C1094" t="inlineStr">
        <is>
          <t xml:space="preserve">family responsibilites </t>
        </is>
      </c>
      <c r="D1094" t="inlineStr"/>
    </row>
    <row r="1095">
      <c r="A1095" t="inlineStr">
        <is>
          <t>No</t>
        </is>
      </c>
      <c r="B1095" t="inlineStr"/>
      <c r="C1095" t="inlineStr">
        <is>
          <t>Finances</t>
        </is>
      </c>
      <c r="D1095" t="inlineStr"/>
    </row>
    <row r="1096">
      <c r="A1096" t="inlineStr">
        <is>
          <t>No</t>
        </is>
      </c>
      <c r="B1096" t="inlineStr"/>
      <c r="C1096" t="inlineStr">
        <is>
          <t xml:space="preserve">I wanted to let me son go without his dad on the trip. </t>
        </is>
      </c>
      <c r="D1096" t="inlineStr"/>
    </row>
    <row r="1097">
      <c r="A1097" t="inlineStr">
        <is>
          <t>No</t>
        </is>
      </c>
      <c r="B1097" t="inlineStr"/>
      <c r="C1097" t="inlineStr">
        <is>
          <t xml:space="preserve">My daughter wanted to experience it independently </t>
        </is>
      </c>
      <c r="D1097" t="inlineStr"/>
    </row>
    <row r="1098">
      <c r="A1098" t="inlineStr"/>
      <c r="B1098" t="inlineStr"/>
      <c r="C1098" t="inlineStr"/>
      <c r="D1098" t="inlineStr"/>
    </row>
    <row r="1099">
      <c r="A1099" t="inlineStr">
        <is>
          <t>No</t>
        </is>
      </c>
      <c r="B1099" t="inlineStr"/>
      <c r="C1099" t="inlineStr">
        <is>
          <t>Money</t>
        </is>
      </c>
      <c r="D1099" t="inlineStr"/>
    </row>
    <row r="1100">
      <c r="A1100" t="inlineStr">
        <is>
          <t>No</t>
        </is>
      </c>
      <c r="B1100" t="inlineStr"/>
      <c r="C1100" t="inlineStr">
        <is>
          <t>I have younger children at home and I want my daughter to experience the independence of not going with us.</t>
        </is>
      </c>
      <c r="D1100" t="inlineStr"/>
    </row>
    <row r="1101">
      <c r="A1101" t="inlineStr">
        <is>
          <t>No</t>
        </is>
      </c>
      <c r="B1101" t="inlineStr"/>
      <c r="C1101" t="inlineStr">
        <is>
          <t>Work</t>
        </is>
      </c>
      <c r="D1101" t="inlineStr"/>
    </row>
    <row r="1102">
      <c r="A1102" t="inlineStr">
        <is>
          <t>No</t>
        </is>
      </c>
      <c r="B1102" t="inlineStr"/>
      <c r="C1102" t="inlineStr">
        <is>
          <t xml:space="preserve">My daughter wanted to go alone </t>
        </is>
      </c>
      <c r="D1102" t="inlineStr"/>
    </row>
    <row r="1103">
      <c r="A1103" t="inlineStr"/>
      <c r="B1103" t="inlineStr"/>
      <c r="C1103" t="inlineStr"/>
      <c r="D1103" t="inlineStr"/>
    </row>
    <row r="1104">
      <c r="A1104" t="inlineStr">
        <is>
          <t>No</t>
        </is>
      </c>
      <c r="B1104" t="inlineStr"/>
      <c r="C1104" t="inlineStr">
        <is>
          <t>time</t>
        </is>
      </c>
      <c r="D1104" t="inlineStr"/>
    </row>
    <row r="1105">
      <c r="A1105" t="inlineStr">
        <is>
          <t>No</t>
        </is>
      </c>
      <c r="B1105" t="inlineStr"/>
      <c r="C1105" t="inlineStr">
        <is>
          <t>cost - it's already a huge expense just for our son to go</t>
        </is>
      </c>
      <c r="D1105" t="inlineStr"/>
    </row>
    <row r="1106">
      <c r="A1106" t="inlineStr">
        <is>
          <t>No</t>
        </is>
      </c>
      <c r="B1106" t="inlineStr"/>
      <c r="C1106" t="inlineStr">
        <is>
          <t xml:space="preserve">Couldn’t get time off from work and wanted daughter to experience trip without parents.  </t>
        </is>
      </c>
      <c r="D1106" t="inlineStr"/>
    </row>
    <row r="1107">
      <c r="A1107" t="inlineStr">
        <is>
          <t>Yes</t>
        </is>
      </c>
      <c r="B1107" t="inlineStr">
        <is>
          <t>HXP office reaching out to me personally to ask if I could go. Then my son saying he would be fine with it!</t>
        </is>
      </c>
      <c r="C1107" t="inlineStr"/>
      <c r="D1107" t="inlineStr"/>
    </row>
    <row r="1108">
      <c r="A1108" t="inlineStr">
        <is>
          <t>No</t>
        </is>
      </c>
      <c r="B1108" t="inlineStr"/>
      <c r="C1108" t="inlineStr">
        <is>
          <t>Timing and current money situation, but next year I'll try to volunteer to go with my son, domestically. He will still be 15.</t>
        </is>
      </c>
      <c r="D1108" t="inlineStr"/>
    </row>
    <row r="1109">
      <c r="A1109" t="inlineStr">
        <is>
          <t>No</t>
        </is>
      </c>
      <c r="B1109" t="inlineStr"/>
      <c r="C1109" t="inlineStr">
        <is>
          <t>too expensive</t>
        </is>
      </c>
      <c r="D1109" t="inlineStr"/>
    </row>
    <row r="1110">
      <c r="A1110" t="inlineStr"/>
      <c r="B1110" t="inlineStr"/>
      <c r="C1110" t="inlineStr"/>
      <c r="D1110" t="inlineStr"/>
    </row>
    <row r="1111">
      <c r="A1111" t="inlineStr">
        <is>
          <t>Maybe</t>
        </is>
      </c>
      <c r="B1111" t="inlineStr"/>
      <c r="C1111" t="inlineStr"/>
      <c r="D1111" t="inlineStr">
        <is>
          <t>If it were easier to get a spot</t>
        </is>
      </c>
    </row>
    <row r="1112">
      <c r="A1112" t="inlineStr">
        <is>
          <t>No</t>
        </is>
      </c>
      <c r="B1112" t="inlineStr"/>
      <c r="C1112" t="inlineStr">
        <is>
          <t>The cost for builder and parents builder.</t>
        </is>
      </c>
      <c r="D1112" t="inlineStr"/>
    </row>
    <row r="1113">
      <c r="A1113" t="inlineStr">
        <is>
          <t>Yes</t>
        </is>
      </c>
      <c r="B1113" t="inlineStr">
        <is>
          <t>To be with my son for this experience - help other youth strengthen testimony</t>
        </is>
      </c>
      <c r="C1113" t="inlineStr"/>
      <c r="D1113" t="inlineStr"/>
    </row>
    <row r="1114">
      <c r="A1114" t="inlineStr"/>
      <c r="B1114" t="inlineStr"/>
      <c r="C1114" t="inlineStr"/>
      <c r="D1114" t="inlineStr"/>
    </row>
    <row r="1115">
      <c r="A1115" t="inlineStr">
        <is>
          <t>Yes</t>
        </is>
      </c>
      <c r="B1115" t="inlineStr">
        <is>
          <t>My daughter was using me for her to obtain an earlier selection.  LOL.  And I'm happy she did.</t>
        </is>
      </c>
      <c r="C1115" t="inlineStr"/>
      <c r="D1115" t="inlineStr"/>
    </row>
    <row r="1116">
      <c r="A1116" t="inlineStr">
        <is>
          <t>No</t>
        </is>
      </c>
      <c r="B1116" t="inlineStr"/>
      <c r="C1116" t="inlineStr">
        <is>
          <t>small kids at home</t>
        </is>
      </c>
      <c r="D1116" t="inlineStr"/>
    </row>
    <row r="1117">
      <c r="A1117" t="inlineStr"/>
      <c r="B1117" t="inlineStr"/>
      <c r="C1117" t="inlineStr"/>
      <c r="D1117" t="inlineStr"/>
    </row>
    <row r="1118">
      <c r="A1118" t="inlineStr">
        <is>
          <t>Yes</t>
        </is>
      </c>
      <c r="B1118" t="inlineStr">
        <is>
          <t xml:space="preserve">My son asked me to </t>
        </is>
      </c>
      <c r="C1118" t="inlineStr"/>
      <c r="D1118" t="inlineStr"/>
    </row>
    <row r="1119">
      <c r="A1119" t="inlineStr">
        <is>
          <t>Maybe</t>
        </is>
      </c>
      <c r="B1119" t="inlineStr"/>
      <c r="C1119" t="inlineStr"/>
      <c r="D1119" t="inlineStr">
        <is>
          <t>price</t>
        </is>
      </c>
    </row>
    <row r="1120">
      <c r="A1120" t="inlineStr">
        <is>
          <t>No</t>
        </is>
      </c>
      <c r="B1120" t="inlineStr"/>
      <c r="C1120" t="inlineStr">
        <is>
          <t xml:space="preserve">I felt my daughter needed to go without a parent </t>
        </is>
      </c>
      <c r="D1120" t="inlineStr"/>
    </row>
    <row r="1121">
      <c r="A1121" t="inlineStr">
        <is>
          <t>No</t>
        </is>
      </c>
      <c r="B1121" t="inlineStr"/>
      <c r="C1121" t="inlineStr">
        <is>
          <t>i have 5 kids</t>
        </is>
      </c>
      <c r="D1121" t="inlineStr"/>
    </row>
    <row r="1122">
      <c r="A1122" t="inlineStr">
        <is>
          <t>No</t>
        </is>
      </c>
      <c r="B1122" t="inlineStr"/>
      <c r="C1122" t="inlineStr">
        <is>
          <t>Cost</t>
        </is>
      </c>
      <c r="D1122" t="inlineStr"/>
    </row>
    <row r="1123">
      <c r="A1123" t="inlineStr">
        <is>
          <t>No</t>
        </is>
      </c>
      <c r="B1123" t="inlineStr"/>
      <c r="C1123" t="inlineStr">
        <is>
          <t xml:space="preserve">Not able to leave the rest of my family for that long </t>
        </is>
      </c>
      <c r="D1123" t="inlineStr"/>
    </row>
    <row r="1124">
      <c r="A1124" t="inlineStr">
        <is>
          <t>No</t>
        </is>
      </c>
      <c r="B1124" t="inlineStr"/>
      <c r="C1124" t="inlineStr">
        <is>
          <t>Cost</t>
        </is>
      </c>
      <c r="D1124" t="inlineStr"/>
    </row>
    <row r="1125">
      <c r="A1125" t="inlineStr">
        <is>
          <t>No</t>
        </is>
      </c>
      <c r="B1125" t="inlineStr"/>
      <c r="C1125" t="inlineStr">
        <is>
          <t>Timing</t>
        </is>
      </c>
      <c r="D1125" t="inlineStr"/>
    </row>
    <row r="1126">
      <c r="A1126" t="inlineStr">
        <is>
          <t>Yes</t>
        </is>
      </c>
      <c r="B1126" t="inlineStr">
        <is>
          <t>Sending our kids is their senior trip and it is always our intention for one of us to join them.</t>
        </is>
      </c>
      <c r="C1126" t="inlineStr"/>
      <c r="D1126" t="inlineStr"/>
    </row>
    <row r="1127">
      <c r="A1127" t="inlineStr">
        <is>
          <t>No</t>
        </is>
      </c>
      <c r="B1127" t="inlineStr"/>
      <c r="C1127" t="inlineStr">
        <is>
          <t>My builder didn't want me to, ha!</t>
        </is>
      </c>
      <c r="D1127" t="inlineStr"/>
    </row>
    <row r="1128">
      <c r="A1128" t="inlineStr">
        <is>
          <t>Maybe</t>
        </is>
      </c>
      <c r="B1128" t="inlineStr"/>
      <c r="C1128" t="inlineStr"/>
      <c r="D1128" t="inlineStr"/>
    </row>
    <row r="1129">
      <c r="A1129" t="inlineStr">
        <is>
          <t>No</t>
        </is>
      </c>
      <c r="B1129" t="inlineStr"/>
      <c r="C1129" t="inlineStr"/>
      <c r="D1129" t="inlineStr"/>
    </row>
    <row r="1130">
      <c r="A1130" t="inlineStr"/>
      <c r="B1130" t="inlineStr"/>
      <c r="C1130" t="inlineStr"/>
      <c r="D1130" t="inlineStr"/>
    </row>
    <row r="1131">
      <c r="A1131" t="inlineStr">
        <is>
          <t>No</t>
        </is>
      </c>
      <c r="B1131" t="inlineStr"/>
      <c r="C1131" t="inlineStr">
        <is>
          <t>Price</t>
        </is>
      </c>
      <c r="D1131" t="inlineStr"/>
    </row>
    <row r="1132">
      <c r="A1132" t="inlineStr">
        <is>
          <t>No</t>
        </is>
      </c>
      <c r="B1132" t="inlineStr"/>
      <c r="C1132" t="inlineStr">
        <is>
          <t>child wanted to experience this alone</t>
        </is>
      </c>
      <c r="D1132" t="inlineStr"/>
    </row>
    <row r="1133">
      <c r="A1133" t="inlineStr">
        <is>
          <t>No</t>
        </is>
      </c>
      <c r="B1133" t="inlineStr"/>
      <c r="C1133" t="inlineStr"/>
      <c r="D1133" t="inlineStr"/>
    </row>
    <row r="1134">
      <c r="A1134" t="inlineStr">
        <is>
          <t>No</t>
        </is>
      </c>
      <c r="B1134" t="inlineStr"/>
      <c r="C1134" t="inlineStr">
        <is>
          <t xml:space="preserve">She needs to do this alone and get out of her comfort zone. Trust me. I really wanted to go. </t>
        </is>
      </c>
      <c r="D1134" t="inlineStr"/>
    </row>
    <row r="1135">
      <c r="A1135" t="inlineStr">
        <is>
          <t>No</t>
        </is>
      </c>
      <c r="B1135" t="inlineStr"/>
      <c r="C1135" t="inlineStr"/>
      <c r="D1135" t="inlineStr"/>
    </row>
    <row r="1136">
      <c r="A1136" t="inlineStr">
        <is>
          <t>No</t>
        </is>
      </c>
      <c r="B1136" t="inlineStr"/>
      <c r="C1136" t="inlineStr"/>
      <c r="D1136" t="inlineStr"/>
    </row>
    <row r="1137">
      <c r="A1137" t="inlineStr">
        <is>
          <t>No</t>
        </is>
      </c>
      <c r="B1137" t="inlineStr"/>
      <c r="C1137" t="inlineStr">
        <is>
          <t>Money/time</t>
        </is>
      </c>
      <c r="D1137" t="inlineStr"/>
    </row>
    <row r="1138">
      <c r="A1138" t="inlineStr">
        <is>
          <t>No</t>
        </is>
      </c>
      <c r="B1138" t="inlineStr"/>
      <c r="C1138" t="inlineStr">
        <is>
          <t>Other family responsibilities</t>
        </is>
      </c>
      <c r="D1138" t="inlineStr"/>
    </row>
    <row r="1139">
      <c r="A1139" t="inlineStr">
        <is>
          <t>No</t>
        </is>
      </c>
      <c r="B1139" t="inlineStr"/>
      <c r="C1139" t="inlineStr">
        <is>
          <t xml:space="preserve">Time </t>
        </is>
      </c>
      <c r="D1139" t="inlineStr"/>
    </row>
    <row r="1140">
      <c r="A1140" t="inlineStr">
        <is>
          <t>No</t>
        </is>
      </c>
      <c r="B1140" t="inlineStr"/>
      <c r="C1140" t="inlineStr">
        <is>
          <t xml:space="preserve">Too many kids at home to leave </t>
        </is>
      </c>
      <c r="D1140" t="inlineStr"/>
    </row>
    <row r="1141">
      <c r="A1141" t="inlineStr">
        <is>
          <t>No</t>
        </is>
      </c>
      <c r="B1141" t="inlineStr"/>
      <c r="C1141" t="inlineStr">
        <is>
          <t>Young children at home need me here, but when these younger ones are old enough to go I’d love to go be a parent builder.</t>
        </is>
      </c>
      <c r="D1141" t="inlineStr"/>
    </row>
    <row r="1142">
      <c r="A1142" t="inlineStr">
        <is>
          <t>No</t>
        </is>
      </c>
      <c r="B1142" t="inlineStr"/>
      <c r="C1142" t="inlineStr"/>
      <c r="D1142" t="inlineStr"/>
    </row>
    <row r="1143">
      <c r="A1143" t="inlineStr">
        <is>
          <t>No</t>
        </is>
      </c>
      <c r="B1143" t="inlineStr"/>
      <c r="C1143" t="inlineStr">
        <is>
          <t>My son's experience would have been altered had one of his parents been there.</t>
        </is>
      </c>
      <c r="D1143" t="inlineStr"/>
    </row>
    <row r="1144">
      <c r="A1144" t="inlineStr">
        <is>
          <t>No</t>
        </is>
      </c>
      <c r="B1144" t="inlineStr"/>
      <c r="C1144" t="inlineStr">
        <is>
          <t>Time off work</t>
        </is>
      </c>
      <c r="D1144" t="inlineStr"/>
    </row>
    <row r="1145">
      <c r="A1145" t="inlineStr">
        <is>
          <t>No</t>
        </is>
      </c>
      <c r="B1145" t="inlineStr"/>
      <c r="C1145" t="inlineStr">
        <is>
          <t>Time and my child wanted to go on her own</t>
        </is>
      </c>
      <c r="D1145" t="inlineStr"/>
    </row>
    <row r="1146">
      <c r="A1146" t="inlineStr">
        <is>
          <t>No</t>
        </is>
      </c>
      <c r="B1146" t="inlineStr"/>
      <c r="C1146" t="inlineStr">
        <is>
          <t xml:space="preserve">The trip extends into the beginning of our school year and I have other children at home who will need me. </t>
        </is>
      </c>
      <c r="D1146" t="inlineStr"/>
    </row>
    <row r="1147">
      <c r="A1147" t="inlineStr">
        <is>
          <t>No</t>
        </is>
      </c>
      <c r="B1147" t="inlineStr"/>
      <c r="C1147" t="inlineStr">
        <is>
          <t>My husband is going as the parent builder. I went with our two boys and had a great experience.</t>
        </is>
      </c>
      <c r="D1147" t="inlineStr"/>
    </row>
    <row r="1148">
      <c r="A1148" t="inlineStr"/>
      <c r="B1148" t="inlineStr"/>
      <c r="C1148" t="inlineStr"/>
      <c r="D1148" t="inlineStr"/>
    </row>
    <row r="1149">
      <c r="A1149" t="inlineStr">
        <is>
          <t>No</t>
        </is>
      </c>
      <c r="B1149" t="inlineStr"/>
      <c r="C1149" t="inlineStr">
        <is>
          <t xml:space="preserve">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 </t>
        </is>
      </c>
      <c r="D1149" t="inlineStr"/>
    </row>
    <row r="1150">
      <c r="A1150" t="inlineStr"/>
      <c r="B1150" t="inlineStr"/>
      <c r="C1150" t="inlineStr"/>
      <c r="D1150" t="inlineStr"/>
    </row>
    <row r="1151">
      <c r="A1151" t="inlineStr">
        <is>
          <t>Yes</t>
        </is>
      </c>
      <c r="B1151" t="inlineStr"/>
      <c r="C1151" t="inlineStr"/>
      <c r="D1151" t="inlineStr"/>
    </row>
    <row r="1152">
      <c r="A1152" t="inlineStr"/>
      <c r="B1152" t="inlineStr"/>
      <c r="C1152" t="inlineStr"/>
      <c r="D1152" t="inlineStr"/>
    </row>
    <row r="1153">
      <c r="A1153" t="inlineStr">
        <is>
          <t>No</t>
        </is>
      </c>
      <c r="B1153" t="inlineStr"/>
      <c r="C1153"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D1153" t="inlineStr"/>
    </row>
    <row r="1154">
      <c r="A1154" t="inlineStr">
        <is>
          <t>Yes</t>
        </is>
      </c>
      <c r="B1154" t="inlineStr">
        <is>
          <t xml:space="preserve">The spirit 😊 </t>
        </is>
      </c>
      <c r="C1154" t="inlineStr"/>
      <c r="D1154" t="inlineStr"/>
    </row>
    <row r="1155">
      <c r="A1155" t="inlineStr">
        <is>
          <t>No</t>
        </is>
      </c>
      <c r="B1155" t="inlineStr"/>
      <c r="C1155" t="inlineStr"/>
      <c r="D1155" t="inlineStr"/>
    </row>
    <row r="1156">
      <c r="A1156" t="inlineStr"/>
      <c r="B1156" t="inlineStr"/>
      <c r="C1156" t="inlineStr"/>
      <c r="D1156" t="inlineStr"/>
    </row>
    <row r="1157">
      <c r="A1157" t="inlineStr">
        <is>
          <t>No</t>
        </is>
      </c>
      <c r="B1157" t="inlineStr"/>
      <c r="C1157" t="inlineStr">
        <is>
          <t xml:space="preserve">Child is our youngest and needs independence </t>
        </is>
      </c>
      <c r="D1157" t="inlineStr"/>
    </row>
    <row r="1158">
      <c r="A1158" t="inlineStr">
        <is>
          <t>No</t>
        </is>
      </c>
      <c r="B1158" t="inlineStr"/>
      <c r="C1158" t="inlineStr">
        <is>
          <t>Wanted him to be without parents to prepare for a mission</t>
        </is>
      </c>
      <c r="D1158" t="inlineStr"/>
    </row>
    <row r="1159">
      <c r="A1159" t="inlineStr">
        <is>
          <t>Yes</t>
        </is>
      </c>
      <c r="B1159" t="inlineStr">
        <is>
          <t>want to serve with my son</t>
        </is>
      </c>
      <c r="C1159" t="inlineStr"/>
      <c r="D1159" t="inlineStr"/>
    </row>
    <row r="1160">
      <c r="A1160" t="inlineStr">
        <is>
          <t>No</t>
        </is>
      </c>
      <c r="B1160" t="inlineStr"/>
      <c r="C1160" t="inlineStr">
        <is>
          <t>My kid needs his own experience</t>
        </is>
      </c>
      <c r="D1160" t="inlineStr"/>
    </row>
    <row r="1161">
      <c r="A1161" t="inlineStr">
        <is>
          <t>Yes</t>
        </is>
      </c>
      <c r="B1161" t="inlineStr">
        <is>
          <t>International trip with spiritual undercurrent</t>
        </is>
      </c>
      <c r="C1161" t="inlineStr"/>
      <c r="D1161" t="inlineStr"/>
    </row>
    <row r="1162">
      <c r="A1162" t="inlineStr">
        <is>
          <t>No</t>
        </is>
      </c>
      <c r="B1162" t="inlineStr"/>
      <c r="C1162" t="inlineStr">
        <is>
          <t>money and time</t>
        </is>
      </c>
      <c r="D1162" t="inlineStr"/>
    </row>
    <row r="1163">
      <c r="A1163" t="inlineStr">
        <is>
          <t>No</t>
        </is>
      </c>
      <c r="B1163" t="inlineStr"/>
      <c r="C1163" t="inlineStr">
        <is>
          <t xml:space="preserve">Want her to have her own experience </t>
        </is>
      </c>
      <c r="D1163" t="inlineStr"/>
    </row>
    <row r="1164">
      <c r="A1164" t="inlineStr">
        <is>
          <t>No</t>
        </is>
      </c>
      <c r="B1164" t="inlineStr"/>
      <c r="C1164" t="inlineStr">
        <is>
          <t>My child did not want me to go</t>
        </is>
      </c>
      <c r="D1164" t="inlineStr"/>
    </row>
    <row r="1165">
      <c r="A1165" t="inlineStr">
        <is>
          <t>No</t>
        </is>
      </c>
      <c r="B1165" t="inlineStr"/>
      <c r="C1165" t="inlineStr">
        <is>
          <t xml:space="preserve">Timing and price </t>
        </is>
      </c>
      <c r="D1165" t="inlineStr"/>
    </row>
    <row r="1166">
      <c r="A1166" t="inlineStr">
        <is>
          <t>No</t>
        </is>
      </c>
      <c r="B1166" t="inlineStr"/>
      <c r="C1166" t="inlineStr">
        <is>
          <t xml:space="preserve">just started a new job, can't take that much time off </t>
        </is>
      </c>
      <c r="D1166" t="inlineStr"/>
    </row>
    <row r="1167">
      <c r="A1167" t="inlineStr">
        <is>
          <t>No</t>
        </is>
      </c>
      <c r="B1167" t="inlineStr"/>
      <c r="C1167" t="inlineStr">
        <is>
          <t xml:space="preserve">Didn’t realize I could go as a parent builder. </t>
        </is>
      </c>
      <c r="D1167" t="inlineStr"/>
    </row>
    <row r="1168">
      <c r="A1168" t="inlineStr">
        <is>
          <t>No</t>
        </is>
      </c>
      <c r="B1168" t="inlineStr"/>
      <c r="C1168" t="inlineStr">
        <is>
          <t>expense</t>
        </is>
      </c>
      <c r="D1168" t="inlineStr"/>
    </row>
    <row r="1169">
      <c r="A1169" t="inlineStr">
        <is>
          <t>Yes</t>
        </is>
      </c>
      <c r="B1169" t="inlineStr">
        <is>
          <t xml:space="preserve">Other parents going with their kids, and I haven’t gone to Africa or on a mission. </t>
        </is>
      </c>
      <c r="C1169" t="inlineStr"/>
      <c r="D1169" t="inlineStr"/>
    </row>
    <row r="1170">
      <c r="A1170" t="inlineStr">
        <is>
          <t>No</t>
        </is>
      </c>
      <c r="B1170" t="inlineStr"/>
      <c r="C1170" t="inlineStr">
        <is>
          <t xml:space="preserve">Kids at home </t>
        </is>
      </c>
      <c r="D1170" t="inlineStr"/>
    </row>
    <row r="1171">
      <c r="A1171" t="inlineStr"/>
      <c r="B1171" t="inlineStr"/>
      <c r="C1171" t="inlineStr"/>
      <c r="D1171" t="inlineStr"/>
    </row>
    <row r="1172">
      <c r="A1172" t="inlineStr">
        <is>
          <t>Yes</t>
        </is>
      </c>
      <c r="B1172" t="inlineStr">
        <is>
          <t xml:space="preserve">Last year my daughter got hurt, and overlooked. It was 3 days before we knew she made it. I plan to never let a parent go through that if I can help it. </t>
        </is>
      </c>
      <c r="C1172" t="inlineStr"/>
      <c r="D1172" t="inlineStr"/>
    </row>
    <row r="1173">
      <c r="A1173" t="inlineStr">
        <is>
          <t>No</t>
        </is>
      </c>
      <c r="B1173" t="inlineStr"/>
      <c r="C1173" t="inlineStr">
        <is>
          <t>my son didn't want me to go</t>
        </is>
      </c>
      <c r="D1173" t="inlineStr"/>
    </row>
    <row r="1174">
      <c r="A1174" t="inlineStr">
        <is>
          <t>No</t>
        </is>
      </c>
      <c r="B1174" t="inlineStr"/>
      <c r="C1174" t="inlineStr"/>
      <c r="D1174" t="inlineStr"/>
    </row>
    <row r="1175">
      <c r="A1175" t="inlineStr">
        <is>
          <t>No</t>
        </is>
      </c>
      <c r="B1175" t="inlineStr"/>
      <c r="C1175" t="inlineStr">
        <is>
          <t>My youth didn’t want me to go</t>
        </is>
      </c>
      <c r="D1175" t="inlineStr"/>
    </row>
    <row r="1176">
      <c r="A1176" t="inlineStr">
        <is>
          <t>No</t>
        </is>
      </c>
      <c r="B1176" t="inlineStr"/>
      <c r="C1176" t="inlineStr"/>
      <c r="D1176" t="inlineStr"/>
    </row>
    <row r="1177">
      <c r="A1177" t="inlineStr">
        <is>
          <t>No</t>
        </is>
      </c>
      <c r="B1177" t="inlineStr"/>
      <c r="C1177" t="inlineStr">
        <is>
          <t>Worried that my daughter wouldn't participate as much if I was there</t>
        </is>
      </c>
      <c r="D1177" t="inlineStr"/>
    </row>
    <row r="1178">
      <c r="A1178" t="inlineStr">
        <is>
          <t>No</t>
        </is>
      </c>
      <c r="B1178" t="inlineStr"/>
      <c r="C1178" t="inlineStr">
        <is>
          <t xml:space="preserve">Like them to go solo </t>
        </is>
      </c>
      <c r="D1178" t="inlineStr"/>
    </row>
    <row r="1179">
      <c r="A1179" t="inlineStr">
        <is>
          <t>No</t>
        </is>
      </c>
      <c r="B1179" t="inlineStr"/>
      <c r="C1179" t="inlineStr">
        <is>
          <t>Experience testimonials from ones that have gone on a trip before</t>
        </is>
      </c>
      <c r="D1179" t="inlineStr"/>
    </row>
    <row r="1180">
      <c r="A1180" t="inlineStr">
        <is>
          <t>No</t>
        </is>
      </c>
      <c r="B1180" t="inlineStr"/>
      <c r="C1180" t="inlineStr"/>
      <c r="D1180" t="inlineStr"/>
    </row>
    <row r="1181">
      <c r="A1181" t="inlineStr">
        <is>
          <t>No</t>
        </is>
      </c>
      <c r="B1181" t="inlineStr"/>
      <c r="C1181" t="inlineStr">
        <is>
          <t xml:space="preserve">I am too busy </t>
        </is>
      </c>
      <c r="D1181" t="inlineStr"/>
    </row>
    <row r="1182">
      <c r="A1182" t="inlineStr">
        <is>
          <t>No</t>
        </is>
      </c>
      <c r="B1182" t="inlineStr"/>
      <c r="C1182" t="inlineStr">
        <is>
          <t>Time, money</t>
        </is>
      </c>
      <c r="D1182" t="inlineStr"/>
    </row>
    <row r="1183">
      <c r="A1183" t="inlineStr"/>
      <c r="B1183" t="inlineStr"/>
      <c r="C1183" t="inlineStr"/>
      <c r="D1183" t="inlineStr"/>
    </row>
    <row r="1184">
      <c r="A1184" t="inlineStr">
        <is>
          <t>No</t>
        </is>
      </c>
      <c r="B1184" t="inlineStr"/>
      <c r="C1184" t="inlineStr">
        <is>
          <t>Price</t>
        </is>
      </c>
      <c r="D1184" t="inlineStr"/>
    </row>
    <row r="1185">
      <c r="A1185" t="inlineStr">
        <is>
          <t>Yes</t>
        </is>
      </c>
      <c r="B1185" t="inlineStr">
        <is>
          <t>Served my mission there</t>
        </is>
      </c>
      <c r="C1185" t="inlineStr"/>
      <c r="D1185" t="inlineStr"/>
    </row>
    <row r="1186">
      <c r="A1186" t="inlineStr">
        <is>
          <t>No</t>
        </is>
      </c>
      <c r="B1186" t="inlineStr"/>
      <c r="C1186" t="inlineStr">
        <is>
          <t xml:space="preserve">Cost and unable to take work off for that long </t>
        </is>
      </c>
      <c r="D1186" t="inlineStr"/>
    </row>
    <row r="1187">
      <c r="A1187" t="inlineStr">
        <is>
          <t>No</t>
        </is>
      </c>
      <c r="B1187" t="inlineStr"/>
      <c r="C1187" t="inlineStr">
        <is>
          <t>Cost</t>
        </is>
      </c>
      <c r="D1187" t="inlineStr"/>
    </row>
    <row r="1188">
      <c r="A1188" t="inlineStr">
        <is>
          <t>No</t>
        </is>
      </c>
      <c r="B1188" t="inlineStr"/>
      <c r="C1188" t="inlineStr"/>
      <c r="D1188" t="inlineStr"/>
    </row>
    <row r="1189">
      <c r="A1189" t="inlineStr">
        <is>
          <t>No</t>
        </is>
      </c>
      <c r="B1189" t="inlineStr"/>
      <c r="C1189" t="inlineStr"/>
      <c r="D1189" t="inlineStr"/>
    </row>
    <row r="1190">
      <c r="A1190" t="inlineStr">
        <is>
          <t>No</t>
        </is>
      </c>
      <c r="B1190" t="inlineStr"/>
      <c r="C1190" t="inlineStr">
        <is>
          <t>Let me son have this experience first himself. I’ll go next year</t>
        </is>
      </c>
      <c r="D1190" t="inlineStr"/>
    </row>
    <row r="1191">
      <c r="A1191" t="inlineStr">
        <is>
          <t>No</t>
        </is>
      </c>
      <c r="B1191" t="inlineStr"/>
      <c r="C1191" t="inlineStr"/>
      <c r="D1191" t="inlineStr"/>
    </row>
    <row r="1192">
      <c r="A1192" t="inlineStr">
        <is>
          <t>No</t>
        </is>
      </c>
      <c r="B1192" t="inlineStr"/>
      <c r="C1192" t="inlineStr">
        <is>
          <t xml:space="preserve">Can’t do it this year, but I am planning on doing it next year if finances allow. </t>
        </is>
      </c>
      <c r="D1192" t="inlineStr"/>
    </row>
    <row r="1193">
      <c r="A1193" t="inlineStr">
        <is>
          <t>No</t>
        </is>
      </c>
      <c r="B1193" t="inlineStr"/>
      <c r="C1193" t="inlineStr">
        <is>
          <t xml:space="preserve">Other children at home </t>
        </is>
      </c>
      <c r="D1193" t="inlineStr"/>
    </row>
    <row r="1194">
      <c r="A1194" t="inlineStr">
        <is>
          <t>No</t>
        </is>
      </c>
      <c r="B1194" t="inlineStr"/>
      <c r="C1194" t="inlineStr">
        <is>
          <t>Finances and my other three kids at home</t>
        </is>
      </c>
      <c r="D1194" t="inlineStr"/>
    </row>
    <row r="1195">
      <c r="A1195" t="inlineStr">
        <is>
          <t>Yes</t>
        </is>
      </c>
      <c r="B1195" t="inlineStr">
        <is>
          <t>Passion for the humanitarian work and the opportunity to connect with my son</t>
        </is>
      </c>
      <c r="C1195" t="inlineStr"/>
      <c r="D1195" t="inlineStr"/>
    </row>
    <row r="1196">
      <c r="A1196" t="inlineStr"/>
      <c r="B1196" t="inlineStr"/>
      <c r="C1196" t="inlineStr"/>
      <c r="D1196" t="inlineStr"/>
    </row>
    <row r="1197">
      <c r="A1197" t="inlineStr">
        <is>
          <t>No</t>
        </is>
      </c>
      <c r="B1197" t="inlineStr"/>
      <c r="C1197" t="inlineStr">
        <is>
          <t xml:space="preserve">Expense, time, hard to make arrangements for other kids, child wanting to go in her own. </t>
        </is>
      </c>
      <c r="D1197" t="inlineStr"/>
    </row>
    <row r="1198">
      <c r="A1198" t="inlineStr">
        <is>
          <t>No</t>
        </is>
      </c>
      <c r="B1198" t="inlineStr"/>
      <c r="C1198" t="inlineStr">
        <is>
          <t>Other kids at home</t>
        </is>
      </c>
      <c r="D1198" t="inlineStr"/>
    </row>
    <row r="1199">
      <c r="A1199" t="inlineStr">
        <is>
          <t>No</t>
        </is>
      </c>
      <c r="B1199" t="inlineStr"/>
      <c r="C1199" t="inlineStr">
        <is>
          <t>My builder didn’t want a parent to go - she wants to experience this on her own.</t>
        </is>
      </c>
      <c r="D1199" t="inlineStr"/>
    </row>
    <row r="1200">
      <c r="A1200" t="inlineStr">
        <is>
          <t>No</t>
        </is>
      </c>
      <c r="B1200" t="inlineStr"/>
      <c r="C1200" t="inlineStr">
        <is>
          <t>Daughter wanted to go on her own</t>
        </is>
      </c>
      <c r="D1200" t="inlineStr"/>
    </row>
    <row r="1201">
      <c r="A1201" t="inlineStr">
        <is>
          <t>No</t>
        </is>
      </c>
      <c r="B1201" t="inlineStr"/>
      <c r="C1201" t="inlineStr">
        <is>
          <t>Have other home responsibilities, child is fine traveling alone, want them to have their own experience</t>
        </is>
      </c>
      <c r="D1201" t="inlineStr"/>
    </row>
    <row r="1202">
      <c r="A1202" t="inlineStr">
        <is>
          <t>No</t>
        </is>
      </c>
      <c r="B1202" t="inlineStr"/>
      <c r="C1202" t="inlineStr">
        <is>
          <t>Prefer my child to have this experience without a parent present.</t>
        </is>
      </c>
      <c r="D1202" t="inlineStr"/>
    </row>
    <row r="1203">
      <c r="A1203" t="inlineStr">
        <is>
          <t>No</t>
        </is>
      </c>
      <c r="B1203" t="inlineStr"/>
      <c r="C1203" t="inlineStr">
        <is>
          <t>Cost</t>
        </is>
      </c>
      <c r="D1203" t="inlineStr"/>
    </row>
    <row r="1204">
      <c r="A1204" t="inlineStr">
        <is>
          <t>No</t>
        </is>
      </c>
      <c r="B1204" t="inlineStr"/>
      <c r="C1204" t="inlineStr">
        <is>
          <t>Cost, Time Commitment</t>
        </is>
      </c>
      <c r="D1204" t="inlineStr"/>
    </row>
    <row r="1205">
      <c r="A1205" t="inlineStr">
        <is>
          <t>Yes</t>
        </is>
      </c>
      <c r="B1205" t="inlineStr">
        <is>
          <t>Ensuring a spot for my son</t>
        </is>
      </c>
      <c r="C1205" t="inlineStr"/>
      <c r="D1205" t="inlineStr"/>
    </row>
    <row r="1206">
      <c r="A1206" t="inlineStr">
        <is>
          <t>No</t>
        </is>
      </c>
      <c r="B1206" t="inlineStr"/>
      <c r="C1206" t="inlineStr">
        <is>
          <t xml:space="preserve">I can’t afford it </t>
        </is>
      </c>
      <c r="D1206" t="inlineStr"/>
    </row>
    <row r="1207">
      <c r="A1207" t="inlineStr"/>
      <c r="B1207" t="inlineStr"/>
      <c r="C1207" t="inlineStr"/>
      <c r="D1207" t="inlineStr"/>
    </row>
    <row r="1208">
      <c r="A1208" t="inlineStr">
        <is>
          <t>No</t>
        </is>
      </c>
      <c r="B1208" t="inlineStr"/>
      <c r="C1208" t="inlineStr"/>
      <c r="D1208" t="inlineStr"/>
    </row>
    <row r="1209">
      <c r="A1209" t="inlineStr">
        <is>
          <t>No</t>
        </is>
      </c>
      <c r="B1209" t="inlineStr"/>
      <c r="C1209" t="inlineStr">
        <is>
          <t>Time</t>
        </is>
      </c>
      <c r="D1209" t="inlineStr"/>
    </row>
    <row r="1210">
      <c r="A1210" t="inlineStr">
        <is>
          <t>No</t>
        </is>
      </c>
      <c r="B1210" t="inlineStr"/>
      <c r="C1210" t="inlineStr">
        <is>
          <t>Too much time away from work.</t>
        </is>
      </c>
      <c r="D1210" t="inlineStr"/>
    </row>
    <row r="1211">
      <c r="A1211" t="inlineStr">
        <is>
          <t>No</t>
        </is>
      </c>
      <c r="B1211" t="inlineStr"/>
      <c r="C1211" t="inlineStr">
        <is>
          <t>Cost</t>
        </is>
      </c>
      <c r="D1211" t="inlineStr"/>
    </row>
    <row r="1212">
      <c r="A1212" t="inlineStr">
        <is>
          <t>No</t>
        </is>
      </c>
      <c r="B1212" t="inlineStr"/>
      <c r="C1212" t="inlineStr">
        <is>
          <t>Too many responsibilities and not enough money.</t>
        </is>
      </c>
      <c r="D1212" t="inlineStr"/>
    </row>
    <row r="1213">
      <c r="A1213" t="inlineStr">
        <is>
          <t>Maybe</t>
        </is>
      </c>
      <c r="B1213" t="inlineStr"/>
      <c r="C1213" t="inlineStr"/>
      <c r="D1213" t="inlineStr"/>
    </row>
    <row r="1214">
      <c r="A1214" t="inlineStr">
        <is>
          <t>No</t>
        </is>
      </c>
      <c r="B1214" t="inlineStr"/>
      <c r="C1214" t="inlineStr">
        <is>
          <t>I have 5 other kids and am too busy right now.</t>
        </is>
      </c>
      <c r="D1214" t="inlineStr"/>
    </row>
    <row r="1215">
      <c r="A1215" t="inlineStr">
        <is>
          <t>Yes</t>
        </is>
      </c>
      <c r="B1215" t="inlineStr">
        <is>
          <t>My husband has done this and had a wonderful experience.</t>
        </is>
      </c>
      <c r="C1215" t="inlineStr"/>
      <c r="D1215" t="inlineStr"/>
    </row>
    <row r="1216">
      <c r="A1216" t="inlineStr">
        <is>
          <t>Yes</t>
        </is>
      </c>
      <c r="B1216" t="inlineStr">
        <is>
          <t>The trip needed parent builders.  The idea to spend time with my kid</t>
        </is>
      </c>
      <c r="C1216" t="inlineStr"/>
      <c r="D1216" t="inlineStr"/>
    </row>
    <row r="1217">
      <c r="A1217" t="inlineStr">
        <is>
          <t>No</t>
        </is>
      </c>
      <c r="B1217" t="inlineStr"/>
      <c r="C1217" t="inlineStr">
        <is>
          <t>Don’t have the time</t>
        </is>
      </c>
      <c r="D1217" t="inlineStr"/>
    </row>
    <row r="1218">
      <c r="A1218" t="inlineStr">
        <is>
          <t>No</t>
        </is>
      </c>
      <c r="B1218" t="inlineStr"/>
      <c r="C1218" t="inlineStr">
        <is>
          <t>My other kids at home</t>
        </is>
      </c>
      <c r="D1218" t="inlineStr"/>
    </row>
    <row r="1219">
      <c r="A1219" t="inlineStr">
        <is>
          <t>No</t>
        </is>
      </c>
      <c r="B1219" t="inlineStr"/>
      <c r="C1219" t="inlineStr">
        <is>
          <t>want my child to have his own experience</t>
        </is>
      </c>
      <c r="D1219" t="inlineStr"/>
    </row>
    <row r="1220">
      <c r="A1220" t="inlineStr">
        <is>
          <t>No</t>
        </is>
      </c>
      <c r="B1220" t="inlineStr"/>
      <c r="C1220" t="inlineStr">
        <is>
          <t>I can’t leave my young family</t>
        </is>
      </c>
      <c r="D1220" t="inlineStr"/>
    </row>
    <row r="1221">
      <c r="A1221" t="inlineStr">
        <is>
          <t>No</t>
        </is>
      </c>
      <c r="B1221" t="inlineStr"/>
      <c r="C1221" t="inlineStr">
        <is>
          <t>My son told me he thought he would reach out more if I wasn't there. I would love to go in the future!</t>
        </is>
      </c>
      <c r="D1221" t="inlineStr"/>
    </row>
    <row r="1222">
      <c r="A1222" t="inlineStr"/>
      <c r="B1222" t="inlineStr"/>
      <c r="C1222" t="inlineStr"/>
      <c r="D1222" t="inlineStr"/>
    </row>
    <row r="1223">
      <c r="A1223" t="inlineStr">
        <is>
          <t>No</t>
        </is>
      </c>
      <c r="B1223" t="inlineStr"/>
      <c r="C1223" t="inlineStr">
        <is>
          <t>Kids at home, wanting our son to have an experience without us around</t>
        </is>
      </c>
      <c r="D1223" t="inlineStr"/>
    </row>
    <row r="1224">
      <c r="A1224" t="inlineStr">
        <is>
          <t>No</t>
        </is>
      </c>
      <c r="B1224" t="inlineStr"/>
      <c r="C1224" t="inlineStr">
        <is>
          <t>This year is was money and time. I went two years ago and loved it!</t>
        </is>
      </c>
      <c r="D1224" t="inlineStr"/>
    </row>
    <row r="1225">
      <c r="A1225" t="inlineStr">
        <is>
          <t>No</t>
        </is>
      </c>
      <c r="B1225" t="inlineStr"/>
      <c r="C1225" t="inlineStr">
        <is>
          <t>Can’t afford it</t>
        </is>
      </c>
      <c r="D1225" t="inlineStr"/>
    </row>
    <row r="1226">
      <c r="A1226" t="inlineStr">
        <is>
          <t>No</t>
        </is>
      </c>
      <c r="B1226" t="inlineStr"/>
      <c r="C1226" t="inlineStr">
        <is>
          <t>No availability</t>
        </is>
      </c>
      <c r="D1226" t="inlineStr"/>
    </row>
    <row r="1227">
      <c r="A1227" t="inlineStr"/>
      <c r="B1227" t="inlineStr"/>
      <c r="C1227" t="inlineStr"/>
      <c r="D1227" t="inlineStr"/>
    </row>
    <row r="1228">
      <c r="A1228" t="inlineStr">
        <is>
          <t>No</t>
        </is>
      </c>
      <c r="B1228" t="inlineStr"/>
      <c r="C1228" t="inlineStr">
        <is>
          <t>Want daughter to have her own experience.</t>
        </is>
      </c>
      <c r="D1228" t="inlineStr"/>
    </row>
    <row r="1229">
      <c r="A1229" t="inlineStr">
        <is>
          <t>No</t>
        </is>
      </c>
      <c r="B1229" t="inlineStr"/>
      <c r="C1229" t="inlineStr">
        <is>
          <t xml:space="preserve">I went 2 years ago </t>
        </is>
      </c>
      <c r="D1229" t="inlineStr"/>
    </row>
    <row r="1230">
      <c r="A1230" t="inlineStr">
        <is>
          <t>No</t>
        </is>
      </c>
      <c r="B1230" t="inlineStr"/>
      <c r="C1230" t="inlineStr">
        <is>
          <t>Cost</t>
        </is>
      </c>
      <c r="D1230" t="inlineStr"/>
    </row>
    <row r="1231">
      <c r="A1231" t="inlineStr">
        <is>
          <t>No</t>
        </is>
      </c>
      <c r="B1231" t="inlineStr"/>
      <c r="C1231" t="inlineStr">
        <is>
          <t>Cost</t>
        </is>
      </c>
      <c r="D1231" t="inlineStr"/>
    </row>
    <row r="1232">
      <c r="A1232" t="inlineStr">
        <is>
          <t>No</t>
        </is>
      </c>
      <c r="B1232" t="inlineStr"/>
      <c r="C1232" t="inlineStr">
        <is>
          <t>My daughter would not want me there and I'm not sure I would be good at it.</t>
        </is>
      </c>
      <c r="D1232" t="inlineStr"/>
    </row>
    <row r="1233">
      <c r="A1233" t="inlineStr">
        <is>
          <t>No</t>
        </is>
      </c>
      <c r="B1233" t="inlineStr"/>
      <c r="C1233" t="inlineStr">
        <is>
          <t>Cost and other kids at home</t>
        </is>
      </c>
      <c r="D1233" t="inlineStr"/>
    </row>
    <row r="1234">
      <c r="A1234" t="inlineStr">
        <is>
          <t>No</t>
        </is>
      </c>
      <c r="B1234" t="inlineStr"/>
      <c r="C1234" t="inlineStr">
        <is>
          <t>Work and home responsibilities</t>
        </is>
      </c>
      <c r="D1234" t="inlineStr"/>
    </row>
    <row r="1235">
      <c r="A1235" t="inlineStr"/>
      <c r="B1235" t="inlineStr"/>
      <c r="C1235" t="inlineStr"/>
      <c r="D1235" t="inlineStr"/>
    </row>
    <row r="1236">
      <c r="A1236" t="inlineStr">
        <is>
          <t>No</t>
        </is>
      </c>
      <c r="B1236" t="inlineStr"/>
      <c r="C1236" t="inlineStr"/>
      <c r="D1236" t="inlineStr"/>
    </row>
    <row r="1237">
      <c r="A1237" t="inlineStr">
        <is>
          <t>No</t>
        </is>
      </c>
      <c r="B1237" t="inlineStr"/>
      <c r="C1237" t="inlineStr">
        <is>
          <t xml:space="preserve">Cost and I want me child to have an individual experience without me. </t>
        </is>
      </c>
      <c r="D1237" t="inlineStr"/>
    </row>
    <row r="1238">
      <c r="A1238" t="inlineStr">
        <is>
          <t>No</t>
        </is>
      </c>
      <c r="B1238" t="inlineStr"/>
      <c r="C1238" t="inlineStr">
        <is>
          <t>Price</t>
        </is>
      </c>
      <c r="D1238" t="inlineStr"/>
    </row>
    <row r="1239">
      <c r="A1239" t="inlineStr">
        <is>
          <t>Maybe</t>
        </is>
      </c>
      <c r="B1239" t="inlineStr"/>
      <c r="C1239" t="inlineStr"/>
      <c r="D1239" t="inlineStr">
        <is>
          <t xml:space="preserve">I tried to be a parent builder when we signed up but there was a mess up in the process and all our choices were gone. So I figured it wasn’t meant to be this time. </t>
        </is>
      </c>
    </row>
    <row r="1240">
      <c r="A1240" t="inlineStr">
        <is>
          <t>No</t>
        </is>
      </c>
      <c r="B1240" t="inlineStr"/>
      <c r="C1240" t="inlineStr">
        <is>
          <t>Husband is going</t>
        </is>
      </c>
      <c r="D1240" t="inlineStr"/>
    </row>
    <row r="1241">
      <c r="A1241" t="inlineStr">
        <is>
          <t>No</t>
        </is>
      </c>
      <c r="B1241" t="inlineStr"/>
      <c r="C1241" t="inlineStr">
        <is>
          <t xml:space="preserve">Want my kid to be independent </t>
        </is>
      </c>
      <c r="D1241" t="inlineStr"/>
    </row>
    <row r="1242">
      <c r="A1242" t="inlineStr">
        <is>
          <t>No</t>
        </is>
      </c>
      <c r="B1242" t="inlineStr"/>
      <c r="C1242" t="inlineStr">
        <is>
          <t>Letting my kids experience something on their own.</t>
        </is>
      </c>
      <c r="D1242" t="inlineStr"/>
    </row>
    <row r="1243">
      <c r="A1243" t="inlineStr">
        <is>
          <t>No</t>
        </is>
      </c>
      <c r="B1243" t="inlineStr"/>
      <c r="C1243" t="inlineStr">
        <is>
          <t xml:space="preserve">Time and money </t>
        </is>
      </c>
      <c r="D1243" t="inlineStr"/>
    </row>
    <row r="1244">
      <c r="A1244" t="inlineStr">
        <is>
          <t>No</t>
        </is>
      </c>
      <c r="B1244" t="inlineStr"/>
      <c r="C1244" t="inlineStr"/>
      <c r="D1244" t="inlineStr"/>
    </row>
    <row r="1245">
      <c r="A1245" t="inlineStr">
        <is>
          <t>Yes</t>
        </is>
      </c>
      <c r="B1245" t="inlineStr">
        <is>
          <t>I love the opportunity to serve people and see new places</t>
        </is>
      </c>
      <c r="C1245" t="inlineStr"/>
      <c r="D1245" t="inlineStr"/>
    </row>
    <row r="1246">
      <c r="A1246" t="inlineStr">
        <is>
          <t>No</t>
        </is>
      </c>
      <c r="B1246" t="inlineStr"/>
      <c r="C1246" t="inlineStr"/>
      <c r="D1246" t="inlineStr"/>
    </row>
    <row r="1247">
      <c r="A1247" t="inlineStr"/>
      <c r="B1247" t="inlineStr"/>
      <c r="C1247" t="inlineStr"/>
      <c r="D1247" t="inlineStr"/>
    </row>
    <row r="1248">
      <c r="A1248" t="inlineStr"/>
      <c r="B1248" t="inlineStr"/>
      <c r="C1248" t="inlineStr"/>
      <c r="D1248" t="inlineStr"/>
    </row>
    <row r="1249">
      <c r="A1249" t="inlineStr">
        <is>
          <t>No</t>
        </is>
      </c>
      <c r="B1249" t="inlineStr"/>
      <c r="C1249" t="inlineStr">
        <is>
          <t>My daughter wanted to go alone</t>
        </is>
      </c>
      <c r="D1249" t="inlineStr"/>
    </row>
    <row r="1250">
      <c r="A1250" t="inlineStr">
        <is>
          <t>No</t>
        </is>
      </c>
      <c r="B1250" t="inlineStr"/>
      <c r="C1250" t="inlineStr">
        <is>
          <t>cost and time</t>
        </is>
      </c>
      <c r="D1250" t="inlineStr"/>
    </row>
    <row r="1251">
      <c r="A1251" t="inlineStr">
        <is>
          <t>No</t>
        </is>
      </c>
      <c r="B1251" t="inlineStr"/>
      <c r="C1251" t="inlineStr">
        <is>
          <t>$$$$$</t>
        </is>
      </c>
      <c r="D1251" t="inlineStr"/>
    </row>
    <row r="1252">
      <c r="A1252" t="inlineStr">
        <is>
          <t>No</t>
        </is>
      </c>
      <c r="B1252" t="inlineStr"/>
      <c r="C1252" t="inlineStr">
        <is>
          <t>Cost and I want my younger child to go next</t>
        </is>
      </c>
      <c r="D1252" t="inlineStr"/>
    </row>
    <row r="1253">
      <c r="A1253" t="inlineStr">
        <is>
          <t>No</t>
        </is>
      </c>
      <c r="B1253" t="inlineStr"/>
      <c r="C1253" t="inlineStr">
        <is>
          <t>Time, want my builder to have her own experience</t>
        </is>
      </c>
      <c r="D1253" t="inlineStr"/>
    </row>
    <row r="1254">
      <c r="A1254" t="inlineStr">
        <is>
          <t>No</t>
        </is>
      </c>
      <c r="B1254" t="inlineStr"/>
      <c r="C1254" t="inlineStr">
        <is>
          <t>Money</t>
        </is>
      </c>
      <c r="D1254" t="inlineStr"/>
    </row>
    <row r="1255">
      <c r="A1255" t="inlineStr">
        <is>
          <t>No</t>
        </is>
      </c>
      <c r="B1255" t="inlineStr"/>
      <c r="C1255" t="inlineStr">
        <is>
          <t xml:space="preserve">Price </t>
        </is>
      </c>
      <c r="D1255" t="inlineStr"/>
    </row>
    <row r="1256">
      <c r="A1256" t="inlineStr">
        <is>
          <t>No</t>
        </is>
      </c>
      <c r="B1256" t="inlineStr"/>
      <c r="C1256" t="inlineStr">
        <is>
          <t>Not interested</t>
        </is>
      </c>
      <c r="D1256" t="inlineStr"/>
    </row>
    <row r="1257">
      <c r="A1257" t="inlineStr">
        <is>
          <t>Maybe</t>
        </is>
      </c>
      <c r="B1257" t="inlineStr"/>
      <c r="C1257" t="inlineStr"/>
      <c r="D1257" t="inlineStr">
        <is>
          <t xml:space="preserve">Having more time to go. We had a super busy summer this year. </t>
        </is>
      </c>
    </row>
    <row r="1258">
      <c r="A1258" t="inlineStr">
        <is>
          <t>No</t>
        </is>
      </c>
      <c r="B1258" t="inlineStr"/>
      <c r="C1258" t="inlineStr">
        <is>
          <t xml:space="preserve">I have other kids at home. </t>
        </is>
      </c>
      <c r="D1258" t="inlineStr"/>
    </row>
    <row r="1259">
      <c r="A1259" t="inlineStr">
        <is>
          <t>Yes</t>
        </is>
      </c>
      <c r="B1259" t="inlineStr">
        <is>
          <t>son</t>
        </is>
      </c>
      <c r="C1259" t="inlineStr"/>
      <c r="D1259" t="inlineStr"/>
    </row>
    <row r="1260">
      <c r="A1260" t="inlineStr"/>
      <c r="B1260" t="inlineStr"/>
      <c r="C1260" t="inlineStr"/>
      <c r="D1260" t="inlineStr"/>
    </row>
    <row r="1261">
      <c r="A1261" t="inlineStr"/>
      <c r="B1261" t="inlineStr"/>
      <c r="C1261" t="inlineStr"/>
      <c r="D1261" t="inlineStr"/>
    </row>
    <row r="1262">
      <c r="A1262" t="inlineStr">
        <is>
          <t>No</t>
        </is>
      </c>
      <c r="B1262" t="inlineStr"/>
      <c r="C1262" t="inlineStr">
        <is>
          <t>Cost</t>
        </is>
      </c>
      <c r="D1262" t="inlineStr"/>
    </row>
    <row r="1263">
      <c r="A1263" t="inlineStr">
        <is>
          <t>Yes</t>
        </is>
      </c>
      <c r="B1263" t="inlineStr">
        <is>
          <t xml:space="preserve">Late to sign my son up so it was necessary. </t>
        </is>
      </c>
      <c r="C1263" t="inlineStr"/>
      <c r="D1263" t="inlineStr"/>
    </row>
    <row r="1264">
      <c r="A1264" t="inlineStr">
        <is>
          <t>No</t>
        </is>
      </c>
      <c r="B1264" t="inlineStr"/>
      <c r="C1264" t="inlineStr">
        <is>
          <t xml:space="preserve">We wanted our son to have the experience on his own. He is great and will be so much fun on the trip and we wanted to have him have something of his own.  </t>
        </is>
      </c>
      <c r="D1264" t="inlineStr"/>
    </row>
    <row r="1265">
      <c r="A1265" t="inlineStr">
        <is>
          <t>Yes</t>
        </is>
      </c>
      <c r="B1265" t="inlineStr">
        <is>
          <t>Wanted to do something with my daughter</t>
        </is>
      </c>
      <c r="C1265" t="inlineStr"/>
      <c r="D1265" t="inlineStr"/>
    </row>
    <row r="1266">
      <c r="A1266" t="inlineStr">
        <is>
          <t>Yes</t>
        </is>
      </c>
      <c r="B1266" t="inlineStr">
        <is>
          <t>My daughter really wanted me to go.</t>
        </is>
      </c>
      <c r="C1266" t="inlineStr"/>
      <c r="D1266" t="inlineStr"/>
    </row>
    <row r="1267">
      <c r="A1267" t="inlineStr">
        <is>
          <t>No</t>
        </is>
      </c>
      <c r="B1267" t="inlineStr"/>
      <c r="C1267" t="inlineStr">
        <is>
          <t>Does not work for my life situation at this time</t>
        </is>
      </c>
      <c r="D1267" t="inlineStr"/>
    </row>
    <row r="1268">
      <c r="A1268" t="inlineStr">
        <is>
          <t>No</t>
        </is>
      </c>
      <c r="B1268" t="inlineStr"/>
      <c r="C1268" t="inlineStr">
        <is>
          <t>Space</t>
        </is>
      </c>
      <c r="D1268" t="inlineStr"/>
    </row>
    <row r="1269">
      <c r="A1269" t="inlineStr">
        <is>
          <t>No</t>
        </is>
      </c>
      <c r="B1269" t="inlineStr"/>
      <c r="C1269" t="inlineStr">
        <is>
          <t>My daughter’s preference to have her own experience.</t>
        </is>
      </c>
      <c r="D1269" t="inlineStr"/>
    </row>
    <row r="1270">
      <c r="A1270" t="inlineStr">
        <is>
          <t>Yes</t>
        </is>
      </c>
      <c r="B1270" t="inlineStr">
        <is>
          <t>I have done 2 other humanitarian trips with another organization and my other daughters. I was excited to be apart of another one with my daughter Esmee</t>
        </is>
      </c>
      <c r="C1270" t="inlineStr"/>
      <c r="D1270" t="inlineStr"/>
    </row>
    <row r="1271">
      <c r="A1271" t="inlineStr">
        <is>
          <t>Maybe</t>
        </is>
      </c>
      <c r="B1271" t="inlineStr"/>
      <c r="C1271" t="inlineStr"/>
      <c r="D1271" t="inlineStr">
        <is>
          <t>I would love to go, but I would rather made sure there is money for one of my kids to go</t>
        </is>
      </c>
    </row>
    <row r="1272">
      <c r="A1272" t="inlineStr">
        <is>
          <t>No</t>
        </is>
      </c>
      <c r="B1272" t="inlineStr"/>
      <c r="C1272" t="inlineStr">
        <is>
          <t>Child didn't want me to go.</t>
        </is>
      </c>
      <c r="D1272" t="inlineStr"/>
    </row>
    <row r="1273">
      <c r="A1273" t="inlineStr">
        <is>
          <t>No</t>
        </is>
      </c>
      <c r="B1273" t="inlineStr"/>
      <c r="C1273" t="inlineStr">
        <is>
          <t>Time away from younger kids</t>
        </is>
      </c>
      <c r="D1273" t="inlineStr"/>
    </row>
    <row r="1274">
      <c r="A1274" t="inlineStr">
        <is>
          <t>No</t>
        </is>
      </c>
      <c r="B1274" t="inlineStr"/>
      <c r="C1274" t="inlineStr">
        <is>
          <t>Couldn’t leave family for that long again. I might come next year.</t>
        </is>
      </c>
      <c r="D1274" t="inlineStr"/>
    </row>
    <row r="1275">
      <c r="A1275" t="inlineStr">
        <is>
          <t>No</t>
        </is>
      </c>
      <c r="B1275" t="inlineStr"/>
      <c r="C1275" t="inlineStr">
        <is>
          <t>Younger kids at home</t>
        </is>
      </c>
      <c r="D1275" t="inlineStr"/>
    </row>
    <row r="1276">
      <c r="A1276" t="inlineStr">
        <is>
          <t>No</t>
        </is>
      </c>
      <c r="B1276" t="inlineStr"/>
      <c r="C1276" t="inlineStr">
        <is>
          <t>My daughter wanted to go on her own</t>
        </is>
      </c>
      <c r="D1276" t="inlineStr"/>
    </row>
    <row r="1277">
      <c r="A1277" t="inlineStr">
        <is>
          <t>No</t>
        </is>
      </c>
      <c r="B1277" t="inlineStr"/>
      <c r="C1277" t="inlineStr">
        <is>
          <t>work</t>
        </is>
      </c>
      <c r="D1277" t="inlineStr"/>
    </row>
    <row r="1278">
      <c r="A1278" t="inlineStr">
        <is>
          <t>No</t>
        </is>
      </c>
      <c r="B1278" t="inlineStr"/>
      <c r="C1278" t="inlineStr"/>
      <c r="D1278" t="inlineStr"/>
    </row>
    <row r="1279">
      <c r="A1279" t="inlineStr"/>
      <c r="B1279" t="inlineStr"/>
      <c r="C1279" t="inlineStr"/>
      <c r="D1279" t="inlineStr"/>
    </row>
    <row r="1280">
      <c r="A1280" t="inlineStr">
        <is>
          <t>No</t>
        </is>
      </c>
      <c r="B1280" t="inlineStr"/>
      <c r="C1280" t="inlineStr">
        <is>
          <t xml:space="preserve">Unable to take time off work. </t>
        </is>
      </c>
      <c r="D1280" t="inlineStr"/>
    </row>
    <row r="1281">
      <c r="A1281" t="inlineStr"/>
      <c r="B1281" t="inlineStr"/>
      <c r="C1281" t="inlineStr"/>
      <c r="D1281" t="inlineStr"/>
    </row>
    <row r="1282">
      <c r="A1282" t="inlineStr">
        <is>
          <t>No</t>
        </is>
      </c>
      <c r="B1282" t="inlineStr"/>
      <c r="C1282" t="inlineStr"/>
      <c r="D1282" t="inlineStr"/>
    </row>
    <row r="1283">
      <c r="A1283" t="inlineStr">
        <is>
          <t>No</t>
        </is>
      </c>
      <c r="B1283" t="inlineStr"/>
      <c r="C1283" t="inlineStr"/>
      <c r="D1283" t="inlineStr"/>
    </row>
    <row r="1284">
      <c r="A1284" t="inlineStr"/>
      <c r="B1284" t="inlineStr"/>
      <c r="C1284" t="inlineStr"/>
      <c r="D1284" t="inlineStr"/>
    </row>
    <row r="1285">
      <c r="A1285" t="inlineStr"/>
      <c r="B1285" t="inlineStr"/>
      <c r="C1285" t="inlineStr"/>
      <c r="D1285" t="inlineStr"/>
    </row>
    <row r="1286">
      <c r="A1286" t="inlineStr">
        <is>
          <t>No</t>
        </is>
      </c>
      <c r="B1286" t="inlineStr"/>
      <c r="C1286" t="inlineStr">
        <is>
          <t xml:space="preserve">Wife went last year. Was great! Sometimes point of trip is for kids go experience new. </t>
        </is>
      </c>
      <c r="D1286" t="inlineStr"/>
    </row>
    <row r="1287">
      <c r="A1287" t="inlineStr"/>
      <c r="B1287" t="inlineStr"/>
      <c r="C1287" t="inlineStr"/>
      <c r="D1287" t="inlineStr"/>
    </row>
    <row r="1288">
      <c r="A1288" t="inlineStr"/>
      <c r="B1288" t="inlineStr"/>
      <c r="C1288" t="inlineStr"/>
      <c r="D1288" t="inlineStr"/>
    </row>
    <row r="1289">
      <c r="A1289" t="inlineStr">
        <is>
          <t>No</t>
        </is>
      </c>
      <c r="B1289" t="inlineStr"/>
      <c r="C1289" t="inlineStr">
        <is>
          <t xml:space="preserve">Money </t>
        </is>
      </c>
      <c r="D1289" t="inlineStr"/>
    </row>
    <row r="1290">
      <c r="A1290" t="inlineStr"/>
      <c r="B1290" t="inlineStr"/>
      <c r="C1290" t="inlineStr"/>
      <c r="D1290" t="inlineStr"/>
    </row>
    <row r="1291">
      <c r="A1291" t="inlineStr"/>
      <c r="B1291" t="inlineStr"/>
      <c r="C1291" t="inlineStr"/>
      <c r="D1291" t="inlineStr"/>
    </row>
    <row r="1292">
      <c r="A1292" t="inlineStr">
        <is>
          <t>No</t>
        </is>
      </c>
      <c r="B1292" t="inlineStr"/>
      <c r="C1292" t="inlineStr"/>
      <c r="D1292" t="inlineStr"/>
    </row>
    <row r="1293">
      <c r="A1293" t="inlineStr">
        <is>
          <t>No</t>
        </is>
      </c>
      <c r="B1293" t="inlineStr"/>
      <c r="C1293" t="inlineStr"/>
      <c r="D1293" t="inlineStr"/>
    </row>
    <row r="1294">
      <c r="A1294" t="inlineStr"/>
      <c r="B1294" t="inlineStr"/>
      <c r="C1294" t="inlineStr"/>
      <c r="D1294" t="inlineStr"/>
    </row>
    <row r="1295">
      <c r="A1295" t="inlineStr">
        <is>
          <t>No</t>
        </is>
      </c>
      <c r="B1295" t="inlineStr"/>
      <c r="C1295" t="inlineStr"/>
      <c r="D1295" t="inlineStr"/>
    </row>
    <row r="1296">
      <c r="A1296" t="inlineStr">
        <is>
          <t>No</t>
        </is>
      </c>
      <c r="B1296" t="inlineStr"/>
      <c r="C1296" t="inlineStr"/>
      <c r="D1296" t="inlineStr"/>
    </row>
    <row r="1297">
      <c r="A1297" t="inlineStr"/>
      <c r="B1297" t="inlineStr"/>
      <c r="C1297" t="inlineStr"/>
      <c r="D1297" t="inlineStr"/>
    </row>
    <row r="1298">
      <c r="A1298" t="inlineStr"/>
      <c r="B1298" t="inlineStr"/>
      <c r="C1298" t="inlineStr"/>
      <c r="D1298" t="inlineStr"/>
    </row>
    <row r="1299">
      <c r="A1299" t="inlineStr">
        <is>
          <t>No</t>
        </is>
      </c>
      <c r="B1299" t="inlineStr"/>
      <c r="C1299" t="inlineStr"/>
      <c r="D1299" t="inlineStr"/>
    </row>
    <row r="1300">
      <c r="A1300" t="inlineStr">
        <is>
          <t>No</t>
        </is>
      </c>
      <c r="B1300" t="inlineStr"/>
      <c r="C1300" t="inlineStr">
        <is>
          <t>time away from work</t>
        </is>
      </c>
      <c r="D1300" t="inlineStr"/>
    </row>
    <row r="1301">
      <c r="A1301" t="inlineStr">
        <is>
          <t>No</t>
        </is>
      </c>
      <c r="B1301" t="inlineStr"/>
      <c r="C1301" t="inlineStr"/>
      <c r="D1301" t="inlineStr"/>
    </row>
    <row r="1302">
      <c r="A1302" t="inlineStr">
        <is>
          <t>No</t>
        </is>
      </c>
      <c r="B1302" t="inlineStr"/>
      <c r="C1302" t="inlineStr">
        <is>
          <t>Finances</t>
        </is>
      </c>
      <c r="D1302" t="inlineStr"/>
    </row>
    <row r="1303">
      <c r="A1303" t="inlineStr">
        <is>
          <t>No</t>
        </is>
      </c>
      <c r="B1303" t="inlineStr"/>
      <c r="C1303" t="inlineStr"/>
      <c r="D1303" t="inlineStr"/>
    </row>
    <row r="1304">
      <c r="A1304" t="inlineStr">
        <is>
          <t>No</t>
        </is>
      </c>
      <c r="B1304" t="inlineStr"/>
      <c r="C1304" t="inlineStr">
        <is>
          <t>My child said absolutely no, I was not welcome with him.</t>
        </is>
      </c>
      <c r="D1304" t="inlineStr"/>
    </row>
    <row r="1305">
      <c r="A1305" t="inlineStr"/>
      <c r="B1305" t="inlineStr"/>
      <c r="C1305" t="inlineStr"/>
      <c r="D1305" t="inlineStr"/>
    </row>
    <row r="1306">
      <c r="A1306" t="inlineStr">
        <is>
          <t>No</t>
        </is>
      </c>
      <c r="B1306" t="inlineStr"/>
      <c r="C1306" t="inlineStr"/>
      <c r="D1306" t="inlineStr"/>
    </row>
    <row r="1307">
      <c r="A1307" t="inlineStr"/>
      <c r="B1307" t="inlineStr"/>
      <c r="C1307" t="inlineStr"/>
      <c r="D1307" t="inlineStr"/>
    </row>
    <row r="1308">
      <c r="A1308" t="inlineStr">
        <is>
          <t>No</t>
        </is>
      </c>
      <c r="B1308" t="inlineStr"/>
      <c r="C1308" t="inlineStr">
        <is>
          <t>I felt my child would have a better exp without a parent there</t>
        </is>
      </c>
      <c r="D1308" t="inlineStr"/>
    </row>
    <row r="1309">
      <c r="A1309" t="inlineStr">
        <is>
          <t>No</t>
        </is>
      </c>
      <c r="B1309" t="inlineStr"/>
      <c r="C1309" t="inlineStr">
        <is>
          <t>Money</t>
        </is>
      </c>
      <c r="D1309" t="inlineStr"/>
    </row>
    <row r="1310">
      <c r="A1310" t="inlineStr"/>
      <c r="B1310" t="inlineStr"/>
      <c r="C1310" t="inlineStr"/>
      <c r="D1310" t="inlineStr"/>
    </row>
    <row r="1311">
      <c r="A1311" t="inlineStr"/>
      <c r="B1311" t="inlineStr"/>
      <c r="C1311" t="inlineStr"/>
      <c r="D1311" t="inlineStr"/>
    </row>
    <row r="1312">
      <c r="A1312" t="inlineStr"/>
      <c r="B1312" t="inlineStr"/>
      <c r="C1312" t="inlineStr"/>
      <c r="D1312" t="inlineStr"/>
    </row>
    <row r="1313">
      <c r="A1313" t="inlineStr"/>
      <c r="B1313" t="inlineStr"/>
      <c r="C1313" t="inlineStr"/>
      <c r="D1313" t="inlineStr"/>
    </row>
    <row r="1314">
      <c r="A1314" t="inlineStr"/>
      <c r="B1314" t="inlineStr"/>
      <c r="C1314" t="inlineStr"/>
      <c r="D1314" t="inlineStr"/>
    </row>
    <row r="1315">
      <c r="A1315" t="inlineStr">
        <is>
          <t>No</t>
        </is>
      </c>
      <c r="B1315" t="inlineStr"/>
      <c r="C1315" t="inlineStr">
        <is>
          <t xml:space="preserve">Can’t take time from work. </t>
        </is>
      </c>
      <c r="D1315" t="inlineStr"/>
    </row>
    <row r="1316">
      <c r="A1316" t="inlineStr">
        <is>
          <t>Maybe</t>
        </is>
      </c>
      <c r="B1316" t="inlineStr"/>
      <c r="C1316" t="inlineStr"/>
      <c r="D1316" t="inlineStr">
        <is>
          <t>Cost</t>
        </is>
      </c>
    </row>
  </sheetData>
  <autoFilter ref="A1:D1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row>
    <row r="4">
      <c r="A4" t="inlineStr">
        <is>
          <t>No</t>
        </is>
      </c>
      <c r="B4" t="inlineStr"/>
      <c r="C4" t="inlineStr"/>
      <c r="D4" t="inlineStr"/>
      <c r="E4" t="inlineStr">
        <is>
          <t>Not needed</t>
        </is>
      </c>
      <c r="F4" t="inlineStr">
        <is>
          <t>Not Needed</t>
        </is>
      </c>
      <c r="G4" t="inlineStr">
        <is>
          <t>Not Needed</t>
        </is>
      </c>
      <c r="H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row>
    <row r="12">
      <c r="A12" t="inlineStr">
        <is>
          <t>Yes</t>
        </is>
      </c>
      <c r="B12" t="inlineStr">
        <is>
          <t>Could go with my son</t>
        </is>
      </c>
      <c r="C12" t="inlineStr">
        <is>
          <t>Family Member Asked or Influenced Them to Go</t>
        </is>
      </c>
      <c r="D12" t="inlineStr">
        <is>
          <t>Family Member Asked or Influenced Them to Go</t>
        </is>
      </c>
      <c r="E12" t="inlineStr"/>
      <c r="F12" t="inlineStr"/>
      <c r="G12" t="inlineStr"/>
      <c r="H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row>
    <row r="15">
      <c r="A15" t="inlineStr">
        <is>
          <t>No</t>
        </is>
      </c>
      <c r="B15" t="inlineStr"/>
      <c r="C15" t="inlineStr"/>
      <c r="D15" t="inlineStr"/>
      <c r="E15" t="inlineStr"/>
      <c r="F15" t="inlineStr"/>
      <c r="G15" t="inlineStr"/>
      <c r="H15" t="inlineStr"/>
    </row>
    <row r="16">
      <c r="A16" t="inlineStr">
        <is>
          <t>No</t>
        </is>
      </c>
      <c r="B16" t="inlineStr"/>
      <c r="C16" t="inlineStr"/>
      <c r="D16" t="inlineStr"/>
      <c r="E16" t="inlineStr"/>
      <c r="F16" t="inlineStr"/>
      <c r="G16" t="inlineStr"/>
      <c r="H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row>
    <row r="18">
      <c r="A18" t="inlineStr">
        <is>
          <t>No</t>
        </is>
      </c>
      <c r="B18" t="inlineStr"/>
      <c r="C18" t="inlineStr"/>
      <c r="D18" t="inlineStr"/>
      <c r="E18" t="inlineStr">
        <is>
          <t>Money</t>
        </is>
      </c>
      <c r="F18" t="inlineStr">
        <is>
          <t>Cost / Finances</t>
        </is>
      </c>
      <c r="G18" t="inlineStr">
        <is>
          <t>Cost / Finances</t>
        </is>
      </c>
      <c r="H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row>
    <row r="20">
      <c r="A20" t="inlineStr">
        <is>
          <t>No</t>
        </is>
      </c>
      <c r="B20" t="inlineStr"/>
      <c r="C20" t="inlineStr"/>
      <c r="D20" t="inlineStr"/>
      <c r="E20" t="inlineStr">
        <is>
          <t>cost</t>
        </is>
      </c>
      <c r="F20" t="inlineStr">
        <is>
          <t>Cost / Finances</t>
        </is>
      </c>
      <c r="G20" t="inlineStr">
        <is>
          <t>Cost / Finances</t>
        </is>
      </c>
      <c r="H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row>
    <row r="23">
      <c r="A23" t="inlineStr">
        <is>
          <t>No</t>
        </is>
      </c>
      <c r="B23" t="inlineStr"/>
      <c r="C23" t="inlineStr"/>
      <c r="D23" t="inlineStr"/>
      <c r="E23" t="inlineStr"/>
      <c r="F23" t="inlineStr"/>
      <c r="G23" t="inlineStr"/>
      <c r="H23" t="inlineStr"/>
    </row>
    <row r="24">
      <c r="A24" t="inlineStr">
        <is>
          <t>Yes</t>
        </is>
      </c>
      <c r="B24" t="inlineStr">
        <is>
          <t>My daughter asked me ro go</t>
        </is>
      </c>
      <c r="C24" t="inlineStr">
        <is>
          <t>Family Member Asked or Influenced Them to Go</t>
        </is>
      </c>
      <c r="D24" t="inlineStr">
        <is>
          <t>Family Member Asked or Influenced Them to Go</t>
        </is>
      </c>
      <c r="E24" t="inlineStr"/>
      <c r="F24" t="inlineStr"/>
      <c r="G24" t="inlineStr"/>
      <c r="H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row>
    <row r="33">
      <c r="A33" t="inlineStr">
        <is>
          <t>Maybe</t>
        </is>
      </c>
      <c r="B33" t="inlineStr"/>
      <c r="C33" t="inlineStr"/>
      <c r="D33" t="inlineStr"/>
      <c r="E33" t="inlineStr"/>
      <c r="F33" t="inlineStr"/>
      <c r="G33" t="inlineStr"/>
      <c r="H33" t="inlineStr">
        <is>
          <t>Cost</t>
        </is>
      </c>
    </row>
    <row r="34">
      <c r="A34" t="inlineStr">
        <is>
          <t>No</t>
        </is>
      </c>
      <c r="B34" t="inlineStr"/>
      <c r="C34" t="inlineStr"/>
      <c r="D34" t="inlineStr"/>
      <c r="E34" t="inlineStr">
        <is>
          <t>Private time for him</t>
        </is>
      </c>
      <c r="F34" t="inlineStr">
        <is>
          <t>Work Schedule / Time Off</t>
        </is>
      </c>
      <c r="G34" t="inlineStr">
        <is>
          <t>Work Schedule / Time Off</t>
        </is>
      </c>
      <c r="H34" t="inlineStr"/>
    </row>
    <row r="35">
      <c r="A35" t="inlineStr">
        <is>
          <t>No</t>
        </is>
      </c>
      <c r="B35" t="inlineStr"/>
      <c r="C35" t="inlineStr"/>
      <c r="D35" t="inlineStr"/>
      <c r="E35" t="inlineStr">
        <is>
          <t>Work obligations</t>
        </is>
      </c>
      <c r="F35" t="inlineStr">
        <is>
          <t>Work Schedule / Time Off</t>
        </is>
      </c>
      <c r="G35" t="inlineStr">
        <is>
          <t>Work Schedule / Time Off</t>
        </is>
      </c>
      <c r="H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row>
    <row r="43">
      <c r="A43" t="inlineStr">
        <is>
          <t>No</t>
        </is>
      </c>
      <c r="B43" t="inlineStr"/>
      <c r="C43" t="inlineStr"/>
      <c r="D43" t="inlineStr"/>
      <c r="E43" t="inlineStr"/>
      <c r="F43" t="inlineStr"/>
      <c r="G43" t="inlineStr"/>
      <c r="H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row>
    <row r="48">
      <c r="A48" t="inlineStr">
        <is>
          <t>Maybe</t>
        </is>
      </c>
      <c r="B48" t="inlineStr"/>
      <c r="C48" t="inlineStr"/>
      <c r="D48" t="inlineStr"/>
      <c r="E48" t="inlineStr"/>
      <c r="F48" t="inlineStr"/>
      <c r="G48" t="inlineStr"/>
      <c r="H48" t="inlineStr">
        <is>
          <t>If it was less expensive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row>
    <row r="52">
      <c r="A52" t="inlineStr">
        <is>
          <t>No</t>
        </is>
      </c>
      <c r="B52" t="inlineStr"/>
      <c r="C52" t="inlineStr"/>
      <c r="D52" t="inlineStr"/>
      <c r="E52" t="inlineStr"/>
      <c r="F52" t="inlineStr"/>
      <c r="G52" t="inlineStr"/>
      <c r="H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row>
    <row r="59">
      <c r="A59" t="inlineStr">
        <is>
          <t>No</t>
        </is>
      </c>
      <c r="B59" t="inlineStr"/>
      <c r="C59" t="inlineStr"/>
      <c r="D59" t="inlineStr"/>
      <c r="E59" t="inlineStr">
        <is>
          <t>The expense</t>
        </is>
      </c>
      <c r="F59" t="inlineStr">
        <is>
          <t>Cost / Finances</t>
        </is>
      </c>
      <c r="G59" t="inlineStr">
        <is>
          <t>Cost / Finances</t>
        </is>
      </c>
      <c r="H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row>
    <row r="63">
      <c r="A63" t="inlineStr">
        <is>
          <t>No</t>
        </is>
      </c>
      <c r="B63" t="inlineStr"/>
      <c r="C63" t="inlineStr"/>
      <c r="D63" t="inlineStr"/>
      <c r="E63" t="inlineStr">
        <is>
          <t>Price</t>
        </is>
      </c>
      <c r="F63" t="inlineStr">
        <is>
          <t>Cost / Finances</t>
        </is>
      </c>
      <c r="G63" t="inlineStr">
        <is>
          <t>Cost / Finances</t>
        </is>
      </c>
      <c r="H63" t="inlineStr"/>
    </row>
    <row r="64">
      <c r="A64" t="inlineStr">
        <is>
          <t>No</t>
        </is>
      </c>
      <c r="B64" t="inlineStr"/>
      <c r="C64" t="inlineStr"/>
      <c r="D64" t="inlineStr"/>
      <c r="E64" t="inlineStr">
        <is>
          <t>Availability</t>
        </is>
      </c>
      <c r="F64" t="inlineStr">
        <is>
          <t>Work Schedule / Time Off</t>
        </is>
      </c>
      <c r="G64" t="inlineStr">
        <is>
          <t>Work Schedule / Time Off</t>
        </is>
      </c>
      <c r="H64" t="inlineStr"/>
    </row>
    <row r="65">
      <c r="A65" t="inlineStr">
        <is>
          <t>Maybe</t>
        </is>
      </c>
      <c r="B65" t="inlineStr"/>
      <c r="C65" t="inlineStr"/>
      <c r="D65" t="inlineStr"/>
      <c r="E65" t="inlineStr"/>
      <c r="F65" t="inlineStr"/>
      <c r="G65" t="inlineStr"/>
      <c r="H65" t="inlineStr"/>
    </row>
    <row r="66">
      <c r="A66" t="inlineStr">
        <is>
          <t>No</t>
        </is>
      </c>
      <c r="B66" t="inlineStr"/>
      <c r="C66" t="inlineStr"/>
      <c r="D66" t="inlineStr"/>
      <c r="E66" t="inlineStr"/>
      <c r="F66" t="inlineStr"/>
      <c r="G66" t="inlineStr"/>
      <c r="H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row>
    <row r="73">
      <c r="A73" t="inlineStr">
        <is>
          <t>No</t>
        </is>
      </c>
      <c r="B73" t="inlineStr"/>
      <c r="C73" t="inlineStr"/>
      <c r="D73" t="inlineStr"/>
      <c r="E73" t="inlineStr">
        <is>
          <t>Work obligations</t>
        </is>
      </c>
      <c r="F73" t="inlineStr">
        <is>
          <t>Work Schedule / Time Off</t>
        </is>
      </c>
      <c r="G73" t="inlineStr">
        <is>
          <t>Work Schedule / Time Off</t>
        </is>
      </c>
      <c r="H73" t="inlineStr"/>
    </row>
    <row r="74">
      <c r="A74" t="inlineStr">
        <is>
          <t>No</t>
        </is>
      </c>
      <c r="B74" t="inlineStr"/>
      <c r="C74" t="inlineStr"/>
      <c r="D74" t="inlineStr"/>
      <c r="E74" t="inlineStr">
        <is>
          <t>Work</t>
        </is>
      </c>
      <c r="F74" t="inlineStr">
        <is>
          <t>Work Schedule / Time Off</t>
        </is>
      </c>
      <c r="G74" t="inlineStr">
        <is>
          <t>Work Schedule / Time Off</t>
        </is>
      </c>
      <c r="H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row>
    <row r="78">
      <c r="A78" t="inlineStr">
        <is>
          <t>No</t>
        </is>
      </c>
      <c r="B78" t="inlineStr"/>
      <c r="C78" t="inlineStr"/>
      <c r="D78" t="inlineStr"/>
      <c r="E78" t="inlineStr"/>
      <c r="F78" t="inlineStr"/>
      <c r="G78" t="inlineStr"/>
      <c r="H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row>
    <row r="84">
      <c r="A84" t="inlineStr">
        <is>
          <t>No</t>
        </is>
      </c>
      <c r="B84" t="inlineStr"/>
      <c r="C84" t="inlineStr"/>
      <c r="D84" t="inlineStr"/>
      <c r="E84" t="inlineStr">
        <is>
          <t>Busy schedule</t>
        </is>
      </c>
      <c r="F84" t="inlineStr">
        <is>
          <t>Work Schedule / Time Off</t>
        </is>
      </c>
      <c r="G84" t="inlineStr">
        <is>
          <t>Work Schedule / Time Off</t>
        </is>
      </c>
      <c r="H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row>
    <row r="99">
      <c r="A99" t="inlineStr">
        <is>
          <t>No</t>
        </is>
      </c>
      <c r="B99" t="inlineStr"/>
      <c r="C99" t="inlineStr"/>
      <c r="D99" t="inlineStr"/>
      <c r="E99" t="inlineStr">
        <is>
          <t>Time</t>
        </is>
      </c>
      <c r="F99" t="inlineStr">
        <is>
          <t>Work Schedule / Time Off</t>
        </is>
      </c>
      <c r="G99" t="inlineStr">
        <is>
          <t>Work Schedule / Time Off</t>
        </is>
      </c>
      <c r="H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row>
    <row r="108">
      <c r="A108" t="inlineStr">
        <is>
          <t>No</t>
        </is>
      </c>
      <c r="B108" t="inlineStr"/>
      <c r="C108" t="inlineStr"/>
      <c r="D108" t="inlineStr"/>
      <c r="E108" t="inlineStr">
        <is>
          <t>Work</t>
        </is>
      </c>
      <c r="F108" t="inlineStr">
        <is>
          <t>Work Schedule / Time Off</t>
        </is>
      </c>
      <c r="G108" t="inlineStr">
        <is>
          <t>Work Schedule / Time Off</t>
        </is>
      </c>
      <c r="H108" t="inlineStr"/>
    </row>
    <row r="109">
      <c r="A109" t="inlineStr">
        <is>
          <t>No</t>
        </is>
      </c>
      <c r="B109" t="inlineStr"/>
      <c r="C109" t="inlineStr"/>
      <c r="D109" t="inlineStr"/>
      <c r="E109" t="inlineStr">
        <is>
          <t>Money</t>
        </is>
      </c>
      <c r="F109" t="inlineStr">
        <is>
          <t>Cost / Finances</t>
        </is>
      </c>
      <c r="G109" t="inlineStr">
        <is>
          <t>Cost / Finances</t>
        </is>
      </c>
      <c r="H109" t="inlineStr"/>
    </row>
    <row r="110">
      <c r="A110" t="inlineStr">
        <is>
          <t>Maybe</t>
        </is>
      </c>
      <c r="B110" t="inlineStr"/>
      <c r="C110" t="inlineStr"/>
      <c r="D110" t="inlineStr"/>
      <c r="E110" t="inlineStr"/>
      <c r="F110" t="inlineStr"/>
      <c r="G110" t="inlineStr"/>
      <c r="H110" t="inlineStr">
        <is>
          <t>Cost and destination choice.</t>
        </is>
      </c>
    </row>
    <row r="111">
      <c r="A111" t="inlineStr">
        <is>
          <t>No</t>
        </is>
      </c>
      <c r="B111" t="inlineStr"/>
      <c r="C111" t="inlineStr"/>
      <c r="D111" t="inlineStr"/>
      <c r="E111" t="inlineStr"/>
      <c r="F111" t="inlineStr"/>
      <c r="G111" t="inlineStr"/>
      <c r="H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row>
    <row r="116">
      <c r="A116" t="inlineStr">
        <is>
          <t>No</t>
        </is>
      </c>
      <c r="B116" t="inlineStr"/>
      <c r="C116" t="inlineStr"/>
      <c r="D116" t="inlineStr"/>
      <c r="E116" t="inlineStr"/>
      <c r="F116" t="inlineStr"/>
      <c r="G116" t="inlineStr"/>
      <c r="H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row>
    <row r="118">
      <c r="A118" t="inlineStr">
        <is>
          <t>No</t>
        </is>
      </c>
      <c r="B118" t="inlineStr"/>
      <c r="C118" t="inlineStr"/>
      <c r="D118" t="inlineStr"/>
      <c r="E118" t="inlineStr">
        <is>
          <t>cost</t>
        </is>
      </c>
      <c r="F118" t="inlineStr">
        <is>
          <t>Cost / Finances</t>
        </is>
      </c>
      <c r="G118" t="inlineStr">
        <is>
          <t>Cost / Finances</t>
        </is>
      </c>
      <c r="H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row>
    <row r="120">
      <c r="A120" t="inlineStr">
        <is>
          <t>No</t>
        </is>
      </c>
      <c r="B120" t="inlineStr"/>
      <c r="C120" t="inlineStr"/>
      <c r="D120" t="inlineStr"/>
      <c r="E120" t="inlineStr"/>
      <c r="F120" t="inlineStr"/>
      <c r="G120" t="inlineStr"/>
      <c r="H120" t="inlineStr"/>
    </row>
    <row r="121">
      <c r="A121" t="inlineStr">
        <is>
          <t>No</t>
        </is>
      </c>
      <c r="B121" t="inlineStr"/>
      <c r="C121" t="inlineStr"/>
      <c r="D121" t="inlineStr"/>
      <c r="E121" t="inlineStr">
        <is>
          <t>Money.</t>
        </is>
      </c>
      <c r="F121" t="inlineStr">
        <is>
          <t>Cost / Finances</t>
        </is>
      </c>
      <c r="G121" t="inlineStr">
        <is>
          <t>Cost / Finances</t>
        </is>
      </c>
      <c r="H121" t="inlineStr"/>
    </row>
    <row r="122">
      <c r="A122" t="inlineStr">
        <is>
          <t>No</t>
        </is>
      </c>
      <c r="B122" t="inlineStr"/>
      <c r="C122" t="inlineStr"/>
      <c r="D122" t="inlineStr"/>
      <c r="E122" t="inlineStr"/>
      <c r="F122" t="inlineStr"/>
      <c r="G122" t="inlineStr"/>
      <c r="H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row>
    <row r="125">
      <c r="A125" t="inlineStr">
        <is>
          <t>Yes</t>
        </is>
      </c>
      <c r="B125" t="inlineStr">
        <is>
          <t>My son and wife asked me if I would like to participate as a Parent Builder... You don't say No to that kind of invitation... I was on it!</t>
        </is>
      </c>
      <c r="C125" t="inlineStr">
        <is>
          <t>Family Member Asked or Influenced Them to Go</t>
        </is>
      </c>
      <c r="D125" t="inlineStr">
        <is>
          <t>Family Member Asked or Influenced Them to Go</t>
        </is>
      </c>
      <c r="E125" t="inlineStr"/>
      <c r="F125" t="inlineStr"/>
      <c r="G125" t="inlineStr"/>
      <c r="H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row>
    <row r="127">
      <c r="A127" t="inlineStr">
        <is>
          <t>Maybe</t>
        </is>
      </c>
      <c r="B127" t="inlineStr"/>
      <c r="C127" t="inlineStr"/>
      <c r="D127" t="inlineStr"/>
      <c r="E127" t="inlineStr"/>
      <c r="F127" t="inlineStr"/>
      <c r="G127" t="inlineStr"/>
      <c r="H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row>
    <row r="133">
      <c r="A133" t="inlineStr">
        <is>
          <t>No</t>
        </is>
      </c>
      <c r="B133" t="inlineStr"/>
      <c r="C133" t="inlineStr"/>
      <c r="D133" t="inlineStr"/>
      <c r="E133" t="inlineStr">
        <is>
          <t>Cost</t>
        </is>
      </c>
      <c r="F133" t="inlineStr">
        <is>
          <t>Cost / Finances</t>
        </is>
      </c>
      <c r="G133" t="inlineStr">
        <is>
          <t>Cost / Finances</t>
        </is>
      </c>
      <c r="H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row>
    <row r="135">
      <c r="A135" t="inlineStr">
        <is>
          <t>No</t>
        </is>
      </c>
      <c r="B135" t="inlineStr"/>
      <c r="C135" t="inlineStr"/>
      <c r="D135" t="inlineStr"/>
      <c r="E135" t="inlineStr"/>
      <c r="F135" t="inlineStr"/>
      <c r="G135" t="inlineStr"/>
      <c r="H135" t="inlineStr"/>
    </row>
    <row r="136">
      <c r="A136" t="inlineStr">
        <is>
          <t>No</t>
        </is>
      </c>
      <c r="B136" t="inlineStr"/>
      <c r="C136" t="inlineStr"/>
      <c r="D136" t="inlineStr"/>
      <c r="E136" t="inlineStr">
        <is>
          <t>Additional Cost</t>
        </is>
      </c>
      <c r="F136" t="inlineStr">
        <is>
          <t>Cost / Finances</t>
        </is>
      </c>
      <c r="G136" t="inlineStr">
        <is>
          <t>Cost / Finances</t>
        </is>
      </c>
      <c r="H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row>
    <row r="140">
      <c r="A140" t="inlineStr">
        <is>
          <t>No</t>
        </is>
      </c>
      <c r="B140" t="inlineStr"/>
      <c r="C140" t="inlineStr"/>
      <c r="D140" t="inlineStr"/>
      <c r="E140" t="inlineStr"/>
      <c r="F140" t="inlineStr"/>
      <c r="G140" t="inlineStr"/>
      <c r="H140" t="inlineStr"/>
    </row>
    <row r="141">
      <c r="A141" t="inlineStr">
        <is>
          <t>No</t>
        </is>
      </c>
      <c r="B141" t="inlineStr"/>
      <c r="C141" t="inlineStr"/>
      <c r="D141" t="inlineStr"/>
      <c r="E141" t="inlineStr">
        <is>
          <t>Cost</t>
        </is>
      </c>
      <c r="F141" t="inlineStr">
        <is>
          <t>Cost / Finances</t>
        </is>
      </c>
      <c r="G141" t="inlineStr">
        <is>
          <t>Cost / Finances</t>
        </is>
      </c>
      <c r="H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row>
    <row r="144">
      <c r="A144" t="inlineStr">
        <is>
          <t>No</t>
        </is>
      </c>
      <c r="B144" t="inlineStr"/>
      <c r="C144" t="inlineStr"/>
      <c r="D144" t="inlineStr"/>
      <c r="E144" t="inlineStr">
        <is>
          <t>Cost</t>
        </is>
      </c>
      <c r="F144" t="inlineStr">
        <is>
          <t>Cost / Finances</t>
        </is>
      </c>
      <c r="G144" t="inlineStr">
        <is>
          <t>Cost / Finances</t>
        </is>
      </c>
      <c r="H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row>
    <row r="155">
      <c r="A155" t="inlineStr">
        <is>
          <t>No</t>
        </is>
      </c>
      <c r="B155" t="inlineStr"/>
      <c r="C155" t="inlineStr"/>
      <c r="D155" t="inlineStr"/>
      <c r="E155" t="inlineStr">
        <is>
          <t>Time</t>
        </is>
      </c>
      <c r="F155" t="inlineStr">
        <is>
          <t>Work Schedule / Time Off</t>
        </is>
      </c>
      <c r="G155" t="inlineStr">
        <is>
          <t>Work Schedule / Time Off</t>
        </is>
      </c>
      <c r="H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row>
    <row r="157">
      <c r="A157" t="inlineStr">
        <is>
          <t>No</t>
        </is>
      </c>
      <c r="B157" t="inlineStr"/>
      <c r="C157" t="inlineStr"/>
      <c r="D157" t="inlineStr"/>
      <c r="E157" t="inlineStr">
        <is>
          <t>Cost</t>
        </is>
      </c>
      <c r="F157" t="inlineStr">
        <is>
          <t>Cost / Finances</t>
        </is>
      </c>
      <c r="G157" t="inlineStr">
        <is>
          <t>Cost / Finances</t>
        </is>
      </c>
      <c r="H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row>
    <row r="159">
      <c r="A159" t="inlineStr">
        <is>
          <t>No</t>
        </is>
      </c>
      <c r="B159" t="inlineStr"/>
      <c r="C159" t="inlineStr"/>
      <c r="D159" t="inlineStr"/>
      <c r="E159" t="inlineStr"/>
      <c r="F159" t="inlineStr"/>
      <c r="G159" t="inlineStr"/>
      <c r="H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row>
    <row r="163">
      <c r="A163" t="inlineStr">
        <is>
          <t>No</t>
        </is>
      </c>
      <c r="B163" t="inlineStr"/>
      <c r="C163" t="inlineStr"/>
      <c r="D163" t="inlineStr"/>
      <c r="E163" t="inlineStr">
        <is>
          <t>Money</t>
        </is>
      </c>
      <c r="F163" t="inlineStr">
        <is>
          <t>Cost / Finances</t>
        </is>
      </c>
      <c r="G163" t="inlineStr">
        <is>
          <t>Cost / Finances</t>
        </is>
      </c>
      <c r="H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row>
    <row r="165">
      <c r="A165" t="inlineStr">
        <is>
          <t>Yes</t>
        </is>
      </c>
      <c r="B165" t="inlineStr"/>
      <c r="C165" t="inlineStr"/>
      <c r="D165" t="inlineStr"/>
      <c r="E165" t="inlineStr"/>
      <c r="F165" t="inlineStr"/>
      <c r="G165" t="inlineStr"/>
      <c r="H165" t="inlineStr"/>
    </row>
    <row r="166">
      <c r="A166" t="inlineStr">
        <is>
          <t>No</t>
        </is>
      </c>
      <c r="B166" t="inlineStr"/>
      <c r="C166" t="inlineStr"/>
      <c r="D166" t="inlineStr"/>
      <c r="E166" t="inlineStr"/>
      <c r="F166" t="inlineStr"/>
      <c r="G166" t="inlineStr"/>
      <c r="H166" t="inlineStr"/>
    </row>
    <row r="167">
      <c r="A167" t="inlineStr">
        <is>
          <t>No</t>
        </is>
      </c>
      <c r="B167" t="inlineStr"/>
      <c r="C167" t="inlineStr"/>
      <c r="D167" t="inlineStr"/>
      <c r="E167" t="inlineStr">
        <is>
          <t>Work</t>
        </is>
      </c>
      <c r="F167" t="inlineStr">
        <is>
          <t>Work Schedule / Time Off</t>
        </is>
      </c>
      <c r="G167" t="inlineStr">
        <is>
          <t>Work Schedule / Time Off</t>
        </is>
      </c>
      <c r="H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row>
    <row r="173">
      <c r="A173" t="inlineStr">
        <is>
          <t>No</t>
        </is>
      </c>
      <c r="B173" t="inlineStr"/>
      <c r="C173" t="inlineStr"/>
      <c r="D173" t="inlineStr"/>
      <c r="E173" t="inlineStr">
        <is>
          <t>Cost</t>
        </is>
      </c>
      <c r="F173" t="inlineStr">
        <is>
          <t>Cost / Finances</t>
        </is>
      </c>
      <c r="G173" t="inlineStr">
        <is>
          <t>Cost / Finances</t>
        </is>
      </c>
      <c r="H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row>
    <row r="180">
      <c r="A180" t="inlineStr">
        <is>
          <t>No</t>
        </is>
      </c>
      <c r="B180" t="inlineStr"/>
      <c r="C180" t="inlineStr"/>
      <c r="D180" t="inlineStr"/>
      <c r="E180" t="inlineStr">
        <is>
          <t>Expense</t>
        </is>
      </c>
      <c r="F180" t="inlineStr">
        <is>
          <t>Cost / Finances</t>
        </is>
      </c>
      <c r="G180" t="inlineStr">
        <is>
          <t>Cost / Finances</t>
        </is>
      </c>
      <c r="H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row>
    <row r="186">
      <c r="A186" t="inlineStr">
        <is>
          <t>Maybe</t>
        </is>
      </c>
      <c r="B186" t="inlineStr"/>
      <c r="C186" t="inlineStr"/>
      <c r="D186" t="inlineStr"/>
      <c r="E186" t="inlineStr"/>
      <c r="F186" t="inlineStr"/>
      <c r="G186" t="inlineStr"/>
      <c r="H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row>
    <row r="193">
      <c r="A193" t="inlineStr">
        <is>
          <t>No</t>
        </is>
      </c>
      <c r="B193" t="inlineStr"/>
      <c r="C193" t="inlineStr"/>
      <c r="D193" t="inlineStr"/>
      <c r="E193" t="inlineStr"/>
      <c r="F193" t="inlineStr"/>
      <c r="G193" t="inlineStr"/>
      <c r="H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row>
    <row r="196">
      <c r="A196" t="inlineStr">
        <is>
          <t>No</t>
        </is>
      </c>
      <c r="B196" t="inlineStr"/>
      <c r="C196" t="inlineStr"/>
      <c r="D196" t="inlineStr"/>
      <c r="E196" t="inlineStr">
        <is>
          <t>Cost.</t>
        </is>
      </c>
      <c r="F196" t="inlineStr">
        <is>
          <t>Cost / Finances</t>
        </is>
      </c>
      <c r="G196" t="inlineStr">
        <is>
          <t>Cost / Finances</t>
        </is>
      </c>
      <c r="H196" t="inlineStr"/>
    </row>
    <row r="197">
      <c r="A197" t="inlineStr">
        <is>
          <t>Yes</t>
        </is>
      </c>
      <c r="B197" t="inlineStr">
        <is>
          <t>Someone at hxp and my daughter</t>
        </is>
      </c>
      <c r="C197" t="inlineStr">
        <is>
          <t>Other / Uncategorized</t>
        </is>
      </c>
      <c r="D197" t="inlineStr"/>
      <c r="E197" t="inlineStr"/>
      <c r="F197" t="inlineStr"/>
      <c r="G197" t="inlineStr"/>
      <c r="H197" t="inlineStr"/>
    </row>
    <row r="198">
      <c r="A198" t="inlineStr">
        <is>
          <t>No</t>
        </is>
      </c>
      <c r="B198" t="inlineStr"/>
      <c r="C198" t="inlineStr"/>
      <c r="D198" t="inlineStr"/>
      <c r="E198" t="inlineStr">
        <is>
          <t>Time</t>
        </is>
      </c>
      <c r="F198" t="inlineStr">
        <is>
          <t>Work Schedule / Time Off</t>
        </is>
      </c>
      <c r="G198" t="inlineStr">
        <is>
          <t>Work Schedule / Time Off</t>
        </is>
      </c>
      <c r="H198" t="inlineStr"/>
    </row>
    <row r="199">
      <c r="A199" t="inlineStr">
        <is>
          <t>No</t>
        </is>
      </c>
      <c r="B199" t="inlineStr"/>
      <c r="C199" t="inlineStr"/>
      <c r="D199" t="inlineStr"/>
      <c r="E199" t="inlineStr">
        <is>
          <t>Cost</t>
        </is>
      </c>
      <c r="F199" t="inlineStr">
        <is>
          <t>Cost / Finances</t>
        </is>
      </c>
      <c r="G199" t="inlineStr">
        <is>
          <t>Cost / Finances</t>
        </is>
      </c>
      <c r="H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row>
    <row r="202">
      <c r="A202" t="inlineStr">
        <is>
          <t>No</t>
        </is>
      </c>
      <c r="B202" t="inlineStr"/>
      <c r="C202" t="inlineStr"/>
      <c r="D202" t="inlineStr"/>
      <c r="E202" t="inlineStr"/>
      <c r="F202" t="inlineStr"/>
      <c r="G202" t="inlineStr"/>
      <c r="H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row>
    <row r="207">
      <c r="A207" t="inlineStr">
        <is>
          <t>No</t>
        </is>
      </c>
      <c r="B207" t="inlineStr"/>
      <c r="C207" t="inlineStr"/>
      <c r="D207" t="inlineStr"/>
      <c r="E207" t="inlineStr"/>
      <c r="F207" t="inlineStr"/>
      <c r="G207" t="inlineStr"/>
      <c r="H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row>
    <row r="211">
      <c r="A211" t="inlineStr">
        <is>
          <t>No</t>
        </is>
      </c>
      <c r="B211" t="inlineStr"/>
      <c r="C211" t="inlineStr"/>
      <c r="D211" t="inlineStr"/>
      <c r="E211" t="inlineStr"/>
      <c r="F211" t="inlineStr"/>
      <c r="G211" t="inlineStr"/>
      <c r="H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row>
    <row r="214">
      <c r="A214" t="inlineStr">
        <is>
          <t>No</t>
        </is>
      </c>
      <c r="B214" t="inlineStr"/>
      <c r="C214" t="inlineStr"/>
      <c r="D214" t="inlineStr"/>
      <c r="E214" t="inlineStr">
        <is>
          <t>Money</t>
        </is>
      </c>
      <c r="F214" t="inlineStr">
        <is>
          <t>Cost / Finances</t>
        </is>
      </c>
      <c r="G214" t="inlineStr">
        <is>
          <t>Cost / Finances</t>
        </is>
      </c>
      <c r="H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row>
    <row r="216">
      <c r="A216" t="inlineStr">
        <is>
          <t>No</t>
        </is>
      </c>
      <c r="B216" t="inlineStr"/>
      <c r="C216" t="inlineStr"/>
      <c r="D216" t="inlineStr"/>
      <c r="E216" t="inlineStr"/>
      <c r="F216" t="inlineStr"/>
      <c r="G216" t="inlineStr"/>
      <c r="H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row>
    <row r="226">
      <c r="A226" t="inlineStr">
        <is>
          <t>No</t>
        </is>
      </c>
      <c r="B226" t="inlineStr"/>
      <c r="C226" t="inlineStr"/>
      <c r="D226" t="inlineStr"/>
      <c r="E226" t="inlineStr"/>
      <c r="F226" t="inlineStr"/>
      <c r="G226" t="inlineStr"/>
      <c r="H226" t="inlineStr"/>
    </row>
    <row r="227">
      <c r="A227" t="inlineStr">
        <is>
          <t>No</t>
        </is>
      </c>
      <c r="B227" t="inlineStr"/>
      <c r="C227" t="inlineStr"/>
      <c r="D227" t="inlineStr"/>
      <c r="E227" t="inlineStr">
        <is>
          <t>Money</t>
        </is>
      </c>
      <c r="F227" t="inlineStr">
        <is>
          <t>Cost / Finances</t>
        </is>
      </c>
      <c r="G227" t="inlineStr">
        <is>
          <t>Cost / Finances</t>
        </is>
      </c>
      <c r="H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row>
    <row r="229">
      <c r="A229" t="inlineStr">
        <is>
          <t>No</t>
        </is>
      </c>
      <c r="B229" t="inlineStr"/>
      <c r="C229" t="inlineStr"/>
      <c r="D229" t="inlineStr"/>
      <c r="E229" t="inlineStr"/>
      <c r="F229" t="inlineStr"/>
      <c r="G229" t="inlineStr"/>
      <c r="H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row>
    <row r="235">
      <c r="A235" t="inlineStr">
        <is>
          <t>No</t>
        </is>
      </c>
      <c r="B235" t="inlineStr"/>
      <c r="C235" t="inlineStr"/>
      <c r="D235" t="inlineStr"/>
      <c r="E235" t="inlineStr">
        <is>
          <t>Time</t>
        </is>
      </c>
      <c r="F235" t="inlineStr">
        <is>
          <t>Work Schedule / Time Off</t>
        </is>
      </c>
      <c r="G235" t="inlineStr">
        <is>
          <t>Work Schedule / Time Off</t>
        </is>
      </c>
      <c r="H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row>
    <row r="240">
      <c r="A240" t="inlineStr">
        <is>
          <t>Yes</t>
        </is>
      </c>
      <c r="B240" t="inlineStr">
        <is>
          <t>Daughter/cause</t>
        </is>
      </c>
      <c r="C240" t="inlineStr">
        <is>
          <t>Other / Uncategorized</t>
        </is>
      </c>
      <c r="D240" t="inlineStr"/>
      <c r="E240" t="inlineStr"/>
      <c r="F240" t="inlineStr"/>
      <c r="G240" t="inlineStr"/>
      <c r="H240" t="inlineStr"/>
    </row>
    <row r="241">
      <c r="A241" t="inlineStr">
        <is>
          <t>No</t>
        </is>
      </c>
      <c r="B241" t="inlineStr"/>
      <c r="C241" t="inlineStr"/>
      <c r="D241" t="inlineStr"/>
      <c r="E241" t="inlineStr">
        <is>
          <t>Cost</t>
        </is>
      </c>
      <c r="F241" t="inlineStr">
        <is>
          <t>Cost / Finances</t>
        </is>
      </c>
      <c r="G241" t="inlineStr">
        <is>
          <t>Cost / Finances</t>
        </is>
      </c>
      <c r="H241" t="inlineStr"/>
    </row>
    <row r="242">
      <c r="A242" t="inlineStr">
        <is>
          <t>No</t>
        </is>
      </c>
      <c r="B242" t="inlineStr"/>
      <c r="C242" t="inlineStr"/>
      <c r="D242" t="inlineStr"/>
      <c r="E242" t="inlineStr">
        <is>
          <t>Time</t>
        </is>
      </c>
      <c r="F242" t="inlineStr">
        <is>
          <t>Work Schedule / Time Off</t>
        </is>
      </c>
      <c r="G242" t="inlineStr">
        <is>
          <t>Work Schedule / Time Off</t>
        </is>
      </c>
      <c r="H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row>
    <row r="244">
      <c r="A244" t="inlineStr">
        <is>
          <t>No</t>
        </is>
      </c>
      <c r="B244" t="inlineStr"/>
      <c r="C244" t="inlineStr"/>
      <c r="D244" t="inlineStr"/>
      <c r="E244" t="inlineStr">
        <is>
          <t>Location</t>
        </is>
      </c>
      <c r="F244" t="inlineStr">
        <is>
          <t>Other / Uncategorized</t>
        </is>
      </c>
      <c r="G244" t="inlineStr"/>
      <c r="H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row>
    <row r="247">
      <c r="A247" t="inlineStr">
        <is>
          <t>No</t>
        </is>
      </c>
      <c r="B247" t="inlineStr"/>
      <c r="C247" t="inlineStr"/>
      <c r="D247" t="inlineStr"/>
      <c r="E247" t="inlineStr">
        <is>
          <t>Time</t>
        </is>
      </c>
      <c r="F247" t="inlineStr">
        <is>
          <t>Work Schedule / Time Off</t>
        </is>
      </c>
      <c r="G247" t="inlineStr">
        <is>
          <t>Work Schedule / Time Off</t>
        </is>
      </c>
      <c r="H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row>
    <row r="252">
      <c r="A252" t="inlineStr">
        <is>
          <t>No</t>
        </is>
      </c>
      <c r="B252" t="inlineStr"/>
      <c r="C252" t="inlineStr"/>
      <c r="D252" t="inlineStr"/>
      <c r="E252" t="inlineStr"/>
      <c r="F252" t="inlineStr"/>
      <c r="G252" t="inlineStr"/>
      <c r="H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row>
    <row r="255">
      <c r="A255" t="inlineStr">
        <is>
          <t>No</t>
        </is>
      </c>
      <c r="B255" t="inlineStr"/>
      <c r="C255" t="inlineStr"/>
      <c r="D255" t="inlineStr"/>
      <c r="E255" t="inlineStr">
        <is>
          <t>Only the price</t>
        </is>
      </c>
      <c r="F255" t="inlineStr">
        <is>
          <t>Cost / Finances</t>
        </is>
      </c>
      <c r="G255" t="inlineStr">
        <is>
          <t>Cost / Finances</t>
        </is>
      </c>
      <c r="H255" t="inlineStr"/>
    </row>
    <row r="256">
      <c r="A256" t="inlineStr">
        <is>
          <t>No</t>
        </is>
      </c>
      <c r="B256" t="inlineStr"/>
      <c r="C256" t="inlineStr"/>
      <c r="D256" t="inlineStr"/>
      <c r="E256" t="inlineStr"/>
      <c r="F256" t="inlineStr"/>
      <c r="G256" t="inlineStr"/>
      <c r="H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row>
    <row r="266">
      <c r="A266" t="inlineStr">
        <is>
          <t>Yes</t>
        </is>
      </c>
      <c r="B266" t="inlineStr">
        <is>
          <t>Location and HXP asked me.</t>
        </is>
      </c>
      <c r="C266" t="inlineStr">
        <is>
          <t>Family Member Asked or Influenced Them to Go</t>
        </is>
      </c>
      <c r="D266" t="inlineStr">
        <is>
          <t>Family Member Asked or Influenced Them to Go</t>
        </is>
      </c>
      <c r="E266" t="inlineStr"/>
      <c r="F266" t="inlineStr"/>
      <c r="G266" t="inlineStr"/>
      <c r="H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row>
    <row r="268">
      <c r="A268" t="inlineStr">
        <is>
          <t>Yes</t>
        </is>
      </c>
      <c r="B268" t="inlineStr">
        <is>
          <t>My son asked me to go</t>
        </is>
      </c>
      <c r="C268" t="inlineStr">
        <is>
          <t>Family Member Asked or Influenced Them to Go</t>
        </is>
      </c>
      <c r="D268" t="inlineStr">
        <is>
          <t>Family Member Asked or Influenced Them to Go</t>
        </is>
      </c>
      <c r="E268" t="inlineStr"/>
      <c r="F268" t="inlineStr"/>
      <c r="G268" t="inlineStr"/>
      <c r="H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row>
    <row r="275">
      <c r="A275" t="inlineStr">
        <is>
          <t>No</t>
        </is>
      </c>
      <c r="B275" t="inlineStr"/>
      <c r="C275" t="inlineStr"/>
      <c r="D275" t="inlineStr"/>
      <c r="E275" t="inlineStr"/>
      <c r="F275" t="inlineStr"/>
      <c r="G275" t="inlineStr"/>
      <c r="H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row>
    <row r="282">
      <c r="A282" t="inlineStr">
        <is>
          <t>No</t>
        </is>
      </c>
      <c r="B282" t="inlineStr"/>
      <c r="C282" t="inlineStr"/>
      <c r="D282" t="inlineStr"/>
      <c r="E282" t="inlineStr"/>
      <c r="F282" t="inlineStr"/>
      <c r="G282" t="inlineStr"/>
      <c r="H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row>
    <row r="287">
      <c r="A287" t="inlineStr">
        <is>
          <t>No</t>
        </is>
      </c>
      <c r="B287" t="inlineStr"/>
      <c r="C287" t="inlineStr"/>
      <c r="D287" t="inlineStr"/>
      <c r="E287" t="inlineStr"/>
      <c r="F287" t="inlineStr"/>
      <c r="G287" t="inlineStr"/>
      <c r="H287" t="inlineStr"/>
    </row>
    <row r="288">
      <c r="A288" t="inlineStr">
        <is>
          <t>No</t>
        </is>
      </c>
      <c r="B288" t="inlineStr"/>
      <c r="C288" t="inlineStr"/>
      <c r="D288" t="inlineStr"/>
      <c r="E288" t="inlineStr"/>
      <c r="F288" t="inlineStr"/>
      <c r="G288" t="inlineStr"/>
      <c r="H288" t="inlineStr"/>
    </row>
    <row r="289">
      <c r="A289" t="inlineStr">
        <is>
          <t>No</t>
        </is>
      </c>
      <c r="B289" t="inlineStr"/>
      <c r="C289" t="inlineStr"/>
      <c r="D289" t="inlineStr"/>
      <c r="E289" t="inlineStr"/>
      <c r="F289" t="inlineStr"/>
      <c r="G289" t="inlineStr"/>
      <c r="H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row>
    <row r="298">
      <c r="A298" t="inlineStr">
        <is>
          <t>Yes</t>
        </is>
      </c>
      <c r="B298" t="inlineStr"/>
      <c r="C298" t="inlineStr"/>
      <c r="D298" t="inlineStr"/>
      <c r="E298" t="inlineStr"/>
      <c r="F298" t="inlineStr"/>
      <c r="G298" t="inlineStr"/>
      <c r="H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row>
    <row r="301">
      <c r="A301" t="inlineStr">
        <is>
          <t>No</t>
        </is>
      </c>
      <c r="B301" t="inlineStr"/>
      <c r="C301" t="inlineStr"/>
      <c r="D301" t="inlineStr"/>
      <c r="E301" t="inlineStr">
        <is>
          <t>Cost</t>
        </is>
      </c>
      <c r="F301" t="inlineStr">
        <is>
          <t>Cost / Finances</t>
        </is>
      </c>
      <c r="G301" t="inlineStr">
        <is>
          <t>Cost / Finances</t>
        </is>
      </c>
      <c r="H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row>
    <row r="309">
      <c r="A309" t="inlineStr">
        <is>
          <t>No</t>
        </is>
      </c>
      <c r="B309" t="inlineStr"/>
      <c r="C309" t="inlineStr"/>
      <c r="D309" t="inlineStr"/>
      <c r="E309" t="inlineStr"/>
      <c r="F309" t="inlineStr"/>
      <c r="G309" t="inlineStr"/>
      <c r="H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row>
    <row r="312">
      <c r="A312" t="inlineStr">
        <is>
          <t>No</t>
        </is>
      </c>
      <c r="B312" t="inlineStr"/>
      <c r="C312" t="inlineStr"/>
      <c r="D312" t="inlineStr"/>
      <c r="E312" t="inlineStr">
        <is>
          <t>Logistics</t>
        </is>
      </c>
      <c r="F312" t="inlineStr">
        <is>
          <t>Other / Uncategorized</t>
        </is>
      </c>
      <c r="G312" t="inlineStr"/>
      <c r="H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row>
    <row r="324">
      <c r="A324" t="inlineStr">
        <is>
          <t>No</t>
        </is>
      </c>
      <c r="B324" t="inlineStr"/>
      <c r="C324" t="inlineStr"/>
      <c r="D324" t="inlineStr"/>
      <c r="E324" t="inlineStr">
        <is>
          <t>Cost</t>
        </is>
      </c>
      <c r="F324" t="inlineStr">
        <is>
          <t>Cost / Finances</t>
        </is>
      </c>
      <c r="G324" t="inlineStr">
        <is>
          <t>Cost / Finances</t>
        </is>
      </c>
      <c r="H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row>
    <row r="328">
      <c r="A328" t="inlineStr">
        <is>
          <t>No</t>
        </is>
      </c>
      <c r="B328" t="inlineStr"/>
      <c r="C328" t="inlineStr"/>
      <c r="D328" t="inlineStr"/>
      <c r="E328" t="inlineStr">
        <is>
          <t>new job</t>
        </is>
      </c>
      <c r="F328" t="inlineStr">
        <is>
          <t>Work Schedule / Time Off</t>
        </is>
      </c>
      <c r="G328" t="inlineStr">
        <is>
          <t>Work Schedule / Time Off</t>
        </is>
      </c>
      <c r="H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row>
    <row r="331">
      <c r="A331" t="inlineStr">
        <is>
          <t>No</t>
        </is>
      </c>
      <c r="B331" t="inlineStr"/>
      <c r="C331" t="inlineStr"/>
      <c r="D331" t="inlineStr"/>
      <c r="E331" t="inlineStr">
        <is>
          <t>Cost</t>
        </is>
      </c>
      <c r="F331" t="inlineStr">
        <is>
          <t>Cost / Finances</t>
        </is>
      </c>
      <c r="G331" t="inlineStr">
        <is>
          <t>Cost / Finances</t>
        </is>
      </c>
      <c r="H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row>
    <row r="333">
      <c r="A333" t="inlineStr">
        <is>
          <t>No</t>
        </is>
      </c>
      <c r="B333" t="inlineStr"/>
      <c r="C333" t="inlineStr"/>
      <c r="D333" t="inlineStr"/>
      <c r="E333" t="inlineStr"/>
      <c r="F333" t="inlineStr"/>
      <c r="G333" t="inlineStr"/>
      <c r="H333" t="inlineStr"/>
    </row>
    <row r="334">
      <c r="A334" t="inlineStr">
        <is>
          <t>No</t>
        </is>
      </c>
      <c r="B334" t="inlineStr"/>
      <c r="C334" t="inlineStr"/>
      <c r="D334" t="inlineStr"/>
      <c r="E334" t="inlineStr">
        <is>
          <t>Time</t>
        </is>
      </c>
      <c r="F334" t="inlineStr">
        <is>
          <t>Work Schedule / Time Off</t>
        </is>
      </c>
      <c r="G334" t="inlineStr">
        <is>
          <t>Work Schedule / Time Off</t>
        </is>
      </c>
      <c r="H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row>
    <row r="336">
      <c r="A336" t="inlineStr">
        <is>
          <t>Yes</t>
        </is>
      </c>
      <c r="B336" t="inlineStr">
        <is>
          <t>My daughter</t>
        </is>
      </c>
      <c r="C336" t="inlineStr">
        <is>
          <t>Family Member Asked or Influenced Them to Go</t>
        </is>
      </c>
      <c r="D336" t="inlineStr">
        <is>
          <t>Family Member Asked or Influenced Them to Go</t>
        </is>
      </c>
      <c r="E336" t="inlineStr"/>
      <c r="F336" t="inlineStr"/>
      <c r="G336" t="inlineStr"/>
      <c r="H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row>
    <row r="339">
      <c r="A339" t="inlineStr">
        <is>
          <t>No</t>
        </is>
      </c>
      <c r="B339" t="inlineStr"/>
      <c r="C339" t="inlineStr"/>
      <c r="D339" t="inlineStr"/>
      <c r="E339" t="inlineStr"/>
      <c r="F339" t="inlineStr"/>
      <c r="G339" t="inlineStr"/>
      <c r="H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row>
    <row r="343">
      <c r="A343" t="inlineStr">
        <is>
          <t>No</t>
        </is>
      </c>
      <c r="B343" t="inlineStr"/>
      <c r="C343" t="inlineStr"/>
      <c r="D343" t="inlineStr"/>
      <c r="E343" t="inlineStr">
        <is>
          <t>Money</t>
        </is>
      </c>
      <c r="F343" t="inlineStr">
        <is>
          <t>Cost / Finances</t>
        </is>
      </c>
      <c r="G343" t="inlineStr">
        <is>
          <t>Cost / Finances</t>
        </is>
      </c>
      <c r="H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row>
    <row r="345">
      <c r="A345" t="inlineStr">
        <is>
          <t>Yes</t>
        </is>
      </c>
      <c r="B345" t="inlineStr"/>
      <c r="C345" t="inlineStr"/>
      <c r="D345" t="inlineStr"/>
      <c r="E345" t="inlineStr"/>
      <c r="F345" t="inlineStr"/>
      <c r="G345" t="inlineStr"/>
      <c r="H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row>
    <row r="355">
      <c r="A355" t="inlineStr">
        <is>
          <t>No</t>
        </is>
      </c>
      <c r="B355" t="inlineStr"/>
      <c r="C355" t="inlineStr"/>
      <c r="D355" t="inlineStr"/>
      <c r="E355" t="inlineStr"/>
      <c r="F355" t="inlineStr"/>
      <c r="G355" t="inlineStr"/>
      <c r="H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row>
    <row r="357">
      <c r="A357" t="inlineStr">
        <is>
          <t>Maybe</t>
        </is>
      </c>
      <c r="B357" t="inlineStr"/>
      <c r="C357" t="inlineStr"/>
      <c r="D357" t="inlineStr"/>
      <c r="E357" t="inlineStr"/>
      <c r="F357" t="inlineStr"/>
      <c r="G357" t="inlineStr"/>
      <c r="H357" t="inlineStr">
        <is>
          <t>Help with the expense</t>
        </is>
      </c>
    </row>
    <row r="358">
      <c r="A358" t="inlineStr">
        <is>
          <t>No</t>
        </is>
      </c>
      <c r="B358" t="inlineStr"/>
      <c r="C358" t="inlineStr"/>
      <c r="D358" t="inlineStr"/>
      <c r="E358" t="inlineStr">
        <is>
          <t>Cost</t>
        </is>
      </c>
      <c r="F358" t="inlineStr">
        <is>
          <t>Cost / Finances</t>
        </is>
      </c>
      <c r="G358" t="inlineStr">
        <is>
          <t>Cost / Finances</t>
        </is>
      </c>
      <c r="H358" t="inlineStr"/>
    </row>
    <row r="359">
      <c r="A359" t="inlineStr">
        <is>
          <t>Yes</t>
        </is>
      </c>
      <c r="B359" t="inlineStr">
        <is>
          <t>My youth</t>
        </is>
      </c>
      <c r="C359" t="inlineStr">
        <is>
          <t>Family Member Asked or Influenced Them to Go</t>
        </is>
      </c>
      <c r="D359" t="inlineStr">
        <is>
          <t>Family Member Asked or Influenced Them to Go</t>
        </is>
      </c>
      <c r="E359" t="inlineStr"/>
      <c r="F359" t="inlineStr"/>
      <c r="G359" t="inlineStr"/>
      <c r="H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row>
    <row r="361">
      <c r="A361" t="inlineStr">
        <is>
          <t>No</t>
        </is>
      </c>
      <c r="B361" t="inlineStr"/>
      <c r="C361" t="inlineStr"/>
      <c r="D361" t="inlineStr"/>
      <c r="E361" t="inlineStr">
        <is>
          <t>Cost</t>
        </is>
      </c>
      <c r="F361" t="inlineStr">
        <is>
          <t>Cost / Finances</t>
        </is>
      </c>
      <c r="G361" t="inlineStr">
        <is>
          <t>Cost / Finances</t>
        </is>
      </c>
      <c r="H361" t="inlineStr"/>
    </row>
    <row r="362">
      <c r="A362" t="inlineStr">
        <is>
          <t>No</t>
        </is>
      </c>
      <c r="B362" t="inlineStr"/>
      <c r="C362" t="inlineStr"/>
      <c r="D362" t="inlineStr"/>
      <c r="E362" t="inlineStr">
        <is>
          <t>Cost</t>
        </is>
      </c>
      <c r="F362" t="inlineStr">
        <is>
          <t>Cost / Finances</t>
        </is>
      </c>
      <c r="G362" t="inlineStr">
        <is>
          <t>Cost / Finances</t>
        </is>
      </c>
      <c r="H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row>
    <row r="370">
      <c r="A370" t="inlineStr">
        <is>
          <t>No</t>
        </is>
      </c>
      <c r="B370" t="inlineStr"/>
      <c r="C370" t="inlineStr"/>
      <c r="D370" t="inlineStr"/>
      <c r="E370" t="inlineStr"/>
      <c r="F370" t="inlineStr"/>
      <c r="G370" t="inlineStr"/>
      <c r="H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row>
    <row r="382">
      <c r="A382" t="inlineStr">
        <is>
          <t>No</t>
        </is>
      </c>
      <c r="B382" t="inlineStr"/>
      <c r="C382" t="inlineStr"/>
      <c r="D382" t="inlineStr"/>
      <c r="E382" t="inlineStr">
        <is>
          <t>time</t>
        </is>
      </c>
      <c r="F382" t="inlineStr">
        <is>
          <t>Work Schedule / Time Off</t>
        </is>
      </c>
      <c r="G382" t="inlineStr">
        <is>
          <t>Work Schedule / Time Off</t>
        </is>
      </c>
      <c r="H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row>
    <row r="390">
      <c r="A390" t="inlineStr">
        <is>
          <t>No</t>
        </is>
      </c>
      <c r="B390" t="inlineStr"/>
      <c r="C390" t="inlineStr"/>
      <c r="D390" t="inlineStr"/>
      <c r="E390" t="inlineStr">
        <is>
          <t>Cost</t>
        </is>
      </c>
      <c r="F390" t="inlineStr">
        <is>
          <t>Cost / Finances</t>
        </is>
      </c>
      <c r="G390" t="inlineStr">
        <is>
          <t>Cost / Finances</t>
        </is>
      </c>
      <c r="H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row>
    <row r="392">
      <c r="A392" t="inlineStr">
        <is>
          <t>No</t>
        </is>
      </c>
      <c r="B392" t="inlineStr"/>
      <c r="C392" t="inlineStr"/>
      <c r="D392" t="inlineStr"/>
      <c r="E392" t="inlineStr"/>
      <c r="F392" t="inlineStr"/>
      <c r="G392" t="inlineStr"/>
      <c r="H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row>
    <row r="395">
      <c r="A395" t="inlineStr">
        <is>
          <t>No</t>
        </is>
      </c>
      <c r="B395" t="inlineStr"/>
      <c r="C395" t="inlineStr"/>
      <c r="D395" t="inlineStr"/>
      <c r="E395" t="inlineStr">
        <is>
          <t>Previous builder t</t>
        </is>
      </c>
      <c r="F395" t="inlineStr">
        <is>
          <t>Other / Uncategorized</t>
        </is>
      </c>
      <c r="G395" t="inlineStr"/>
      <c r="H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row>
    <row r="399">
      <c r="A399" t="inlineStr">
        <is>
          <t>No</t>
        </is>
      </c>
      <c r="B399" t="inlineStr"/>
      <c r="C399" t="inlineStr"/>
      <c r="D399" t="inlineStr"/>
      <c r="E399" t="inlineStr"/>
      <c r="F399" t="inlineStr"/>
      <c r="G399" t="inlineStr"/>
      <c r="H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row>
    <row r="401">
      <c r="A401" t="inlineStr">
        <is>
          <t>No</t>
        </is>
      </c>
      <c r="B401" t="inlineStr"/>
      <c r="C401" t="inlineStr"/>
      <c r="D401" t="inlineStr"/>
      <c r="E401" t="inlineStr"/>
      <c r="F401" t="inlineStr"/>
      <c r="G401" t="inlineStr"/>
      <c r="H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row>
    <row r="403">
      <c r="A403" t="inlineStr">
        <is>
          <t>No</t>
        </is>
      </c>
      <c r="B403" t="inlineStr"/>
      <c r="C403" t="inlineStr"/>
      <c r="D403" t="inlineStr"/>
      <c r="E403" t="inlineStr">
        <is>
          <t>time</t>
        </is>
      </c>
      <c r="F403" t="inlineStr">
        <is>
          <t>Work Schedule / Time Off</t>
        </is>
      </c>
      <c r="G403" t="inlineStr">
        <is>
          <t>Work Schedule / Time Off</t>
        </is>
      </c>
      <c r="H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row>
    <row r="405">
      <c r="A405" t="inlineStr">
        <is>
          <t>Maybe</t>
        </is>
      </c>
      <c r="B405" t="inlineStr"/>
      <c r="C405" t="inlineStr"/>
      <c r="D405" t="inlineStr"/>
      <c r="E405" t="inlineStr"/>
      <c r="F405" t="inlineStr"/>
      <c r="G405" t="inlineStr"/>
      <c r="H405" t="inlineStr">
        <is>
          <t>Finding childcare for my younger kids not on the trip</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row>
    <row r="408">
      <c r="A408" t="inlineStr">
        <is>
          <t>No</t>
        </is>
      </c>
      <c r="B408" t="inlineStr"/>
      <c r="C408" t="inlineStr"/>
      <c r="D408" t="inlineStr"/>
      <c r="E408" t="inlineStr"/>
      <c r="F408" t="inlineStr"/>
      <c r="G408" t="inlineStr"/>
      <c r="H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row>
    <row r="410">
      <c r="A410" t="inlineStr">
        <is>
          <t>Yes</t>
        </is>
      </c>
      <c r="B410" t="inlineStr">
        <is>
          <t>My daughter</t>
        </is>
      </c>
      <c r="C410" t="inlineStr">
        <is>
          <t>Family Member Asked or Influenced Them to Go</t>
        </is>
      </c>
      <c r="D410" t="inlineStr">
        <is>
          <t>Family Member Asked or Influenced Them to Go</t>
        </is>
      </c>
      <c r="E410" t="inlineStr"/>
      <c r="F410" t="inlineStr"/>
      <c r="G410" t="inlineStr"/>
      <c r="H410" t="inlineStr"/>
    </row>
    <row r="411">
      <c r="A411" t="inlineStr">
        <is>
          <t>No</t>
        </is>
      </c>
      <c r="B411" t="inlineStr"/>
      <c r="C411" t="inlineStr"/>
      <c r="D411" t="inlineStr"/>
      <c r="E411" t="inlineStr"/>
      <c r="F411" t="inlineStr"/>
      <c r="G411" t="inlineStr"/>
      <c r="H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row>
    <row r="413">
      <c r="A413" t="inlineStr">
        <is>
          <t>No</t>
        </is>
      </c>
      <c r="B413" t="inlineStr"/>
      <c r="C413" t="inlineStr"/>
      <c r="D413" t="inlineStr"/>
      <c r="E413" t="inlineStr">
        <is>
          <t>My job</t>
        </is>
      </c>
      <c r="F413" t="inlineStr">
        <is>
          <t>Work Schedule / Time Off</t>
        </is>
      </c>
      <c r="G413" t="inlineStr">
        <is>
          <t>Work Schedule / Time Off</t>
        </is>
      </c>
      <c r="H413" t="inlineStr"/>
    </row>
    <row r="414">
      <c r="A414" t="inlineStr">
        <is>
          <t>No</t>
        </is>
      </c>
      <c r="B414" t="inlineStr"/>
      <c r="C414" t="inlineStr"/>
      <c r="D414" t="inlineStr"/>
      <c r="E414" t="inlineStr"/>
      <c r="F414" t="inlineStr"/>
      <c r="G414" t="inlineStr"/>
      <c r="H414" t="inlineStr"/>
    </row>
    <row r="415">
      <c r="A415" t="inlineStr">
        <is>
          <t>Yes</t>
        </is>
      </c>
      <c r="B415" t="inlineStr"/>
      <c r="C415" t="inlineStr"/>
      <c r="D415" t="inlineStr"/>
      <c r="E415" t="inlineStr"/>
      <c r="F415" t="inlineStr"/>
      <c r="G415" t="inlineStr"/>
      <c r="H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row>
    <row r="419">
      <c r="A419" t="inlineStr">
        <is>
          <t>No</t>
        </is>
      </c>
      <c r="B419" t="inlineStr"/>
      <c r="C419" t="inlineStr"/>
      <c r="D419" t="inlineStr"/>
      <c r="E419" t="inlineStr"/>
      <c r="F419" t="inlineStr"/>
      <c r="G419" t="inlineStr"/>
      <c r="H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row>
    <row r="422">
      <c r="A422" t="inlineStr">
        <is>
          <t>No</t>
        </is>
      </c>
      <c r="B422" t="inlineStr"/>
      <c r="C422" t="inlineStr"/>
      <c r="D422" t="inlineStr"/>
      <c r="E422" t="inlineStr"/>
      <c r="F422" t="inlineStr"/>
      <c r="G422" t="inlineStr"/>
      <c r="H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row>
    <row r="424">
      <c r="A424" t="inlineStr">
        <is>
          <t>No</t>
        </is>
      </c>
      <c r="B424" t="inlineStr"/>
      <c r="C424" t="inlineStr"/>
      <c r="D424" t="inlineStr"/>
      <c r="E424" t="inlineStr">
        <is>
          <t>Price</t>
        </is>
      </c>
      <c r="F424" t="inlineStr">
        <is>
          <t>Cost / Finances</t>
        </is>
      </c>
      <c r="G424" t="inlineStr">
        <is>
          <t>Cost / Finances</t>
        </is>
      </c>
      <c r="H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row>
    <row r="432">
      <c r="A432" t="inlineStr">
        <is>
          <t>No</t>
        </is>
      </c>
      <c r="B432" t="inlineStr"/>
      <c r="C432" t="inlineStr"/>
      <c r="D432" t="inlineStr"/>
      <c r="E432" t="inlineStr"/>
      <c r="F432" t="inlineStr"/>
      <c r="G432" t="inlineStr"/>
      <c r="H432" t="inlineStr"/>
    </row>
    <row r="433">
      <c r="A433" t="inlineStr">
        <is>
          <t>No</t>
        </is>
      </c>
      <c r="B433" t="inlineStr"/>
      <c r="C433" t="inlineStr"/>
      <c r="D433" t="inlineStr"/>
      <c r="E433" t="inlineStr"/>
      <c r="F433" t="inlineStr"/>
      <c r="G433" t="inlineStr"/>
      <c r="H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row>
    <row r="444">
      <c r="A444" t="inlineStr">
        <is>
          <t>Maybe</t>
        </is>
      </c>
      <c r="B444" t="inlineStr"/>
      <c r="C444" t="inlineStr"/>
      <c r="D444" t="inlineStr"/>
      <c r="E444" t="inlineStr"/>
      <c r="F444" t="inlineStr"/>
      <c r="G444" t="inlineStr"/>
      <c r="H444" t="inlineStr">
        <is>
          <t>Maybe with one of my next kids as the younger ones get older.</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row>
    <row r="446">
      <c r="A446" t="inlineStr">
        <is>
          <t>Yes</t>
        </is>
      </c>
      <c r="B446" t="inlineStr">
        <is>
          <t>My daughter</t>
        </is>
      </c>
      <c r="C446" t="inlineStr">
        <is>
          <t>Family Member Asked or Influenced Them to Go</t>
        </is>
      </c>
      <c r="D446" t="inlineStr">
        <is>
          <t>Family Member Asked or Influenced Them to Go</t>
        </is>
      </c>
      <c r="E446" t="inlineStr"/>
      <c r="F446" t="inlineStr"/>
      <c r="G446" t="inlineStr"/>
      <c r="H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row>
    <row r="449">
      <c r="A449" t="inlineStr">
        <is>
          <t>Maybe</t>
        </is>
      </c>
      <c r="B449" t="inlineStr"/>
      <c r="C449" t="inlineStr"/>
      <c r="D449" t="inlineStr"/>
      <c r="E449" t="inlineStr"/>
      <c r="F449" t="inlineStr"/>
      <c r="G449" t="inlineStr"/>
      <c r="H449" t="inlineStr">
        <is>
          <t>Not sure</t>
        </is>
      </c>
    </row>
    <row r="450">
      <c r="A450" t="inlineStr">
        <is>
          <t>No</t>
        </is>
      </c>
      <c r="B450" t="inlineStr"/>
      <c r="C450" t="inlineStr"/>
      <c r="D450" t="inlineStr"/>
      <c r="E450" t="inlineStr"/>
      <c r="F450" t="inlineStr"/>
      <c r="G450" t="inlineStr"/>
      <c r="H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row>
    <row r="452">
      <c r="A452" t="inlineStr">
        <is>
          <t>No</t>
        </is>
      </c>
      <c r="B452" t="inlineStr"/>
      <c r="C452" t="inlineStr"/>
      <c r="D452" t="inlineStr"/>
      <c r="E452" t="inlineStr"/>
      <c r="F452" t="inlineStr"/>
      <c r="G452" t="inlineStr"/>
      <c r="H452" t="inlineStr"/>
    </row>
    <row r="453">
      <c r="A453" t="inlineStr">
        <is>
          <t>No</t>
        </is>
      </c>
      <c r="B453" t="inlineStr"/>
      <c r="C453" t="inlineStr"/>
      <c r="D453" t="inlineStr"/>
      <c r="E453" t="inlineStr">
        <is>
          <t>I couldn't afford it.</t>
        </is>
      </c>
      <c r="F453" t="inlineStr">
        <is>
          <t>Cost / Finances</t>
        </is>
      </c>
      <c r="G453" t="inlineStr">
        <is>
          <t>Cost / Finances</t>
        </is>
      </c>
      <c r="H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row>
    <row r="457">
      <c r="A457" t="inlineStr">
        <is>
          <t>Maybe</t>
        </is>
      </c>
      <c r="B457" t="inlineStr"/>
      <c r="C457" t="inlineStr"/>
      <c r="D457" t="inlineStr"/>
      <c r="E457" t="inlineStr"/>
      <c r="F457" t="inlineStr"/>
      <c r="G457" t="inlineStr"/>
      <c r="H457" t="inlineStr">
        <is>
          <t>I don't know much about it. I would need more info</t>
        </is>
      </c>
    </row>
    <row r="458">
      <c r="A458" t="inlineStr">
        <is>
          <t>No</t>
        </is>
      </c>
      <c r="B458" t="inlineStr"/>
      <c r="C458" t="inlineStr"/>
      <c r="D458" t="inlineStr"/>
      <c r="E458" t="inlineStr">
        <is>
          <t>Price</t>
        </is>
      </c>
      <c r="F458" t="inlineStr">
        <is>
          <t>Cost / Finances</t>
        </is>
      </c>
      <c r="G458" t="inlineStr">
        <is>
          <t>Cost / Finances</t>
        </is>
      </c>
      <c r="H458" t="inlineStr"/>
    </row>
    <row r="459">
      <c r="A459" t="inlineStr">
        <is>
          <t>No</t>
        </is>
      </c>
      <c r="B459" t="inlineStr"/>
      <c r="C459" t="inlineStr"/>
      <c r="D459" t="inlineStr"/>
      <c r="E459" t="inlineStr">
        <is>
          <t>Cost</t>
        </is>
      </c>
      <c r="F459" t="inlineStr">
        <is>
          <t>Cost / Finances</t>
        </is>
      </c>
      <c r="G459" t="inlineStr">
        <is>
          <t>Cost / Finances</t>
        </is>
      </c>
      <c r="H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row>
    <row r="462">
      <c r="A462" t="inlineStr">
        <is>
          <t>No</t>
        </is>
      </c>
      <c r="B462" t="inlineStr"/>
      <c r="C462" t="inlineStr"/>
      <c r="D462" t="inlineStr"/>
      <c r="E462" t="inlineStr"/>
      <c r="F462" t="inlineStr"/>
      <c r="G462" t="inlineStr"/>
      <c r="H462" t="inlineStr"/>
    </row>
    <row r="463">
      <c r="A463" t="inlineStr">
        <is>
          <t>No</t>
        </is>
      </c>
      <c r="B463" t="inlineStr"/>
      <c r="C463" t="inlineStr"/>
      <c r="D463" t="inlineStr"/>
      <c r="E463" t="inlineStr">
        <is>
          <t>work</t>
        </is>
      </c>
      <c r="F463" t="inlineStr">
        <is>
          <t>Work Schedule / Time Off</t>
        </is>
      </c>
      <c r="G463" t="inlineStr">
        <is>
          <t>Work Schedule / Time Off</t>
        </is>
      </c>
      <c r="H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row>
    <row r="472">
      <c r="A472" t="inlineStr">
        <is>
          <t>No</t>
        </is>
      </c>
      <c r="B472" t="inlineStr"/>
      <c r="C472" t="inlineStr"/>
      <c r="D472" t="inlineStr"/>
      <c r="E472" t="inlineStr">
        <is>
          <t>Cost</t>
        </is>
      </c>
      <c r="F472" t="inlineStr">
        <is>
          <t>Cost / Finances</t>
        </is>
      </c>
      <c r="G472" t="inlineStr">
        <is>
          <t>Cost / Finances</t>
        </is>
      </c>
      <c r="H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row>
    <row r="477">
      <c r="A477" t="inlineStr">
        <is>
          <t>No</t>
        </is>
      </c>
      <c r="B477" t="inlineStr"/>
      <c r="C477" t="inlineStr"/>
      <c r="D477" t="inlineStr"/>
      <c r="E477" t="inlineStr"/>
      <c r="F477" t="inlineStr"/>
      <c r="G477" t="inlineStr"/>
      <c r="H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row>
    <row r="481">
      <c r="A481" t="inlineStr">
        <is>
          <t>No</t>
        </is>
      </c>
      <c r="B481" t="inlineStr"/>
      <c r="C481" t="inlineStr"/>
      <c r="D481" t="inlineStr"/>
      <c r="E481" t="inlineStr">
        <is>
          <t>price</t>
        </is>
      </c>
      <c r="F481" t="inlineStr">
        <is>
          <t>Cost / Finances</t>
        </is>
      </c>
      <c r="G481" t="inlineStr">
        <is>
          <t>Cost / Finances</t>
        </is>
      </c>
      <c r="H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row>
    <row r="483">
      <c r="A483" t="inlineStr">
        <is>
          <t>No</t>
        </is>
      </c>
      <c r="B483" t="inlineStr"/>
      <c r="C483" t="inlineStr"/>
      <c r="D483" t="inlineStr"/>
      <c r="E483" t="inlineStr"/>
      <c r="F483" t="inlineStr"/>
      <c r="G483" t="inlineStr"/>
      <c r="H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row>
    <row r="485">
      <c r="A485" t="inlineStr">
        <is>
          <t>No</t>
        </is>
      </c>
      <c r="B485" t="inlineStr"/>
      <c r="C485" t="inlineStr"/>
      <c r="D485" t="inlineStr"/>
      <c r="E485" t="inlineStr">
        <is>
          <t>Cost</t>
        </is>
      </c>
      <c r="F485" t="inlineStr">
        <is>
          <t>Cost / Finances</t>
        </is>
      </c>
      <c r="G485" t="inlineStr">
        <is>
          <t>Cost / Finances</t>
        </is>
      </c>
      <c r="H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row>
    <row r="495">
      <c r="A495" t="inlineStr">
        <is>
          <t>Yes</t>
        </is>
      </c>
      <c r="B495" t="inlineStr">
        <is>
          <t>My child invited me</t>
        </is>
      </c>
      <c r="C495" t="inlineStr">
        <is>
          <t>Family Member Asked or Influenced Them to Go</t>
        </is>
      </c>
      <c r="D495" t="inlineStr">
        <is>
          <t>Family Member Asked or Influenced Them to Go</t>
        </is>
      </c>
      <c r="E495" t="inlineStr"/>
      <c r="F495" t="inlineStr"/>
      <c r="G495" t="inlineStr"/>
      <c r="H495" t="inlineStr"/>
    </row>
    <row r="496">
      <c r="A496" t="inlineStr">
        <is>
          <t>No</t>
        </is>
      </c>
      <c r="B496" t="inlineStr"/>
      <c r="C496" t="inlineStr"/>
      <c r="D496" t="inlineStr"/>
      <c r="E496" t="inlineStr"/>
      <c r="F496" t="inlineStr"/>
      <c r="G496" t="inlineStr"/>
      <c r="H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row>
    <row r="503">
      <c r="A503" t="inlineStr">
        <is>
          <t>No</t>
        </is>
      </c>
      <c r="B503" t="inlineStr"/>
      <c r="C503" t="inlineStr"/>
      <c r="D503" t="inlineStr"/>
      <c r="E503" t="inlineStr">
        <is>
          <t>Money</t>
        </is>
      </c>
      <c r="F503" t="inlineStr">
        <is>
          <t>Cost / Finances</t>
        </is>
      </c>
      <c r="G503" t="inlineStr">
        <is>
          <t>Cost / Finances</t>
        </is>
      </c>
      <c r="H503" t="inlineStr"/>
    </row>
    <row r="504">
      <c r="A504" t="inlineStr">
        <is>
          <t>No</t>
        </is>
      </c>
      <c r="B504" t="inlineStr"/>
      <c r="C504" t="inlineStr"/>
      <c r="D504" t="inlineStr"/>
      <c r="E504" t="inlineStr">
        <is>
          <t>Money</t>
        </is>
      </c>
      <c r="F504" t="inlineStr">
        <is>
          <t>Cost / Finances</t>
        </is>
      </c>
      <c r="G504" t="inlineStr">
        <is>
          <t>Cost / Finances</t>
        </is>
      </c>
      <c r="H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row>
    <row r="508">
      <c r="A508" t="inlineStr">
        <is>
          <t>Yes</t>
        </is>
      </c>
      <c r="B508" t="inlineStr">
        <is>
          <t>My daughter</t>
        </is>
      </c>
      <c r="C508" t="inlineStr">
        <is>
          <t>Family Member Asked or Influenced Them to Go</t>
        </is>
      </c>
      <c r="D508" t="inlineStr">
        <is>
          <t>Family Member Asked or Influenced Them to Go</t>
        </is>
      </c>
      <c r="E508" t="inlineStr"/>
      <c r="F508" t="inlineStr"/>
      <c r="G508" t="inlineStr"/>
      <c r="H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row>
    <row r="510">
      <c r="A510" t="inlineStr">
        <is>
          <t>No</t>
        </is>
      </c>
      <c r="B510" t="inlineStr"/>
      <c r="C510" t="inlineStr"/>
      <c r="D510" t="inlineStr"/>
      <c r="E510" t="inlineStr"/>
      <c r="F510" t="inlineStr"/>
      <c r="G510" t="inlineStr"/>
      <c r="H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row>
    <row r="514">
      <c r="A514" t="inlineStr">
        <is>
          <t>No</t>
        </is>
      </c>
      <c r="B514" t="inlineStr"/>
      <c r="C514" t="inlineStr"/>
      <c r="D514" t="inlineStr"/>
      <c r="E514" t="inlineStr"/>
      <c r="F514" t="inlineStr"/>
      <c r="G514" t="inlineStr"/>
      <c r="H514" t="inlineStr"/>
    </row>
    <row r="515">
      <c r="A515" t="inlineStr">
        <is>
          <t>No</t>
        </is>
      </c>
      <c r="B515" t="inlineStr"/>
      <c r="C515" t="inlineStr"/>
      <c r="D515" t="inlineStr"/>
      <c r="E515" t="inlineStr"/>
      <c r="F515" t="inlineStr"/>
      <c r="G515" t="inlineStr"/>
      <c r="H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row>
    <row r="520">
      <c r="A520" t="inlineStr">
        <is>
          <t>No</t>
        </is>
      </c>
      <c r="B520" t="inlineStr"/>
      <c r="C520" t="inlineStr"/>
      <c r="D520" t="inlineStr"/>
      <c r="E520" t="inlineStr">
        <is>
          <t>Past Experiences</t>
        </is>
      </c>
      <c r="F520" t="inlineStr">
        <is>
          <t>Other / Uncategorized</t>
        </is>
      </c>
      <c r="G520" t="inlineStr"/>
      <c r="H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row>
    <row r="529">
      <c r="A529" t="inlineStr">
        <is>
          <t>No</t>
        </is>
      </c>
      <c r="B529" t="inlineStr"/>
      <c r="C529" t="inlineStr"/>
      <c r="D529" t="inlineStr"/>
      <c r="E529" t="inlineStr"/>
      <c r="F529" t="inlineStr"/>
      <c r="G529" t="inlineStr"/>
      <c r="H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row>
    <row r="535">
      <c r="A535" t="inlineStr">
        <is>
          <t>No</t>
        </is>
      </c>
      <c r="B535" t="inlineStr"/>
      <c r="C535" t="inlineStr"/>
      <c r="D535" t="inlineStr"/>
      <c r="E535" t="inlineStr">
        <is>
          <t>Cost</t>
        </is>
      </c>
      <c r="F535" t="inlineStr">
        <is>
          <t>Cost / Finances</t>
        </is>
      </c>
      <c r="G535" t="inlineStr">
        <is>
          <t>Cost / Finances</t>
        </is>
      </c>
      <c r="H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row>
    <row r="537">
      <c r="A537" t="inlineStr">
        <is>
          <t>No</t>
        </is>
      </c>
      <c r="B537" t="inlineStr"/>
      <c r="C537" t="inlineStr"/>
      <c r="D537" t="inlineStr"/>
      <c r="E537" t="inlineStr"/>
      <c r="F537" t="inlineStr"/>
      <c r="G537" t="inlineStr"/>
      <c r="H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row>
    <row r="543">
      <c r="A543" t="inlineStr">
        <is>
          <t>Maybe</t>
        </is>
      </c>
      <c r="B543" t="inlineStr"/>
      <c r="C543" t="inlineStr"/>
      <c r="D543" t="inlineStr"/>
      <c r="E543" t="inlineStr"/>
      <c r="F543" t="inlineStr"/>
      <c r="G543" t="inlineStr"/>
      <c r="H543" t="inlineStr">
        <is>
          <t>Free time</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row>
    <row r="547">
      <c r="A547" t="inlineStr">
        <is>
          <t>Maybe</t>
        </is>
      </c>
      <c r="B547" t="inlineStr"/>
      <c r="C547" t="inlineStr"/>
      <c r="D547" t="inlineStr"/>
      <c r="E547" t="inlineStr"/>
      <c r="F547" t="inlineStr"/>
      <c r="G547" t="inlineStr"/>
      <c r="H547" t="inlineStr">
        <is>
          <t>Finances and logistics with other children/husband.</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row>
    <row r="552">
      <c r="A552" t="inlineStr">
        <is>
          <t>No</t>
        </is>
      </c>
      <c r="B552" t="inlineStr"/>
      <c r="C552" t="inlineStr"/>
      <c r="D552" t="inlineStr"/>
      <c r="E552" t="inlineStr">
        <is>
          <t>Time</t>
        </is>
      </c>
      <c r="F552" t="inlineStr">
        <is>
          <t>Work Schedule / Time Off</t>
        </is>
      </c>
      <c r="G552" t="inlineStr">
        <is>
          <t>Work Schedule / Time Off</t>
        </is>
      </c>
      <c r="H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row>
    <row r="560">
      <c r="A560" t="inlineStr">
        <is>
          <t>No</t>
        </is>
      </c>
      <c r="B560" t="inlineStr"/>
      <c r="C560" t="inlineStr"/>
      <c r="D560" t="inlineStr"/>
      <c r="E560" t="inlineStr">
        <is>
          <t>The cost</t>
        </is>
      </c>
      <c r="F560" t="inlineStr">
        <is>
          <t>Cost / Finances</t>
        </is>
      </c>
      <c r="G560" t="inlineStr">
        <is>
          <t>Cost / Finances</t>
        </is>
      </c>
      <c r="H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row>
    <row r="564">
      <c r="A564" t="inlineStr">
        <is>
          <t>No</t>
        </is>
      </c>
      <c r="B564" t="inlineStr"/>
      <c r="C564" t="inlineStr"/>
      <c r="D564" t="inlineStr"/>
      <c r="E564" t="inlineStr"/>
      <c r="F564" t="inlineStr"/>
      <c r="G564" t="inlineStr"/>
      <c r="H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row>
    <row r="568">
      <c r="A568" t="inlineStr">
        <is>
          <t>No</t>
        </is>
      </c>
      <c r="B568" t="inlineStr"/>
      <c r="C568" t="inlineStr"/>
      <c r="D568" t="inlineStr"/>
      <c r="E568" t="inlineStr">
        <is>
          <t>Money</t>
        </is>
      </c>
      <c r="F568" t="inlineStr">
        <is>
          <t>Cost / Finances</t>
        </is>
      </c>
      <c r="G568" t="inlineStr">
        <is>
          <t>Cost / Finances</t>
        </is>
      </c>
      <c r="H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row>
    <row r="571">
      <c r="A571" t="inlineStr">
        <is>
          <t>No</t>
        </is>
      </c>
      <c r="B571" t="inlineStr"/>
      <c r="C571" t="inlineStr"/>
      <c r="D571" t="inlineStr"/>
      <c r="E571" t="inlineStr">
        <is>
          <t>Not able for many reasons</t>
        </is>
      </c>
      <c r="F571" t="inlineStr">
        <is>
          <t>Other / Uncategorized</t>
        </is>
      </c>
      <c r="G571" t="inlineStr"/>
      <c r="H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row>
    <row r="577">
      <c r="A577" t="inlineStr">
        <is>
          <t>No</t>
        </is>
      </c>
      <c r="B577" t="inlineStr"/>
      <c r="C577" t="inlineStr"/>
      <c r="D577" t="inlineStr"/>
      <c r="E577" t="inlineStr">
        <is>
          <t>money</t>
        </is>
      </c>
      <c r="F577" t="inlineStr">
        <is>
          <t>Cost / Finances</t>
        </is>
      </c>
      <c r="G577" t="inlineStr">
        <is>
          <t>Cost / Finances</t>
        </is>
      </c>
      <c r="H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row>
    <row r="580">
      <c r="A580" t="inlineStr">
        <is>
          <t>No</t>
        </is>
      </c>
      <c r="B580" t="inlineStr"/>
      <c r="C580" t="inlineStr"/>
      <c r="D580" t="inlineStr"/>
      <c r="E580" t="inlineStr">
        <is>
          <t>$$$</t>
        </is>
      </c>
      <c r="F580" t="inlineStr">
        <is>
          <t>Cost / Finances</t>
        </is>
      </c>
      <c r="G580" t="inlineStr">
        <is>
          <t>Cost / Finances</t>
        </is>
      </c>
      <c r="H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row>
    <row r="582">
      <c r="A582" t="inlineStr">
        <is>
          <t>No</t>
        </is>
      </c>
      <c r="B582" t="inlineStr"/>
      <c r="C582" t="inlineStr"/>
      <c r="D582" t="inlineStr"/>
      <c r="E582" t="inlineStr">
        <is>
          <t>Expense</t>
        </is>
      </c>
      <c r="F582" t="inlineStr">
        <is>
          <t>Cost / Finances</t>
        </is>
      </c>
      <c r="G582" t="inlineStr">
        <is>
          <t>Cost / Finances</t>
        </is>
      </c>
      <c r="H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row>
    <row r="584">
      <c r="A584" t="inlineStr">
        <is>
          <t>No</t>
        </is>
      </c>
      <c r="B584" t="inlineStr"/>
      <c r="C584" t="inlineStr"/>
      <c r="D584" t="inlineStr"/>
      <c r="E584" t="inlineStr">
        <is>
          <t>Money</t>
        </is>
      </c>
      <c r="F584" t="inlineStr">
        <is>
          <t>Cost / Finances</t>
        </is>
      </c>
      <c r="G584" t="inlineStr">
        <is>
          <t>Cost / Finances</t>
        </is>
      </c>
      <c r="H584" t="inlineStr"/>
    </row>
    <row r="585">
      <c r="A585" t="inlineStr">
        <is>
          <t>No</t>
        </is>
      </c>
      <c r="B585" t="inlineStr"/>
      <c r="C585" t="inlineStr"/>
      <c r="D585" t="inlineStr"/>
      <c r="E585" t="inlineStr">
        <is>
          <t>Timing</t>
        </is>
      </c>
      <c r="F585" t="inlineStr">
        <is>
          <t>Work Schedule / Time Off</t>
        </is>
      </c>
      <c r="G585" t="inlineStr">
        <is>
          <t>Work Schedule / Time Off</t>
        </is>
      </c>
      <c r="H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row>
    <row r="588">
      <c r="A588" t="inlineStr">
        <is>
          <t>No</t>
        </is>
      </c>
      <c r="B588" t="inlineStr"/>
      <c r="C588" t="inlineStr"/>
      <c r="D588" t="inlineStr"/>
      <c r="E588" t="inlineStr"/>
      <c r="F588" t="inlineStr"/>
      <c r="G588" t="inlineStr"/>
      <c r="H588" t="inlineStr"/>
    </row>
    <row r="589">
      <c r="A589" t="inlineStr">
        <is>
          <t>Yes</t>
        </is>
      </c>
      <c r="B589" t="inlineStr">
        <is>
          <t>Need and my daughter said it was okay</t>
        </is>
      </c>
      <c r="C589" t="inlineStr">
        <is>
          <t>Family Member Asked or Influenced Them to Go</t>
        </is>
      </c>
      <c r="D589" t="inlineStr">
        <is>
          <t>Family Member Asked or Influenced Them to Go</t>
        </is>
      </c>
      <c r="E589" t="inlineStr"/>
      <c r="F589" t="inlineStr"/>
      <c r="G589" t="inlineStr"/>
      <c r="H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row>
    <row r="591">
      <c r="A591" t="inlineStr">
        <is>
          <t>No</t>
        </is>
      </c>
      <c r="B591" t="inlineStr"/>
      <c r="C591" t="inlineStr"/>
      <c r="D591" t="inlineStr"/>
      <c r="E591" t="inlineStr"/>
      <c r="F591" t="inlineStr"/>
      <c r="G591" t="inlineStr"/>
      <c r="H591" t="inlineStr"/>
    </row>
    <row r="592">
      <c r="A592" t="inlineStr">
        <is>
          <t>No</t>
        </is>
      </c>
      <c r="B592" t="inlineStr"/>
      <c r="C592" t="inlineStr"/>
      <c r="D592" t="inlineStr"/>
      <c r="E592" t="inlineStr">
        <is>
          <t>Cost</t>
        </is>
      </c>
      <c r="F592" t="inlineStr">
        <is>
          <t>Cost / Finances</t>
        </is>
      </c>
      <c r="G592" t="inlineStr">
        <is>
          <t>Cost / Finances</t>
        </is>
      </c>
      <c r="H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row>
    <row r="597">
      <c r="A597" t="inlineStr">
        <is>
          <t>No</t>
        </is>
      </c>
      <c r="B597" t="inlineStr"/>
      <c r="C597" t="inlineStr"/>
      <c r="D597" t="inlineStr"/>
      <c r="E597" t="inlineStr"/>
      <c r="F597" t="inlineStr"/>
      <c r="G597" t="inlineStr"/>
      <c r="H597" t="inlineStr"/>
    </row>
    <row r="598">
      <c r="A598" t="inlineStr">
        <is>
          <t>Yes</t>
        </is>
      </c>
      <c r="B598" t="inlineStr"/>
      <c r="C598" t="inlineStr"/>
      <c r="D598" t="inlineStr"/>
      <c r="E598" t="inlineStr"/>
      <c r="F598" t="inlineStr"/>
      <c r="G598" t="inlineStr"/>
      <c r="H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row>
    <row r="604">
      <c r="A604" t="inlineStr">
        <is>
          <t>No</t>
        </is>
      </c>
      <c r="B604" t="inlineStr"/>
      <c r="C604" t="inlineStr"/>
      <c r="D604" t="inlineStr"/>
      <c r="E604" t="inlineStr"/>
      <c r="F604" t="inlineStr"/>
      <c r="G604" t="inlineStr"/>
      <c r="H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row>
    <row r="607">
      <c r="A607" t="inlineStr">
        <is>
          <t>No</t>
        </is>
      </c>
      <c r="B607" t="inlineStr"/>
      <c r="C607" t="inlineStr"/>
      <c r="D607" t="inlineStr"/>
      <c r="E607" t="inlineStr"/>
      <c r="F607" t="inlineStr"/>
      <c r="G607" t="inlineStr"/>
      <c r="H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row>
    <row r="618">
      <c r="A618" t="inlineStr">
        <is>
          <t>No</t>
        </is>
      </c>
      <c r="B618" t="inlineStr"/>
      <c r="C618" t="inlineStr"/>
      <c r="D618" t="inlineStr"/>
      <c r="E618" t="inlineStr"/>
      <c r="F618" t="inlineStr"/>
      <c r="G618" t="inlineStr"/>
      <c r="H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row>
    <row r="621">
      <c r="A621" t="inlineStr">
        <is>
          <t>No</t>
        </is>
      </c>
      <c r="B621" t="inlineStr"/>
      <c r="C621" t="inlineStr"/>
      <c r="D621" t="inlineStr"/>
      <c r="E621" t="inlineStr">
        <is>
          <t>Cost</t>
        </is>
      </c>
      <c r="F621" t="inlineStr">
        <is>
          <t>Cost / Finances</t>
        </is>
      </c>
      <c r="G621" t="inlineStr">
        <is>
          <t>Cost / Finances</t>
        </is>
      </c>
      <c r="H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row>
    <row r="623">
      <c r="A623" t="inlineStr">
        <is>
          <t>No</t>
        </is>
      </c>
      <c r="B623" t="inlineStr"/>
      <c r="C623" t="inlineStr"/>
      <c r="D623" t="inlineStr"/>
      <c r="E623" t="inlineStr"/>
      <c r="F623" t="inlineStr"/>
      <c r="G623" t="inlineStr"/>
      <c r="H623" t="inlineStr"/>
    </row>
    <row r="624">
      <c r="A624" t="inlineStr">
        <is>
          <t>No</t>
        </is>
      </c>
      <c r="B624" t="inlineStr"/>
      <c r="C624" t="inlineStr"/>
      <c r="D624" t="inlineStr"/>
      <c r="E624" t="inlineStr">
        <is>
          <t>Financial</t>
        </is>
      </c>
      <c r="F624" t="inlineStr">
        <is>
          <t>Cost / Finances</t>
        </is>
      </c>
      <c r="G624" t="inlineStr">
        <is>
          <t>Cost / Finances</t>
        </is>
      </c>
      <c r="H624" t="inlineStr"/>
    </row>
    <row r="625">
      <c r="A625" t="inlineStr">
        <is>
          <t>No</t>
        </is>
      </c>
      <c r="B625" t="inlineStr"/>
      <c r="C625" t="inlineStr"/>
      <c r="D625" t="inlineStr"/>
      <c r="E625" t="inlineStr"/>
      <c r="F625" t="inlineStr"/>
      <c r="G625" t="inlineStr"/>
      <c r="H625" t="inlineStr"/>
    </row>
    <row r="626">
      <c r="A626" t="inlineStr">
        <is>
          <t>Maybe</t>
        </is>
      </c>
      <c r="B626" t="inlineStr"/>
      <c r="C626" t="inlineStr"/>
      <c r="D626" t="inlineStr"/>
      <c r="E626" t="inlineStr"/>
      <c r="F626" t="inlineStr"/>
      <c r="G626" t="inlineStr"/>
      <c r="H626" t="inlineStr">
        <is>
          <t>Not sure</t>
        </is>
      </c>
    </row>
    <row r="627">
      <c r="A627" t="inlineStr">
        <is>
          <t>Maybe</t>
        </is>
      </c>
      <c r="B627" t="inlineStr"/>
      <c r="C627" t="inlineStr"/>
      <c r="D627" t="inlineStr"/>
      <c r="E627" t="inlineStr"/>
      <c r="F627" t="inlineStr"/>
      <c r="G627" t="inlineStr"/>
      <c r="H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row>
    <row r="629">
      <c r="A629" t="inlineStr">
        <is>
          <t>Yes</t>
        </is>
      </c>
      <c r="B629" t="inlineStr">
        <is>
          <t>My builder.</t>
        </is>
      </c>
      <c r="C629" t="inlineStr">
        <is>
          <t>Family Member Asked or Influenced Them to Go</t>
        </is>
      </c>
      <c r="D629" t="inlineStr">
        <is>
          <t>Family Member Asked or Influenced Them to Go</t>
        </is>
      </c>
      <c r="E629" t="inlineStr"/>
      <c r="F629" t="inlineStr"/>
      <c r="G629" t="inlineStr"/>
      <c r="H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row>
    <row r="633">
      <c r="A633" t="inlineStr">
        <is>
          <t>Maybe</t>
        </is>
      </c>
      <c r="B633" t="inlineStr"/>
      <c r="C633" t="inlineStr"/>
      <c r="D633" t="inlineStr"/>
      <c r="E633" t="inlineStr"/>
      <c r="F633" t="inlineStr"/>
      <c r="G633" t="inlineStr"/>
      <c r="H633" t="inlineStr">
        <is>
          <t>My kids grew out of the age range for builders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row>
    <row r="636">
      <c r="A636" t="inlineStr">
        <is>
          <t>No</t>
        </is>
      </c>
      <c r="B636" t="inlineStr"/>
      <c r="C636" t="inlineStr"/>
      <c r="D636" t="inlineStr"/>
      <c r="E636" t="inlineStr"/>
      <c r="F636" t="inlineStr"/>
      <c r="G636" t="inlineStr"/>
      <c r="H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row>
    <row r="644">
      <c r="A644" t="inlineStr">
        <is>
          <t>No</t>
        </is>
      </c>
      <c r="B644" t="inlineStr"/>
      <c r="C644" t="inlineStr"/>
      <c r="D644" t="inlineStr"/>
      <c r="E644" t="inlineStr"/>
      <c r="F644" t="inlineStr"/>
      <c r="G644" t="inlineStr"/>
      <c r="H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row>
    <row r="648">
      <c r="A648" t="inlineStr">
        <is>
          <t>No</t>
        </is>
      </c>
      <c r="B648" t="inlineStr"/>
      <c r="C648" t="inlineStr"/>
      <c r="D648" t="inlineStr"/>
      <c r="E648" t="inlineStr"/>
      <c r="F648" t="inlineStr"/>
      <c r="G648" t="inlineStr"/>
      <c r="H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row>
    <row r="654">
      <c r="A654" t="inlineStr">
        <is>
          <t>No</t>
        </is>
      </c>
      <c r="B654" t="inlineStr"/>
      <c r="C654" t="inlineStr"/>
      <c r="D654" t="inlineStr"/>
      <c r="E654" t="inlineStr">
        <is>
          <t>Time</t>
        </is>
      </c>
      <c r="F654" t="inlineStr">
        <is>
          <t>Work Schedule / Time Off</t>
        </is>
      </c>
      <c r="G654" t="inlineStr">
        <is>
          <t>Work Schedule / Time Off</t>
        </is>
      </c>
      <c r="H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row>
    <row r="658">
      <c r="A658" t="inlineStr">
        <is>
          <t>No</t>
        </is>
      </c>
      <c r="B658" t="inlineStr"/>
      <c r="C658" t="inlineStr"/>
      <c r="D658" t="inlineStr"/>
      <c r="E658" t="inlineStr">
        <is>
          <t>Work</t>
        </is>
      </c>
      <c r="F658" t="inlineStr">
        <is>
          <t>Work Schedule / Time Off</t>
        </is>
      </c>
      <c r="G658" t="inlineStr">
        <is>
          <t>Work Schedule / Time Off</t>
        </is>
      </c>
      <c r="H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row>
    <row r="664">
      <c r="A664" t="inlineStr">
        <is>
          <t>No</t>
        </is>
      </c>
      <c r="B664" t="inlineStr"/>
      <c r="C664" t="inlineStr"/>
      <c r="D664" t="inlineStr"/>
      <c r="E664" t="inlineStr">
        <is>
          <t>My Job</t>
        </is>
      </c>
      <c r="F664" t="inlineStr">
        <is>
          <t>Work Schedule / Time Off</t>
        </is>
      </c>
      <c r="G664" t="inlineStr">
        <is>
          <t>Work Schedule / Time Off</t>
        </is>
      </c>
      <c r="H664" t="inlineStr"/>
    </row>
    <row r="665">
      <c r="A665" t="inlineStr">
        <is>
          <t>No</t>
        </is>
      </c>
      <c r="B665" t="inlineStr"/>
      <c r="C665" t="inlineStr"/>
      <c r="D665" t="inlineStr"/>
      <c r="E665" t="inlineStr">
        <is>
          <t>Cost</t>
        </is>
      </c>
      <c r="F665" t="inlineStr">
        <is>
          <t>Cost / Finances</t>
        </is>
      </c>
      <c r="G665" t="inlineStr">
        <is>
          <t>Cost / Finances</t>
        </is>
      </c>
      <c r="H665" t="inlineStr"/>
    </row>
    <row r="666">
      <c r="A666" t="inlineStr">
        <is>
          <t>Maybe</t>
        </is>
      </c>
      <c r="B666" t="inlineStr"/>
      <c r="C666" t="inlineStr"/>
      <c r="D666" t="inlineStr"/>
      <c r="E666" t="inlineStr"/>
      <c r="F666" t="inlineStr"/>
      <c r="G666" t="inlineStr"/>
      <c r="H666" t="inlineStr">
        <is>
          <t>Care for my children I leave at home. :)</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row>
    <row r="668">
      <c r="A668" t="inlineStr">
        <is>
          <t>No</t>
        </is>
      </c>
      <c r="B668" t="inlineStr"/>
      <c r="C668" t="inlineStr"/>
      <c r="D668" t="inlineStr"/>
      <c r="E668" t="inlineStr">
        <is>
          <t>seeing friends go</t>
        </is>
      </c>
      <c r="F668" t="inlineStr">
        <is>
          <t>Other / Uncategorized</t>
        </is>
      </c>
      <c r="G668" t="inlineStr"/>
      <c r="H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row>
    <row r="670">
      <c r="A670" t="inlineStr">
        <is>
          <t>Maybe</t>
        </is>
      </c>
      <c r="B670" t="inlineStr"/>
      <c r="C670" t="inlineStr"/>
      <c r="D670" t="inlineStr"/>
      <c r="E670" t="inlineStr"/>
      <c r="F670" t="inlineStr"/>
      <c r="G670" t="inlineStr"/>
      <c r="H670" t="inlineStr">
        <is>
          <t>Knowing the dates you need help so I can get work off</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Family Member Asked or Influenced Them to Go</t>
        </is>
      </c>
      <c r="E672" t="inlineStr"/>
      <c r="F672" t="inlineStr"/>
      <c r="G672" t="inlineStr"/>
      <c r="H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row>
    <row r="674">
      <c r="A674" t="inlineStr">
        <is>
          <t>Maybe</t>
        </is>
      </c>
      <c r="B674" t="inlineStr"/>
      <c r="C674" t="inlineStr"/>
      <c r="D674" t="inlineStr"/>
      <c r="E674" t="inlineStr"/>
      <c r="F674" t="inlineStr"/>
      <c r="G674" t="inlineStr"/>
      <c r="H674" t="inlineStr">
        <is>
          <t>Cost</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row>
    <row r="677">
      <c r="A677" t="inlineStr">
        <is>
          <t>No</t>
        </is>
      </c>
      <c r="B677" t="inlineStr"/>
      <c r="C677" t="inlineStr"/>
      <c r="D677" t="inlineStr"/>
      <c r="E677" t="inlineStr">
        <is>
          <t>Money!</t>
        </is>
      </c>
      <c r="F677" t="inlineStr">
        <is>
          <t>Cost / Finances</t>
        </is>
      </c>
      <c r="G677" t="inlineStr">
        <is>
          <t>Cost / Finances</t>
        </is>
      </c>
      <c r="H677" t="inlineStr"/>
    </row>
    <row r="678">
      <c r="A678" t="inlineStr">
        <is>
          <t>No</t>
        </is>
      </c>
      <c r="B678" t="inlineStr"/>
      <c r="C678" t="inlineStr"/>
      <c r="D678" t="inlineStr"/>
      <c r="E678" t="inlineStr">
        <is>
          <t>Cost</t>
        </is>
      </c>
      <c r="F678" t="inlineStr">
        <is>
          <t>Cost / Finances</t>
        </is>
      </c>
      <c r="G678" t="inlineStr">
        <is>
          <t>Cost / Finances</t>
        </is>
      </c>
      <c r="H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row>
    <row r="680">
      <c r="A680" t="inlineStr">
        <is>
          <t>No</t>
        </is>
      </c>
      <c r="B680" t="inlineStr"/>
      <c r="C680" t="inlineStr"/>
      <c r="D680" t="inlineStr"/>
      <c r="E680" t="inlineStr">
        <is>
          <t>Work</t>
        </is>
      </c>
      <c r="F680" t="inlineStr">
        <is>
          <t>Work Schedule / Time Off</t>
        </is>
      </c>
      <c r="G680" t="inlineStr">
        <is>
          <t>Work Schedule / Time Off</t>
        </is>
      </c>
      <c r="H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row>
    <row r="686">
      <c r="A686" t="inlineStr">
        <is>
          <t>Maybe</t>
        </is>
      </c>
      <c r="B686" t="inlineStr"/>
      <c r="C686" t="inlineStr"/>
      <c r="D686" t="inlineStr"/>
      <c r="E686" t="inlineStr"/>
      <c r="F686" t="inlineStr"/>
      <c r="G686" t="inlineStr"/>
      <c r="H686" t="inlineStr">
        <is>
          <t>Funds and next child's desire to go</t>
        </is>
      </c>
    </row>
    <row r="687">
      <c r="A687" t="inlineStr">
        <is>
          <t>No</t>
        </is>
      </c>
      <c r="B687" t="inlineStr"/>
      <c r="C687" t="inlineStr"/>
      <c r="D687" t="inlineStr"/>
      <c r="E687" t="inlineStr">
        <is>
          <t>Funds</t>
        </is>
      </c>
      <c r="F687" t="inlineStr">
        <is>
          <t>Cost / Finances</t>
        </is>
      </c>
      <c r="G687" t="inlineStr">
        <is>
          <t>Cost / Finances</t>
        </is>
      </c>
      <c r="H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row>
    <row r="694">
      <c r="A694" t="inlineStr">
        <is>
          <t>No</t>
        </is>
      </c>
      <c r="B694" t="inlineStr"/>
      <c r="C694" t="inlineStr"/>
      <c r="D694" t="inlineStr"/>
      <c r="E694" t="inlineStr">
        <is>
          <t>Time</t>
        </is>
      </c>
      <c r="F694" t="inlineStr">
        <is>
          <t>Work Schedule / Time Off</t>
        </is>
      </c>
      <c r="G694" t="inlineStr">
        <is>
          <t>Work Schedule / Time Off</t>
        </is>
      </c>
      <c r="H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row>
    <row r="702">
      <c r="A702" t="inlineStr">
        <is>
          <t>No</t>
        </is>
      </c>
      <c r="B702" t="inlineStr"/>
      <c r="C702" t="inlineStr"/>
      <c r="D702" t="inlineStr"/>
      <c r="E702" t="inlineStr">
        <is>
          <t>cost</t>
        </is>
      </c>
      <c r="F702" t="inlineStr">
        <is>
          <t>Cost / Finances</t>
        </is>
      </c>
      <c r="G702" t="inlineStr">
        <is>
          <t>Cost / Finances</t>
        </is>
      </c>
      <c r="H702" t="inlineStr"/>
    </row>
    <row r="703">
      <c r="A703" t="inlineStr">
        <is>
          <t>No</t>
        </is>
      </c>
      <c r="B703" t="inlineStr"/>
      <c r="C703" t="inlineStr"/>
      <c r="D703" t="inlineStr"/>
      <c r="E703" t="inlineStr">
        <is>
          <t>Money</t>
        </is>
      </c>
      <c r="F703" t="inlineStr">
        <is>
          <t>Cost / Finances</t>
        </is>
      </c>
      <c r="G703" t="inlineStr">
        <is>
          <t>Cost / Finances</t>
        </is>
      </c>
      <c r="H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row>
    <row r="709">
      <c r="A709" t="inlineStr">
        <is>
          <t>No</t>
        </is>
      </c>
      <c r="B709" t="inlineStr"/>
      <c r="C709" t="inlineStr"/>
      <c r="D709" t="inlineStr"/>
      <c r="E709" t="inlineStr">
        <is>
          <t>The cost.</t>
        </is>
      </c>
      <c r="F709" t="inlineStr">
        <is>
          <t>Cost / Finances</t>
        </is>
      </c>
      <c r="G709" t="inlineStr">
        <is>
          <t>Cost / Finances</t>
        </is>
      </c>
      <c r="H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row>
    <row r="721">
      <c r="A721" t="inlineStr">
        <is>
          <t>No</t>
        </is>
      </c>
      <c r="B721" t="inlineStr"/>
      <c r="C721" t="inlineStr"/>
      <c r="D721" t="inlineStr"/>
      <c r="E721" t="inlineStr"/>
      <c r="F721" t="inlineStr"/>
      <c r="G721" t="inlineStr"/>
      <c r="H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row>
    <row r="724">
      <c r="A724" t="inlineStr">
        <is>
          <t>No</t>
        </is>
      </c>
      <c r="B724" t="inlineStr"/>
      <c r="C724" t="inlineStr"/>
      <c r="D724" t="inlineStr"/>
      <c r="E724" t="inlineStr">
        <is>
          <t>Finances</t>
        </is>
      </c>
      <c r="F724" t="inlineStr">
        <is>
          <t>Cost / Finances</t>
        </is>
      </c>
      <c r="G724" t="inlineStr">
        <is>
          <t>Cost / Finances</t>
        </is>
      </c>
      <c r="H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row>
    <row r="729">
      <c r="A729" t="inlineStr">
        <is>
          <t>No</t>
        </is>
      </c>
      <c r="B729" t="inlineStr"/>
      <c r="C729" t="inlineStr"/>
      <c r="D729" t="inlineStr"/>
      <c r="E729" t="inlineStr">
        <is>
          <t>Price</t>
        </is>
      </c>
      <c r="F729" t="inlineStr">
        <is>
          <t>Cost / Finances</t>
        </is>
      </c>
      <c r="G729" t="inlineStr">
        <is>
          <t>Cost / Finances</t>
        </is>
      </c>
      <c r="H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row>
    <row r="738">
      <c r="A738" t="inlineStr">
        <is>
          <t>No</t>
        </is>
      </c>
      <c r="B738" t="inlineStr"/>
      <c r="C738" t="inlineStr"/>
      <c r="D738" t="inlineStr"/>
      <c r="E738" t="inlineStr">
        <is>
          <t>Work</t>
        </is>
      </c>
      <c r="F738" t="inlineStr">
        <is>
          <t>Work Schedule / Time Off</t>
        </is>
      </c>
      <c r="G738" t="inlineStr">
        <is>
          <t>Work Schedule / Time Off</t>
        </is>
      </c>
      <c r="H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row>
    <row r="744">
      <c r="A744" t="inlineStr">
        <is>
          <t>Yes</t>
        </is>
      </c>
      <c r="B744" t="inlineStr">
        <is>
          <t>My daughter asked me to accompany her on her first international trip.</t>
        </is>
      </c>
      <c r="C744" t="inlineStr">
        <is>
          <t>Family Member Asked or Influenced Them to Go</t>
        </is>
      </c>
      <c r="D744" t="inlineStr">
        <is>
          <t>Family Member Asked or Influenced Them to Go</t>
        </is>
      </c>
      <c r="E744" t="inlineStr"/>
      <c r="F744" t="inlineStr"/>
      <c r="G744" t="inlineStr"/>
      <c r="H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row>
    <row r="747">
      <c r="A747" t="inlineStr">
        <is>
          <t>No</t>
        </is>
      </c>
      <c r="B747" t="inlineStr"/>
      <c r="C747" t="inlineStr"/>
      <c r="D747" t="inlineStr"/>
      <c r="E747" t="inlineStr"/>
      <c r="F747" t="inlineStr"/>
      <c r="G747" t="inlineStr"/>
      <c r="H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row>
    <row r="751">
      <c r="A751" t="inlineStr">
        <is>
          <t>No</t>
        </is>
      </c>
      <c r="B751" t="inlineStr"/>
      <c r="C751" t="inlineStr"/>
      <c r="D751" t="inlineStr"/>
      <c r="E751" t="inlineStr">
        <is>
          <t>Money</t>
        </is>
      </c>
      <c r="F751" t="inlineStr">
        <is>
          <t>Cost / Finances</t>
        </is>
      </c>
      <c r="G751" t="inlineStr">
        <is>
          <t>Cost / Finances</t>
        </is>
      </c>
      <c r="H751" t="inlineStr"/>
    </row>
    <row r="752">
      <c r="A752" t="inlineStr">
        <is>
          <t>No</t>
        </is>
      </c>
      <c r="B752" t="inlineStr"/>
      <c r="C752" t="inlineStr"/>
      <c r="D752" t="inlineStr"/>
      <c r="E752" t="inlineStr"/>
      <c r="F752" t="inlineStr"/>
      <c r="G752" t="inlineStr"/>
      <c r="H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row>
    <row r="755">
      <c r="A755" t="inlineStr">
        <is>
          <t>Maybe</t>
        </is>
      </c>
      <c r="B755" t="inlineStr"/>
      <c r="C755" t="inlineStr"/>
      <c r="D755" t="inlineStr"/>
      <c r="E755" t="inlineStr"/>
      <c r="F755" t="inlineStr"/>
      <c r="G755" t="inlineStr"/>
      <c r="H755" t="inlineStr">
        <is>
          <t>Cost timing</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row>
    <row r="757">
      <c r="A757" t="inlineStr">
        <is>
          <t>No</t>
        </is>
      </c>
      <c r="B757" t="inlineStr"/>
      <c r="C757" t="inlineStr"/>
      <c r="D757" t="inlineStr"/>
      <c r="E757" t="inlineStr"/>
      <c r="F757" t="inlineStr"/>
      <c r="G757" t="inlineStr"/>
      <c r="H757" t="inlineStr"/>
    </row>
    <row r="758">
      <c r="A758" t="inlineStr">
        <is>
          <t>No</t>
        </is>
      </c>
      <c r="B758" t="inlineStr"/>
      <c r="C758" t="inlineStr"/>
      <c r="D758" t="inlineStr"/>
      <c r="E758" t="inlineStr">
        <is>
          <t>Work</t>
        </is>
      </c>
      <c r="F758" t="inlineStr">
        <is>
          <t>Work Schedule / Time Off</t>
        </is>
      </c>
      <c r="G758" t="inlineStr">
        <is>
          <t>Work Schedule / Time Off</t>
        </is>
      </c>
      <c r="H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row>
    <row r="762">
      <c r="A762" t="inlineStr">
        <is>
          <t>No</t>
        </is>
      </c>
      <c r="B762" t="inlineStr"/>
      <c r="C762" t="inlineStr"/>
      <c r="D762" t="inlineStr"/>
      <c r="E762" t="inlineStr">
        <is>
          <t>To busy</t>
        </is>
      </c>
      <c r="F762" t="inlineStr">
        <is>
          <t>Work Schedule / Time Off</t>
        </is>
      </c>
      <c r="G762" t="inlineStr">
        <is>
          <t>Work Schedule / Time Off</t>
        </is>
      </c>
      <c r="H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row>
    <row r="767">
      <c r="A767" t="inlineStr">
        <is>
          <t>No</t>
        </is>
      </c>
      <c r="B767" t="inlineStr"/>
      <c r="C767" t="inlineStr"/>
      <c r="D767" t="inlineStr"/>
      <c r="E767" t="inlineStr"/>
      <c r="F767" t="inlineStr"/>
      <c r="G767" t="inlineStr"/>
      <c r="H767" t="inlineStr"/>
    </row>
    <row r="768">
      <c r="A768" t="inlineStr">
        <is>
          <t>No</t>
        </is>
      </c>
      <c r="B768" t="inlineStr"/>
      <c r="C768" t="inlineStr"/>
      <c r="D768" t="inlineStr"/>
      <c r="E768" t="inlineStr">
        <is>
          <t>The desire to serve</t>
        </is>
      </c>
      <c r="F768" t="inlineStr">
        <is>
          <t>Other / Uncategorized</t>
        </is>
      </c>
      <c r="G768" t="inlineStr"/>
      <c r="H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row>
    <row r="771">
      <c r="A771" t="inlineStr">
        <is>
          <t>No</t>
        </is>
      </c>
      <c r="B771" t="inlineStr"/>
      <c r="C771" t="inlineStr"/>
      <c r="D771" t="inlineStr"/>
      <c r="E771" t="inlineStr">
        <is>
          <t>I might go when my you gear son goes.</t>
        </is>
      </c>
      <c r="F771" t="inlineStr">
        <is>
          <t>Other / Uncategorized</t>
        </is>
      </c>
      <c r="G771" t="inlineStr"/>
      <c r="H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row>
    <row r="775">
      <c r="A775" t="inlineStr">
        <is>
          <t>No</t>
        </is>
      </c>
      <c r="B775" t="inlineStr"/>
      <c r="C775" t="inlineStr"/>
      <c r="D775" t="inlineStr"/>
      <c r="E775" t="inlineStr">
        <is>
          <t>Money</t>
        </is>
      </c>
      <c r="F775" t="inlineStr">
        <is>
          <t>Cost / Finances</t>
        </is>
      </c>
      <c r="G775" t="inlineStr">
        <is>
          <t>Cost / Finances</t>
        </is>
      </c>
      <c r="H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row>
    <row r="782">
      <c r="A782" t="inlineStr">
        <is>
          <t>No</t>
        </is>
      </c>
      <c r="B782" t="inlineStr"/>
      <c r="C782" t="inlineStr"/>
      <c r="D782" t="inlineStr"/>
      <c r="E782" t="inlineStr"/>
      <c r="F782" t="inlineStr"/>
      <c r="G782" t="inlineStr"/>
      <c r="H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row>
    <row r="788">
      <c r="A788" t="inlineStr">
        <is>
          <t>No</t>
        </is>
      </c>
      <c r="B788" t="inlineStr"/>
      <c r="C788" t="inlineStr"/>
      <c r="D788" t="inlineStr"/>
      <c r="E788" t="inlineStr">
        <is>
          <t>Work</t>
        </is>
      </c>
      <c r="F788" t="inlineStr">
        <is>
          <t>Work Schedule / Time Off</t>
        </is>
      </c>
      <c r="G788" t="inlineStr">
        <is>
          <t>Work Schedule / Time Off</t>
        </is>
      </c>
      <c r="H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row>
    <row r="790">
      <c r="A790" t="inlineStr">
        <is>
          <t>No</t>
        </is>
      </c>
      <c r="B790" t="inlineStr"/>
      <c r="C790" t="inlineStr"/>
      <c r="D790" t="inlineStr"/>
      <c r="E790" t="inlineStr">
        <is>
          <t>Didn't get my head in the game soon enough. :)</t>
        </is>
      </c>
      <c r="F790" t="inlineStr">
        <is>
          <t>Other / Uncategorized</t>
        </is>
      </c>
      <c r="G790" t="inlineStr"/>
      <c r="H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row>
    <row r="794">
      <c r="A794" t="inlineStr">
        <is>
          <t>No</t>
        </is>
      </c>
      <c r="B794" t="inlineStr"/>
      <c r="C794" t="inlineStr"/>
      <c r="D794" t="inlineStr"/>
      <c r="E794" t="inlineStr">
        <is>
          <t>Time</t>
        </is>
      </c>
      <c r="F794" t="inlineStr">
        <is>
          <t>Work Schedule / Time Off</t>
        </is>
      </c>
      <c r="G794" t="inlineStr">
        <is>
          <t>Work Schedule / Time Off</t>
        </is>
      </c>
      <c r="H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row>
    <row r="796">
      <c r="A796" t="inlineStr">
        <is>
          <t>No</t>
        </is>
      </c>
      <c r="B796" t="inlineStr"/>
      <c r="C796" t="inlineStr"/>
      <c r="D796" t="inlineStr"/>
      <c r="E796" t="inlineStr"/>
      <c r="F796" t="inlineStr"/>
      <c r="G796" t="inlineStr"/>
      <c r="H796" t="inlineStr"/>
    </row>
    <row r="797">
      <c r="A797" t="inlineStr">
        <is>
          <t>Yes</t>
        </is>
      </c>
      <c r="B797" t="inlineStr">
        <is>
          <t>My wife</t>
        </is>
      </c>
      <c r="C797" t="inlineStr">
        <is>
          <t>Family Member Asked or Influenced Them to Go</t>
        </is>
      </c>
      <c r="D797" t="inlineStr">
        <is>
          <t>Family Member Asked or Influenced Them to Go</t>
        </is>
      </c>
      <c r="E797" t="inlineStr"/>
      <c r="F797" t="inlineStr"/>
      <c r="G797" t="inlineStr"/>
      <c r="H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row>
    <row r="805">
      <c r="A805" t="inlineStr">
        <is>
          <t>No</t>
        </is>
      </c>
      <c r="B805" t="inlineStr"/>
      <c r="C805" t="inlineStr"/>
      <c r="D805" t="inlineStr"/>
      <c r="E805" t="inlineStr">
        <is>
          <t>Time</t>
        </is>
      </c>
      <c r="F805" t="inlineStr">
        <is>
          <t>Work Schedule / Time Off</t>
        </is>
      </c>
      <c r="G805" t="inlineStr">
        <is>
          <t>Work Schedule / Time Off</t>
        </is>
      </c>
      <c r="H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row>
    <row r="809">
      <c r="A809" t="inlineStr">
        <is>
          <t>No</t>
        </is>
      </c>
      <c r="B809" t="inlineStr"/>
      <c r="C809" t="inlineStr"/>
      <c r="D809" t="inlineStr"/>
      <c r="E809" t="inlineStr">
        <is>
          <t>work</t>
        </is>
      </c>
      <c r="F809" t="inlineStr">
        <is>
          <t>Work Schedule / Time Off</t>
        </is>
      </c>
      <c r="G809" t="inlineStr">
        <is>
          <t>Work Schedule / Time Off</t>
        </is>
      </c>
      <c r="H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row>
    <row r="812">
      <c r="A812" t="inlineStr">
        <is>
          <t>No</t>
        </is>
      </c>
      <c r="B812" t="inlineStr"/>
      <c r="C812" t="inlineStr"/>
      <c r="D812" t="inlineStr"/>
      <c r="E812" t="inlineStr"/>
      <c r="F812" t="inlineStr"/>
      <c r="G812" t="inlineStr"/>
      <c r="H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row>
    <row r="818">
      <c r="A818" t="inlineStr">
        <is>
          <t>No</t>
        </is>
      </c>
      <c r="B818" t="inlineStr"/>
      <c r="C818" t="inlineStr"/>
      <c r="D818" t="inlineStr"/>
      <c r="E818" t="inlineStr"/>
      <c r="F818" t="inlineStr"/>
      <c r="G818" t="inlineStr"/>
      <c r="H818" t="inlineStr"/>
    </row>
    <row r="819">
      <c r="A819" t="inlineStr">
        <is>
          <t>No</t>
        </is>
      </c>
      <c r="B819" t="inlineStr"/>
      <c r="C819" t="inlineStr"/>
      <c r="D819" t="inlineStr"/>
      <c r="E819" t="inlineStr"/>
      <c r="F819" t="inlineStr"/>
      <c r="G819" t="inlineStr"/>
      <c r="H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row>
    <row r="825">
      <c r="A825" t="inlineStr">
        <is>
          <t>Maybe</t>
        </is>
      </c>
      <c r="B825" t="inlineStr"/>
      <c r="C825" t="inlineStr"/>
      <c r="D825" t="inlineStr"/>
      <c r="E825" t="inlineStr"/>
      <c r="F825" t="inlineStr"/>
      <c r="G825" t="inlineStr"/>
      <c r="H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row>
    <row r="829">
      <c r="A829" t="inlineStr">
        <is>
          <t>Maybe</t>
        </is>
      </c>
      <c r="B829" t="inlineStr"/>
      <c r="C829" t="inlineStr"/>
      <c r="D829" t="inlineStr"/>
      <c r="E829" t="inlineStr"/>
      <c r="F829" t="inlineStr"/>
      <c r="G829" t="inlineStr"/>
      <c r="H829" t="inlineStr">
        <is>
          <t>cost</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row>
    <row r="831">
      <c r="A831" t="inlineStr">
        <is>
          <t>No</t>
        </is>
      </c>
      <c r="B831" t="inlineStr"/>
      <c r="C831" t="inlineStr"/>
      <c r="D831" t="inlineStr"/>
      <c r="E831" t="inlineStr">
        <is>
          <t>Cost</t>
        </is>
      </c>
      <c r="F831" t="inlineStr">
        <is>
          <t>Cost / Finances</t>
        </is>
      </c>
      <c r="G831" t="inlineStr">
        <is>
          <t>Cost / Finances</t>
        </is>
      </c>
      <c r="H831" t="inlineStr"/>
    </row>
    <row r="832">
      <c r="A832" t="inlineStr">
        <is>
          <t>No</t>
        </is>
      </c>
      <c r="B832" t="inlineStr"/>
      <c r="C832" t="inlineStr"/>
      <c r="D832" t="inlineStr"/>
      <c r="E832" t="inlineStr">
        <is>
          <t>💵</t>
        </is>
      </c>
      <c r="F832" t="inlineStr">
        <is>
          <t>Cost / Finances</t>
        </is>
      </c>
      <c r="G832" t="inlineStr">
        <is>
          <t>Cost / Finances</t>
        </is>
      </c>
      <c r="H832" t="inlineStr"/>
    </row>
    <row r="833">
      <c r="A833" t="inlineStr">
        <is>
          <t>No</t>
        </is>
      </c>
      <c r="B833" t="inlineStr"/>
      <c r="C833" t="inlineStr"/>
      <c r="D833" t="inlineStr"/>
      <c r="E833" t="inlineStr"/>
      <c r="F833" t="inlineStr"/>
      <c r="G833" t="inlineStr"/>
      <c r="H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row>
    <row r="836">
      <c r="A836" t="inlineStr">
        <is>
          <t>No</t>
        </is>
      </c>
      <c r="B836" t="inlineStr"/>
      <c r="C836" t="inlineStr"/>
      <c r="D836" t="inlineStr"/>
      <c r="E836" t="inlineStr">
        <is>
          <t>Cost</t>
        </is>
      </c>
      <c r="F836" t="inlineStr">
        <is>
          <t>Cost / Finances</t>
        </is>
      </c>
      <c r="G836" t="inlineStr">
        <is>
          <t>Cost / Finances</t>
        </is>
      </c>
      <c r="H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row>
    <row r="840">
      <c r="A840" t="inlineStr">
        <is>
          <t>No</t>
        </is>
      </c>
      <c r="B840" t="inlineStr"/>
      <c r="C840" t="inlineStr"/>
      <c r="D840" t="inlineStr"/>
      <c r="E840" t="inlineStr">
        <is>
          <t>Work</t>
        </is>
      </c>
      <c r="F840" t="inlineStr">
        <is>
          <t>Work Schedule / Time Off</t>
        </is>
      </c>
      <c r="G840" t="inlineStr">
        <is>
          <t>Work Schedule / Time Off</t>
        </is>
      </c>
      <c r="H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row>
    <row r="844">
      <c r="A844" t="inlineStr">
        <is>
          <t>Yes</t>
        </is>
      </c>
      <c r="B844" t="inlineStr">
        <is>
          <t>Daughter</t>
        </is>
      </c>
      <c r="C844" t="inlineStr">
        <is>
          <t>Family Member Asked or Influenced Them to Go</t>
        </is>
      </c>
      <c r="D844" t="inlineStr">
        <is>
          <t>Family Member Asked or Influenced Them to Go</t>
        </is>
      </c>
      <c r="E844" t="inlineStr"/>
      <c r="F844" t="inlineStr"/>
      <c r="G844" t="inlineStr"/>
      <c r="H844" t="inlineStr"/>
    </row>
    <row r="845">
      <c r="A845" t="inlineStr">
        <is>
          <t>Yes</t>
        </is>
      </c>
      <c r="B845" t="inlineStr">
        <is>
          <t>My daughter</t>
        </is>
      </c>
      <c r="C845" t="inlineStr">
        <is>
          <t>Family Member Asked or Influenced Them to Go</t>
        </is>
      </c>
      <c r="D845" t="inlineStr">
        <is>
          <t>Family Member Asked or Influenced Them to Go</t>
        </is>
      </c>
      <c r="E845" t="inlineStr"/>
      <c r="F845" t="inlineStr"/>
      <c r="G845" t="inlineStr"/>
      <c r="H845" t="inlineStr"/>
    </row>
    <row r="846">
      <c r="A846" t="inlineStr">
        <is>
          <t>No</t>
        </is>
      </c>
      <c r="B846" t="inlineStr"/>
      <c r="C846" t="inlineStr"/>
      <c r="D846" t="inlineStr"/>
      <c r="E846" t="inlineStr"/>
      <c r="F846" t="inlineStr"/>
      <c r="G846" t="inlineStr"/>
      <c r="H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row>
    <row r="848">
      <c r="A848" t="inlineStr">
        <is>
          <t>No</t>
        </is>
      </c>
      <c r="B848" t="inlineStr"/>
      <c r="C848" t="inlineStr"/>
      <c r="D848" t="inlineStr"/>
      <c r="E848" t="inlineStr"/>
      <c r="F848" t="inlineStr"/>
      <c r="G848" t="inlineStr"/>
      <c r="H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row>
    <row r="854">
      <c r="A854" t="inlineStr">
        <is>
          <t>No</t>
        </is>
      </c>
      <c r="B854" t="inlineStr"/>
      <c r="C854" t="inlineStr"/>
      <c r="D854" t="inlineStr"/>
      <c r="E854" t="inlineStr"/>
      <c r="F854" t="inlineStr"/>
      <c r="G854" t="inlineStr"/>
      <c r="H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row>
    <row r="857">
      <c r="A857" t="inlineStr">
        <is>
          <t>No</t>
        </is>
      </c>
      <c r="B857" t="inlineStr"/>
      <c r="C857" t="inlineStr"/>
      <c r="D857" t="inlineStr"/>
      <c r="E857" t="inlineStr">
        <is>
          <t>Already went, it was awesome</t>
        </is>
      </c>
      <c r="F857" t="inlineStr">
        <is>
          <t>Other / Uncategorized</t>
        </is>
      </c>
      <c r="G857" t="inlineStr"/>
      <c r="H857" t="inlineStr"/>
    </row>
    <row r="858">
      <c r="A858" t="inlineStr">
        <is>
          <t>Maybe</t>
        </is>
      </c>
      <c r="B858" t="inlineStr"/>
      <c r="C858" t="inlineStr"/>
      <c r="D858" t="inlineStr"/>
      <c r="E858" t="inlineStr"/>
      <c r="F858" t="inlineStr"/>
      <c r="G858" t="inlineStr"/>
      <c r="H858" t="inlineStr">
        <is>
          <t>Less expensive.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row>
    <row r="866">
      <c r="A866" t="inlineStr">
        <is>
          <t>Maybe</t>
        </is>
      </c>
      <c r="B866" t="inlineStr"/>
      <c r="C866" t="inlineStr"/>
      <c r="D866" t="inlineStr"/>
      <c r="E866" t="inlineStr"/>
      <c r="F866" t="inlineStr"/>
      <c r="G866" t="inlineStr"/>
      <c r="H866" t="inlineStr"/>
    </row>
    <row r="867">
      <c r="A867" t="inlineStr">
        <is>
          <t>No</t>
        </is>
      </c>
      <c r="B867" t="inlineStr"/>
      <c r="C867" t="inlineStr"/>
      <c r="D867" t="inlineStr"/>
      <c r="E867" t="inlineStr">
        <is>
          <t>Money</t>
        </is>
      </c>
      <c r="F867" t="inlineStr">
        <is>
          <t>Cost / Finances</t>
        </is>
      </c>
      <c r="G867" t="inlineStr">
        <is>
          <t>Cost / Finances</t>
        </is>
      </c>
      <c r="H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row>
    <row r="870">
      <c r="A870" t="inlineStr">
        <is>
          <t>No</t>
        </is>
      </c>
      <c r="B870" t="inlineStr"/>
      <c r="C870" t="inlineStr"/>
      <c r="D870" t="inlineStr"/>
      <c r="E870" t="inlineStr">
        <is>
          <t>Cost</t>
        </is>
      </c>
      <c r="F870" t="inlineStr">
        <is>
          <t>Cost / Finances</t>
        </is>
      </c>
      <c r="G870" t="inlineStr">
        <is>
          <t>Cost / Finances</t>
        </is>
      </c>
      <c r="H870" t="inlineStr"/>
    </row>
    <row r="871">
      <c r="A871" t="inlineStr">
        <is>
          <t>No</t>
        </is>
      </c>
      <c r="B871" t="inlineStr"/>
      <c r="C871" t="inlineStr"/>
      <c r="D871" t="inlineStr"/>
      <c r="E871" t="inlineStr">
        <is>
          <t>Work</t>
        </is>
      </c>
      <c r="F871" t="inlineStr">
        <is>
          <t>Work Schedule / Time Off</t>
        </is>
      </c>
      <c r="G871" t="inlineStr">
        <is>
          <t>Work Schedule / Time Off</t>
        </is>
      </c>
      <c r="H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row>
    <row r="874">
      <c r="A874" t="inlineStr">
        <is>
          <t>No</t>
        </is>
      </c>
      <c r="B874" t="inlineStr"/>
      <c r="C874" t="inlineStr"/>
      <c r="D874" t="inlineStr"/>
      <c r="E874" t="inlineStr">
        <is>
          <t>Work</t>
        </is>
      </c>
      <c r="F874" t="inlineStr">
        <is>
          <t>Work Schedule / Time Off</t>
        </is>
      </c>
      <c r="G874" t="inlineStr">
        <is>
          <t>Work Schedule / Time Off</t>
        </is>
      </c>
      <c r="H874" t="inlineStr"/>
    </row>
    <row r="875">
      <c r="A875" t="inlineStr">
        <is>
          <t>Yes</t>
        </is>
      </c>
      <c r="B875" t="inlineStr">
        <is>
          <t>My daughter invited me</t>
        </is>
      </c>
      <c r="C875" t="inlineStr">
        <is>
          <t>Family Member Asked or Influenced Them to Go</t>
        </is>
      </c>
      <c r="D875" t="inlineStr">
        <is>
          <t>Family Member Asked or Influenced Them to Go</t>
        </is>
      </c>
      <c r="E875" t="inlineStr"/>
      <c r="F875" t="inlineStr"/>
      <c r="G875" t="inlineStr"/>
      <c r="H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row>
    <row r="877">
      <c r="A877" t="inlineStr">
        <is>
          <t>No</t>
        </is>
      </c>
      <c r="B877" t="inlineStr"/>
      <c r="C877" t="inlineStr"/>
      <c r="D877" t="inlineStr"/>
      <c r="E877" t="inlineStr">
        <is>
          <t>Money</t>
        </is>
      </c>
      <c r="F877" t="inlineStr">
        <is>
          <t>Cost / Finances</t>
        </is>
      </c>
      <c r="G877" t="inlineStr">
        <is>
          <t>Cost / Finances</t>
        </is>
      </c>
      <c r="H877" t="inlineStr"/>
    </row>
    <row r="878">
      <c r="A878" t="inlineStr">
        <is>
          <t>No</t>
        </is>
      </c>
      <c r="B878" t="inlineStr"/>
      <c r="C878" t="inlineStr"/>
      <c r="D878" t="inlineStr"/>
      <c r="E878" t="inlineStr">
        <is>
          <t>Money</t>
        </is>
      </c>
      <c r="F878" t="inlineStr">
        <is>
          <t>Cost / Finances</t>
        </is>
      </c>
      <c r="G878" t="inlineStr">
        <is>
          <t>Cost / Finances</t>
        </is>
      </c>
      <c r="H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row>
    <row r="881">
      <c r="A881" t="inlineStr">
        <is>
          <t>No</t>
        </is>
      </c>
      <c r="B881" t="inlineStr"/>
      <c r="C881" t="inlineStr"/>
      <c r="D881" t="inlineStr"/>
      <c r="E881" t="inlineStr"/>
      <c r="F881" t="inlineStr"/>
      <c r="G881" t="inlineStr"/>
      <c r="H881" t="inlineStr"/>
    </row>
    <row r="882">
      <c r="A882" t="inlineStr">
        <is>
          <t>No</t>
        </is>
      </c>
      <c r="B882" t="inlineStr"/>
      <c r="C882" t="inlineStr"/>
      <c r="D882" t="inlineStr"/>
      <c r="E882" t="inlineStr">
        <is>
          <t>Cost</t>
        </is>
      </c>
      <c r="F882" t="inlineStr">
        <is>
          <t>Cost / Finances</t>
        </is>
      </c>
      <c r="G882" t="inlineStr">
        <is>
          <t>Cost / Finances</t>
        </is>
      </c>
      <c r="H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row>
    <row r="887">
      <c r="A887" t="inlineStr">
        <is>
          <t>No</t>
        </is>
      </c>
      <c r="B887" t="inlineStr"/>
      <c r="C887" t="inlineStr"/>
      <c r="D887" t="inlineStr"/>
      <c r="E887" t="inlineStr">
        <is>
          <t>Expense</t>
        </is>
      </c>
      <c r="F887" t="inlineStr">
        <is>
          <t>Cost / Finances</t>
        </is>
      </c>
      <c r="G887" t="inlineStr">
        <is>
          <t>Cost / Finances</t>
        </is>
      </c>
      <c r="H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row>
    <row r="893">
      <c r="A893" t="inlineStr">
        <is>
          <t>No</t>
        </is>
      </c>
      <c r="B893" t="inlineStr"/>
      <c r="C893" t="inlineStr"/>
      <c r="D893" t="inlineStr"/>
      <c r="E893" t="inlineStr"/>
      <c r="F893" t="inlineStr"/>
      <c r="G893" t="inlineStr"/>
      <c r="H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row>
    <row r="900">
      <c r="A900" t="inlineStr">
        <is>
          <t>No</t>
        </is>
      </c>
      <c r="B900" t="inlineStr"/>
      <c r="C900" t="inlineStr"/>
      <c r="D900" t="inlineStr"/>
      <c r="E900" t="inlineStr">
        <is>
          <t>Money</t>
        </is>
      </c>
      <c r="F900" t="inlineStr">
        <is>
          <t>Cost / Finances</t>
        </is>
      </c>
      <c r="G900" t="inlineStr">
        <is>
          <t>Cost / Finances</t>
        </is>
      </c>
      <c r="H900" t="inlineStr"/>
    </row>
    <row r="901">
      <c r="A901" t="inlineStr">
        <is>
          <t>Yes</t>
        </is>
      </c>
      <c r="B901" t="inlineStr">
        <is>
          <t>My daughter asked for me to come and this will be the last summer before she graduates from HS.</t>
        </is>
      </c>
      <c r="C901" t="inlineStr">
        <is>
          <t>Family Member Asked or Influenced Them to Go</t>
        </is>
      </c>
      <c r="D901" t="inlineStr">
        <is>
          <t>Family Member Asked or Influenced Them to Go</t>
        </is>
      </c>
      <c r="E901" t="inlineStr"/>
      <c r="F901" t="inlineStr"/>
      <c r="G901" t="inlineStr"/>
      <c r="H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row>
    <row r="909">
      <c r="A909" t="inlineStr">
        <is>
          <t>Yes</t>
        </is>
      </c>
      <c r="B909" t="inlineStr">
        <is>
          <t>My daughter and wife</t>
        </is>
      </c>
      <c r="C909" t="inlineStr">
        <is>
          <t>Family Member Asked or Influenced Them to Go</t>
        </is>
      </c>
      <c r="D909" t="inlineStr">
        <is>
          <t>Family Member Asked or Influenced Them to Go</t>
        </is>
      </c>
      <c r="E909" t="inlineStr"/>
      <c r="F909" t="inlineStr"/>
      <c r="G909" t="inlineStr"/>
      <c r="H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row>
    <row r="915">
      <c r="A915" t="inlineStr">
        <is>
          <t>No</t>
        </is>
      </c>
      <c r="B915" t="inlineStr"/>
      <c r="C915" t="inlineStr"/>
      <c r="D915" t="inlineStr"/>
      <c r="E915" t="inlineStr"/>
      <c r="F915" t="inlineStr"/>
      <c r="G915" t="inlineStr"/>
      <c r="H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row>
    <row r="919">
      <c r="A919" t="inlineStr">
        <is>
          <t>No</t>
        </is>
      </c>
      <c r="B919" t="inlineStr"/>
      <c r="C919" t="inlineStr"/>
      <c r="D919" t="inlineStr"/>
      <c r="E919" t="inlineStr">
        <is>
          <t>Work</t>
        </is>
      </c>
      <c r="F919" t="inlineStr">
        <is>
          <t>Work Schedule / Time Off</t>
        </is>
      </c>
      <c r="G919" t="inlineStr">
        <is>
          <t>Work Schedule / Time Off</t>
        </is>
      </c>
      <c r="H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row>
    <row r="924">
      <c r="A924" t="inlineStr">
        <is>
          <t>No</t>
        </is>
      </c>
      <c r="B924" t="inlineStr"/>
      <c r="C924" t="inlineStr"/>
      <c r="D924" t="inlineStr"/>
      <c r="E924" t="inlineStr">
        <is>
          <t>Cost</t>
        </is>
      </c>
      <c r="F924" t="inlineStr">
        <is>
          <t>Cost / Finances</t>
        </is>
      </c>
      <c r="G924" t="inlineStr">
        <is>
          <t>Cost / Finances</t>
        </is>
      </c>
      <c r="H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row>
    <row r="933">
      <c r="A933" t="inlineStr">
        <is>
          <t>No</t>
        </is>
      </c>
      <c r="B933" t="inlineStr"/>
      <c r="C933" t="inlineStr"/>
      <c r="D933" t="inlineStr"/>
      <c r="E933" t="inlineStr"/>
      <c r="F933" t="inlineStr"/>
      <c r="G933" t="inlineStr"/>
      <c r="H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row>
    <row r="937">
      <c r="A937" t="inlineStr">
        <is>
          <t>No</t>
        </is>
      </c>
      <c r="B937" t="inlineStr"/>
      <c r="C937" t="inlineStr"/>
      <c r="D937" t="inlineStr"/>
      <c r="E937" t="inlineStr">
        <is>
          <t>money</t>
        </is>
      </c>
      <c r="F937" t="inlineStr">
        <is>
          <t>Cost / Finances</t>
        </is>
      </c>
      <c r="G937" t="inlineStr">
        <is>
          <t>Cost / Finances</t>
        </is>
      </c>
      <c r="H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row>
    <row r="940">
      <c r="A940" t="inlineStr">
        <is>
          <t>Yes</t>
        </is>
      </c>
      <c r="B940" t="inlineStr">
        <is>
          <t>My daughter asked me to go with her :)</t>
        </is>
      </c>
      <c r="C940" t="inlineStr">
        <is>
          <t>Family Member Asked or Influenced Them to Go</t>
        </is>
      </c>
      <c r="D940" t="inlineStr">
        <is>
          <t>Family Member Asked or Influenced Them to Go</t>
        </is>
      </c>
      <c r="E940" t="inlineStr"/>
      <c r="F940" t="inlineStr"/>
      <c r="G940" t="inlineStr"/>
      <c r="H940" t="inlineStr"/>
    </row>
    <row r="941">
      <c r="A941" t="inlineStr">
        <is>
          <t>No</t>
        </is>
      </c>
      <c r="B941" t="inlineStr"/>
      <c r="C941" t="inlineStr"/>
      <c r="D941" t="inlineStr"/>
      <c r="E941" t="inlineStr"/>
      <c r="F941" t="inlineStr"/>
      <c r="G941" t="inlineStr"/>
      <c r="H941" t="inlineStr"/>
    </row>
    <row r="942">
      <c r="A942" t="inlineStr">
        <is>
          <t>No</t>
        </is>
      </c>
      <c r="B942" t="inlineStr"/>
      <c r="C942" t="inlineStr"/>
      <c r="D942" t="inlineStr"/>
      <c r="E942" t="inlineStr">
        <is>
          <t>Cost</t>
        </is>
      </c>
      <c r="F942" t="inlineStr">
        <is>
          <t>Cost / Finances</t>
        </is>
      </c>
      <c r="G942" t="inlineStr">
        <is>
          <t>Cost / Finances</t>
        </is>
      </c>
      <c r="H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row>
    <row r="945">
      <c r="A945" t="inlineStr">
        <is>
          <t>No</t>
        </is>
      </c>
      <c r="B945" t="inlineStr"/>
      <c r="C945" t="inlineStr"/>
      <c r="D945" t="inlineStr"/>
      <c r="E945" t="inlineStr">
        <is>
          <t>Money</t>
        </is>
      </c>
      <c r="F945" t="inlineStr">
        <is>
          <t>Cost / Finances</t>
        </is>
      </c>
      <c r="G945" t="inlineStr">
        <is>
          <t>Cost / Finances</t>
        </is>
      </c>
      <c r="H945" t="inlineStr"/>
    </row>
    <row r="946">
      <c r="A946" t="inlineStr">
        <is>
          <t>No</t>
        </is>
      </c>
      <c r="B946" t="inlineStr"/>
      <c r="C946" t="inlineStr"/>
      <c r="D946" t="inlineStr"/>
      <c r="E946" t="inlineStr">
        <is>
          <t>Work</t>
        </is>
      </c>
      <c r="F946" t="inlineStr">
        <is>
          <t>Work Schedule / Time Off</t>
        </is>
      </c>
      <c r="G946" t="inlineStr">
        <is>
          <t>Work Schedule / Time Off</t>
        </is>
      </c>
      <c r="H946" t="inlineStr"/>
    </row>
    <row r="947">
      <c r="A947" t="inlineStr">
        <is>
          <t>No</t>
        </is>
      </c>
      <c r="B947" t="inlineStr"/>
      <c r="C947" t="inlineStr"/>
      <c r="D947" t="inlineStr"/>
      <c r="E947" t="inlineStr">
        <is>
          <t>Timing</t>
        </is>
      </c>
      <c r="F947" t="inlineStr">
        <is>
          <t>Work Schedule / Time Off</t>
        </is>
      </c>
      <c r="G947" t="inlineStr">
        <is>
          <t>Work Schedule / Time Off</t>
        </is>
      </c>
      <c r="H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row>
    <row r="949">
      <c r="A949" t="inlineStr">
        <is>
          <t>Maybe</t>
        </is>
      </c>
      <c r="B949" t="inlineStr"/>
      <c r="C949" t="inlineStr"/>
      <c r="D949" t="inlineStr"/>
      <c r="E949" t="inlineStr"/>
      <c r="F949" t="inlineStr"/>
      <c r="G949" t="inlineStr"/>
      <c r="H949" t="inlineStr"/>
    </row>
    <row r="950">
      <c r="A950" t="inlineStr">
        <is>
          <t>No</t>
        </is>
      </c>
      <c r="B950" t="inlineStr"/>
      <c r="C950" t="inlineStr"/>
      <c r="D950" t="inlineStr"/>
      <c r="E950" t="inlineStr"/>
      <c r="F950" t="inlineStr"/>
      <c r="G950" t="inlineStr"/>
      <c r="H950" t="inlineStr"/>
    </row>
    <row r="951">
      <c r="A951" t="inlineStr">
        <is>
          <t>No</t>
        </is>
      </c>
      <c r="B951" t="inlineStr"/>
      <c r="C951" t="inlineStr"/>
      <c r="D951" t="inlineStr"/>
      <c r="E951" t="inlineStr"/>
      <c r="F951" t="inlineStr"/>
      <c r="G951" t="inlineStr"/>
      <c r="H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row>
    <row r="953">
      <c r="A953" t="inlineStr">
        <is>
          <t>No</t>
        </is>
      </c>
      <c r="B953" t="inlineStr"/>
      <c r="C953" t="inlineStr"/>
      <c r="D953" t="inlineStr"/>
      <c r="E953" t="inlineStr">
        <is>
          <t>Cost</t>
        </is>
      </c>
      <c r="F953" t="inlineStr">
        <is>
          <t>Cost / Finances</t>
        </is>
      </c>
      <c r="G953" t="inlineStr">
        <is>
          <t>Cost / Finances</t>
        </is>
      </c>
      <c r="H953" t="inlineStr"/>
    </row>
    <row r="954">
      <c r="A954" t="inlineStr">
        <is>
          <t>No</t>
        </is>
      </c>
      <c r="B954" t="inlineStr"/>
      <c r="C954" t="inlineStr"/>
      <c r="D954" t="inlineStr"/>
      <c r="E954" t="inlineStr">
        <is>
          <t>$$</t>
        </is>
      </c>
      <c r="F954" t="inlineStr">
        <is>
          <t>Cost / Finances</t>
        </is>
      </c>
      <c r="G954" t="inlineStr">
        <is>
          <t>Cost / Finances</t>
        </is>
      </c>
      <c r="H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row>
    <row r="958">
      <c r="A958" t="inlineStr">
        <is>
          <t>No</t>
        </is>
      </c>
      <c r="B958" t="inlineStr"/>
      <c r="C958" t="inlineStr"/>
      <c r="D958" t="inlineStr"/>
      <c r="E958" t="inlineStr"/>
      <c r="F958" t="inlineStr"/>
      <c r="G958" t="inlineStr"/>
      <c r="H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row>
    <row r="964">
      <c r="A964" t="inlineStr">
        <is>
          <t>No</t>
        </is>
      </c>
      <c r="B964" t="inlineStr"/>
      <c r="C964" t="inlineStr"/>
      <c r="D964" t="inlineStr"/>
      <c r="E964" t="inlineStr"/>
      <c r="F964" t="inlineStr"/>
      <c r="G964" t="inlineStr"/>
      <c r="H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row>
    <row r="966">
      <c r="A966" t="inlineStr">
        <is>
          <t>Maybe</t>
        </is>
      </c>
      <c r="B966" t="inlineStr"/>
      <c r="C966" t="inlineStr"/>
      <c r="D966" t="inlineStr"/>
      <c r="E966" t="inlineStr"/>
      <c r="F966" t="inlineStr"/>
      <c r="G966" t="inlineStr"/>
      <c r="H966" t="inlineStr">
        <is>
          <t>If younger sibling decides to go someday</t>
        </is>
      </c>
    </row>
    <row r="967">
      <c r="A967" t="inlineStr">
        <is>
          <t>Maybe</t>
        </is>
      </c>
      <c r="B967" t="inlineStr"/>
      <c r="C967" t="inlineStr"/>
      <c r="D967" t="inlineStr"/>
      <c r="E967" t="inlineStr"/>
      <c r="F967" t="inlineStr"/>
      <c r="G967" t="inlineStr"/>
      <c r="H967" t="inlineStr">
        <is>
          <t>Personal health improvement</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row>
    <row r="969">
      <c r="A969" t="inlineStr">
        <is>
          <t>No</t>
        </is>
      </c>
      <c r="B969" t="inlineStr"/>
      <c r="C969" t="inlineStr"/>
      <c r="D969" t="inlineStr"/>
      <c r="E969" t="inlineStr">
        <is>
          <t>$$</t>
        </is>
      </c>
      <c r="F969" t="inlineStr">
        <is>
          <t>Cost / Finances</t>
        </is>
      </c>
      <c r="G969" t="inlineStr">
        <is>
          <t>Cost / Finances</t>
        </is>
      </c>
      <c r="H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row>
    <row r="972">
      <c r="A972" t="inlineStr">
        <is>
          <t>No</t>
        </is>
      </c>
      <c r="B972" t="inlineStr"/>
      <c r="C972" t="inlineStr"/>
      <c r="D972" t="inlineStr"/>
      <c r="E972" t="inlineStr">
        <is>
          <t>No time</t>
        </is>
      </c>
      <c r="F972" t="inlineStr">
        <is>
          <t>Work Schedule / Time Off</t>
        </is>
      </c>
      <c r="G972" t="inlineStr">
        <is>
          <t>Work Schedule / Time Off</t>
        </is>
      </c>
      <c r="H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row>
    <row r="978">
      <c r="A978" t="inlineStr">
        <is>
          <t>No</t>
        </is>
      </c>
      <c r="B978" t="inlineStr"/>
      <c r="C978" t="inlineStr"/>
      <c r="D978" t="inlineStr"/>
      <c r="E978" t="inlineStr"/>
      <c r="F978" t="inlineStr"/>
      <c r="G978" t="inlineStr"/>
      <c r="H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row>
    <row r="981">
      <c r="A981" t="inlineStr">
        <is>
          <t>No</t>
        </is>
      </c>
      <c r="B981" t="inlineStr"/>
      <c r="C981" t="inlineStr"/>
      <c r="D981" t="inlineStr"/>
      <c r="E981" t="inlineStr">
        <is>
          <t>Because of the cost</t>
        </is>
      </c>
      <c r="F981" t="inlineStr">
        <is>
          <t>Cost / Finances</t>
        </is>
      </c>
      <c r="G981" t="inlineStr">
        <is>
          <t>Cost / Finances</t>
        </is>
      </c>
      <c r="H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row>
    <row r="983">
      <c r="A983" t="inlineStr">
        <is>
          <t>No</t>
        </is>
      </c>
      <c r="B983" t="inlineStr"/>
      <c r="C983" t="inlineStr"/>
      <c r="D983" t="inlineStr"/>
      <c r="E983" t="inlineStr"/>
      <c r="F983" t="inlineStr"/>
      <c r="G983" t="inlineStr"/>
      <c r="H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row>
    <row r="985">
      <c r="A985" t="inlineStr">
        <is>
          <t>No</t>
        </is>
      </c>
      <c r="B985" t="inlineStr"/>
      <c r="C985" t="inlineStr"/>
      <c r="D985" t="inlineStr"/>
      <c r="E985" t="inlineStr">
        <is>
          <t>Time</t>
        </is>
      </c>
      <c r="F985" t="inlineStr">
        <is>
          <t>Work Schedule / Time Off</t>
        </is>
      </c>
      <c r="G985" t="inlineStr">
        <is>
          <t>Work Schedule / Time Off</t>
        </is>
      </c>
      <c r="H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row>
    <row r="999">
      <c r="A999" t="inlineStr">
        <is>
          <t>No</t>
        </is>
      </c>
      <c r="B999" t="inlineStr"/>
      <c r="C999" t="inlineStr"/>
      <c r="D999" t="inlineStr"/>
      <c r="E999" t="inlineStr">
        <is>
          <t>Cost</t>
        </is>
      </c>
      <c r="F999" t="inlineStr">
        <is>
          <t>Cost / Finances</t>
        </is>
      </c>
      <c r="G999" t="inlineStr">
        <is>
          <t>Cost / Finances</t>
        </is>
      </c>
      <c r="H999" t="inlineStr"/>
    </row>
    <row r="1000">
      <c r="A1000" t="inlineStr">
        <is>
          <t>Yes</t>
        </is>
      </c>
      <c r="B1000" t="inlineStr">
        <is>
          <t>Save my daughter</t>
        </is>
      </c>
      <c r="C1000" t="inlineStr">
        <is>
          <t>Other / Uncategorized</t>
        </is>
      </c>
      <c r="D1000" t="inlineStr"/>
      <c r="E1000" t="inlineStr"/>
      <c r="F1000" t="inlineStr"/>
      <c r="G1000" t="inlineStr"/>
      <c r="H1000" t="inlineStr"/>
    </row>
    <row r="1001">
      <c r="A1001" t="inlineStr">
        <is>
          <t>Maybe</t>
        </is>
      </c>
      <c r="B1001" t="inlineStr"/>
      <c r="C1001" t="inlineStr"/>
      <c r="D1001" t="inlineStr"/>
      <c r="E1001" t="inlineStr"/>
      <c r="F1001" t="inlineStr"/>
      <c r="G1001" t="inlineStr"/>
      <c r="H1001" t="inlineStr">
        <is>
          <t>If it was cheaper for the parents.</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row>
    <row r="1003">
      <c r="A1003" t="inlineStr">
        <is>
          <t>No</t>
        </is>
      </c>
      <c r="B1003" t="inlineStr"/>
      <c r="C1003" t="inlineStr"/>
      <c r="D1003" t="inlineStr"/>
      <c r="E1003" t="inlineStr"/>
      <c r="F1003" t="inlineStr"/>
      <c r="G1003" t="inlineStr"/>
      <c r="H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row>
    <row r="1008">
      <c r="A1008" t="inlineStr">
        <is>
          <t>No</t>
        </is>
      </c>
      <c r="B1008" t="inlineStr"/>
      <c r="C1008" t="inlineStr"/>
      <c r="D1008" t="inlineStr"/>
      <c r="E1008" t="inlineStr">
        <is>
          <t>Finances</t>
        </is>
      </c>
      <c r="F1008" t="inlineStr">
        <is>
          <t>Cost / Finances</t>
        </is>
      </c>
      <c r="G1008" t="inlineStr">
        <is>
          <t>Cost / Finances</t>
        </is>
      </c>
      <c r="H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row>
    <row r="1011">
      <c r="A1011" t="inlineStr">
        <is>
          <t>No</t>
        </is>
      </c>
      <c r="B1011" t="inlineStr"/>
      <c r="C1011" t="inlineStr"/>
      <c r="D1011" t="inlineStr"/>
      <c r="E1011" t="inlineStr">
        <is>
          <t>Money</t>
        </is>
      </c>
      <c r="F1011" t="inlineStr">
        <is>
          <t>Cost / Finances</t>
        </is>
      </c>
      <c r="G1011" t="inlineStr">
        <is>
          <t>Cost / Finances</t>
        </is>
      </c>
      <c r="H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row>
    <row r="1020">
      <c r="A1020" t="inlineStr">
        <is>
          <t>No</t>
        </is>
      </c>
      <c r="B1020" t="inlineStr"/>
      <c r="C1020" t="inlineStr"/>
      <c r="D1020" t="inlineStr"/>
      <c r="E1020" t="inlineStr">
        <is>
          <t>too expensive</t>
        </is>
      </c>
      <c r="F1020" t="inlineStr">
        <is>
          <t>Cost / Finances</t>
        </is>
      </c>
      <c r="G1020" t="inlineStr">
        <is>
          <t>Cost / Finances</t>
        </is>
      </c>
      <c r="H1020" t="inlineStr"/>
    </row>
    <row r="1021">
      <c r="A1021" t="inlineStr">
        <is>
          <t>Maybe</t>
        </is>
      </c>
      <c r="B1021" t="inlineStr"/>
      <c r="C1021" t="inlineStr"/>
      <c r="D1021" t="inlineStr"/>
      <c r="E1021" t="inlineStr"/>
      <c r="F1021" t="inlineStr"/>
      <c r="G1021" t="inlineStr"/>
      <c r="H1021" t="inlineStr">
        <is>
          <t>If it were easier to get a spot</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row>
    <row r="1026">
      <c r="A1026" t="inlineStr">
        <is>
          <t>Yes</t>
        </is>
      </c>
      <c r="B1026" t="inlineStr">
        <is>
          <t>My son asked me to</t>
        </is>
      </c>
      <c r="C1026" t="inlineStr">
        <is>
          <t>Family Member Asked or Influenced Them to Go</t>
        </is>
      </c>
      <c r="D1026" t="inlineStr">
        <is>
          <t>Family Member Asked or Influenced Them to Go</t>
        </is>
      </c>
      <c r="E1026" t="inlineStr"/>
      <c r="F1026" t="inlineStr"/>
      <c r="G1026" t="inlineStr"/>
      <c r="H1026" t="inlineStr"/>
    </row>
    <row r="1027">
      <c r="A1027" t="inlineStr">
        <is>
          <t>Maybe</t>
        </is>
      </c>
      <c r="B1027" t="inlineStr"/>
      <c r="C1027" t="inlineStr"/>
      <c r="D1027" t="inlineStr"/>
      <c r="E1027" t="inlineStr"/>
      <c r="F1027" t="inlineStr"/>
      <c r="G1027" t="inlineStr"/>
      <c r="H1027" t="inlineStr">
        <is>
          <t>price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row>
    <row r="1030">
      <c r="A1030" t="inlineStr">
        <is>
          <t>No</t>
        </is>
      </c>
      <c r="B1030" t="inlineStr"/>
      <c r="C1030" t="inlineStr"/>
      <c r="D1030" t="inlineStr"/>
      <c r="E1030" t="inlineStr">
        <is>
          <t>Cost</t>
        </is>
      </c>
      <c r="F1030" t="inlineStr">
        <is>
          <t>Cost / Finances</t>
        </is>
      </c>
      <c r="G1030" t="inlineStr">
        <is>
          <t>Cost / Finances</t>
        </is>
      </c>
      <c r="H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row>
    <row r="1032">
      <c r="A1032" t="inlineStr">
        <is>
          <t>No</t>
        </is>
      </c>
      <c r="B1032" t="inlineStr"/>
      <c r="C1032" t="inlineStr"/>
      <c r="D1032" t="inlineStr"/>
      <c r="E1032" t="inlineStr">
        <is>
          <t>Cost</t>
        </is>
      </c>
      <c r="F1032" t="inlineStr">
        <is>
          <t>Cost / Finances</t>
        </is>
      </c>
      <c r="G1032" t="inlineStr">
        <is>
          <t>Cost / Finances</t>
        </is>
      </c>
      <c r="H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row>
    <row r="1036">
      <c r="A1036" t="inlineStr">
        <is>
          <t>Maybe</t>
        </is>
      </c>
      <c r="B1036" t="inlineStr"/>
      <c r="C1036" t="inlineStr"/>
      <c r="D1036" t="inlineStr"/>
      <c r="E1036" t="inlineStr"/>
      <c r="F1036" t="inlineStr"/>
      <c r="G1036" t="inlineStr"/>
      <c r="H1036" t="inlineStr"/>
    </row>
    <row r="1037">
      <c r="A1037" t="inlineStr">
        <is>
          <t>No</t>
        </is>
      </c>
      <c r="B1037" t="inlineStr"/>
      <c r="C1037" t="inlineStr"/>
      <c r="D1037" t="inlineStr"/>
      <c r="E1037" t="inlineStr"/>
      <c r="F1037" t="inlineStr"/>
      <c r="G1037" t="inlineStr"/>
      <c r="H1037" t="inlineStr"/>
    </row>
    <row r="1038">
      <c r="A1038" t="inlineStr">
        <is>
          <t>No</t>
        </is>
      </c>
      <c r="B1038" t="inlineStr"/>
      <c r="C1038" t="inlineStr"/>
      <c r="D1038" t="inlineStr"/>
      <c r="E1038" t="inlineStr">
        <is>
          <t>Price</t>
        </is>
      </c>
      <c r="F1038" t="inlineStr">
        <is>
          <t>Cost / Finances</t>
        </is>
      </c>
      <c r="G1038" t="inlineStr">
        <is>
          <t>Cost / Finances</t>
        </is>
      </c>
      <c r="H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row>
    <row r="1040">
      <c r="A1040" t="inlineStr">
        <is>
          <t>No</t>
        </is>
      </c>
      <c r="B1040" t="inlineStr"/>
      <c r="C1040" t="inlineStr"/>
      <c r="D1040" t="inlineStr"/>
      <c r="E1040" t="inlineStr"/>
      <c r="F1040" t="inlineStr"/>
      <c r="G1040" t="inlineStr"/>
      <c r="H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row>
    <row r="1042">
      <c r="A1042" t="inlineStr">
        <is>
          <t>No</t>
        </is>
      </c>
      <c r="B1042" t="inlineStr"/>
      <c r="C1042" t="inlineStr"/>
      <c r="D1042" t="inlineStr"/>
      <c r="E1042" t="inlineStr"/>
      <c r="F1042" t="inlineStr"/>
      <c r="G1042" t="inlineStr"/>
      <c r="H1042" t="inlineStr"/>
    </row>
    <row r="1043">
      <c r="A1043" t="inlineStr">
        <is>
          <t>No</t>
        </is>
      </c>
      <c r="B1043" t="inlineStr"/>
      <c r="C1043" t="inlineStr"/>
      <c r="D1043" t="inlineStr"/>
      <c r="E1043" t="inlineStr"/>
      <c r="F1043" t="inlineStr"/>
      <c r="G1043" t="inlineStr"/>
      <c r="H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row>
    <row r="1049">
      <c r="A1049" t="inlineStr">
        <is>
          <t>No</t>
        </is>
      </c>
      <c r="B1049" t="inlineStr"/>
      <c r="C1049" t="inlineStr"/>
      <c r="D1049" t="inlineStr"/>
      <c r="E1049" t="inlineStr"/>
      <c r="F1049" t="inlineStr"/>
      <c r="G1049" t="inlineStr"/>
      <c r="H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row>
    <row r="1056">
      <c r="A1056" t="inlineStr">
        <is>
          <t>Yes</t>
        </is>
      </c>
      <c r="B1056" t="inlineStr"/>
      <c r="C1056" t="inlineStr"/>
      <c r="D1056" t="inlineStr"/>
      <c r="E1056" t="inlineStr"/>
      <c r="F1056" t="inlineStr"/>
      <c r="G1056" t="inlineStr"/>
      <c r="H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row>
    <row r="1059">
      <c r="A1059" t="inlineStr">
        <is>
          <t>No</t>
        </is>
      </c>
      <c r="B1059" t="inlineStr"/>
      <c r="C1059" t="inlineStr"/>
      <c r="D1059" t="inlineStr"/>
      <c r="E1059" t="inlineStr"/>
      <c r="F1059" t="inlineStr"/>
      <c r="G1059" t="inlineStr"/>
      <c r="H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row>
    <row r="1071">
      <c r="A1071" t="inlineStr">
        <is>
          <t>No</t>
        </is>
      </c>
      <c r="B1071" t="inlineStr"/>
      <c r="C1071" t="inlineStr"/>
      <c r="D1071" t="inlineStr"/>
      <c r="E1071" t="inlineStr">
        <is>
          <t>expense</t>
        </is>
      </c>
      <c r="F1071" t="inlineStr">
        <is>
          <t>Cost / Finances</t>
        </is>
      </c>
      <c r="G1071" t="inlineStr">
        <is>
          <t>Cost / Finances</t>
        </is>
      </c>
      <c r="H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row>
    <row r="1076">
      <c r="A1076" t="inlineStr">
        <is>
          <t>No</t>
        </is>
      </c>
      <c r="B1076" t="inlineStr"/>
      <c r="C1076" t="inlineStr"/>
      <c r="D1076" t="inlineStr"/>
      <c r="E1076" t="inlineStr"/>
      <c r="F1076" t="inlineStr"/>
      <c r="G1076" t="inlineStr"/>
      <c r="H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row>
    <row r="1078">
      <c r="A1078" t="inlineStr">
        <is>
          <t>No</t>
        </is>
      </c>
      <c r="B1078" t="inlineStr"/>
      <c r="C1078" t="inlineStr"/>
      <c r="D1078" t="inlineStr"/>
      <c r="E1078" t="inlineStr"/>
      <c r="F1078" t="inlineStr"/>
      <c r="G1078" t="inlineStr"/>
      <c r="H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row>
    <row r="1082">
      <c r="A1082" t="inlineStr">
        <is>
          <t>No</t>
        </is>
      </c>
      <c r="B1082" t="inlineStr"/>
      <c r="C1082" t="inlineStr"/>
      <c r="D1082" t="inlineStr"/>
      <c r="E1082" t="inlineStr"/>
      <c r="F1082" t="inlineStr"/>
      <c r="G1082" t="inlineStr"/>
      <c r="H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row>
    <row r="1085">
      <c r="A1085" t="inlineStr">
        <is>
          <t>No</t>
        </is>
      </c>
      <c r="B1085" t="inlineStr"/>
      <c r="C1085" t="inlineStr"/>
      <c r="D1085" t="inlineStr"/>
      <c r="E1085" t="inlineStr">
        <is>
          <t>Price</t>
        </is>
      </c>
      <c r="F1085" t="inlineStr">
        <is>
          <t>Cost / Finances</t>
        </is>
      </c>
      <c r="G1085" t="inlineStr">
        <is>
          <t>Cost / Finances</t>
        </is>
      </c>
      <c r="H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row>
    <row r="1088">
      <c r="A1088" t="inlineStr">
        <is>
          <t>No</t>
        </is>
      </c>
      <c r="B1088" t="inlineStr"/>
      <c r="C1088" t="inlineStr"/>
      <c r="D1088" t="inlineStr"/>
      <c r="E1088" t="inlineStr">
        <is>
          <t>Cost</t>
        </is>
      </c>
      <c r="F1088" t="inlineStr">
        <is>
          <t>Cost / Finances</t>
        </is>
      </c>
      <c r="G1088" t="inlineStr">
        <is>
          <t>Cost / Finances</t>
        </is>
      </c>
      <c r="H1088" t="inlineStr"/>
    </row>
    <row r="1089">
      <c r="A1089" t="inlineStr">
        <is>
          <t>No</t>
        </is>
      </c>
      <c r="B1089" t="inlineStr"/>
      <c r="C1089" t="inlineStr"/>
      <c r="D1089" t="inlineStr"/>
      <c r="E1089" t="inlineStr"/>
      <c r="F1089" t="inlineStr"/>
      <c r="G1089" t="inlineStr"/>
      <c r="H1089" t="inlineStr"/>
    </row>
    <row r="1090">
      <c r="A1090" t="inlineStr">
        <is>
          <t>No</t>
        </is>
      </c>
      <c r="B1090" t="inlineStr"/>
      <c r="C1090" t="inlineStr"/>
      <c r="D1090" t="inlineStr"/>
      <c r="E1090" t="inlineStr"/>
      <c r="F1090" t="inlineStr"/>
      <c r="G1090" t="inlineStr"/>
      <c r="H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row>
    <row r="1092">
      <c r="A1092" t="inlineStr">
        <is>
          <t>No</t>
        </is>
      </c>
      <c r="B1092" t="inlineStr"/>
      <c r="C1092" t="inlineStr"/>
      <c r="D1092" t="inlineStr"/>
      <c r="E1092" t="inlineStr"/>
      <c r="F1092" t="inlineStr"/>
      <c r="G1092" t="inlineStr"/>
      <c r="H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row>
    <row r="1103">
      <c r="A1103" t="inlineStr">
        <is>
          <t>No</t>
        </is>
      </c>
      <c r="B1103" t="inlineStr"/>
      <c r="C1103" t="inlineStr"/>
      <c r="D1103" t="inlineStr"/>
      <c r="E1103" t="inlineStr">
        <is>
          <t>Cost</t>
        </is>
      </c>
      <c r="F1103" t="inlineStr">
        <is>
          <t>Cost / Finances</t>
        </is>
      </c>
      <c r="G1103" t="inlineStr">
        <is>
          <t>Cost / Finances</t>
        </is>
      </c>
      <c r="H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row>
    <row r="1105">
      <c r="A1105" t="inlineStr">
        <is>
          <t>Yes</t>
        </is>
      </c>
      <c r="B1105" t="inlineStr">
        <is>
          <t>Ensuring a spot for my son</t>
        </is>
      </c>
      <c r="C1105" t="inlineStr">
        <is>
          <t>Securing/Ensuring Child's Spot (Registration Timing)</t>
        </is>
      </c>
      <c r="D1105" t="inlineStr">
        <is>
          <t>Securing/Ensuring Child's Spot (Registration Timing)</t>
        </is>
      </c>
      <c r="E1105" t="inlineStr"/>
      <c r="F1105" t="inlineStr"/>
      <c r="G1105" t="inlineStr"/>
      <c r="H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row>
    <row r="1107">
      <c r="A1107" t="inlineStr">
        <is>
          <t>No</t>
        </is>
      </c>
      <c r="B1107" t="inlineStr"/>
      <c r="C1107" t="inlineStr"/>
      <c r="D1107" t="inlineStr"/>
      <c r="E1107" t="inlineStr"/>
      <c r="F1107" t="inlineStr"/>
      <c r="G1107" t="inlineStr"/>
      <c r="H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row>
    <row r="1110">
      <c r="A1110" t="inlineStr">
        <is>
          <t>No</t>
        </is>
      </c>
      <c r="B1110" t="inlineStr"/>
      <c r="C1110" t="inlineStr"/>
      <c r="D1110" t="inlineStr"/>
      <c r="E1110" t="inlineStr">
        <is>
          <t>Cost</t>
        </is>
      </c>
      <c r="F1110" t="inlineStr">
        <is>
          <t>Cost / Finances</t>
        </is>
      </c>
      <c r="G1110" t="inlineStr">
        <is>
          <t>Cost / Finances</t>
        </is>
      </c>
      <c r="H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row>
    <row r="1112">
      <c r="A1112" t="inlineStr">
        <is>
          <t>Maybe</t>
        </is>
      </c>
      <c r="B1112" t="inlineStr"/>
      <c r="C1112" t="inlineStr"/>
      <c r="D1112" t="inlineStr"/>
      <c r="E1112" t="inlineStr"/>
      <c r="F1112" t="inlineStr"/>
      <c r="G1112" t="inlineStr"/>
      <c r="H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row>
    <row r="1123">
      <c r="A1123" t="inlineStr">
        <is>
          <t>No</t>
        </is>
      </c>
      <c r="B1123" t="inlineStr"/>
      <c r="C1123" t="inlineStr"/>
      <c r="D1123" t="inlineStr"/>
      <c r="E1123" t="inlineStr">
        <is>
          <t>Can't afford it</t>
        </is>
      </c>
      <c r="F1123" t="inlineStr">
        <is>
          <t>Cost / Finances</t>
        </is>
      </c>
      <c r="G1123" t="inlineStr">
        <is>
          <t>Cost / Finances</t>
        </is>
      </c>
      <c r="H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row>
    <row r="1126">
      <c r="A1126" t="inlineStr">
        <is>
          <t>No</t>
        </is>
      </c>
      <c r="B1126" t="inlineStr"/>
      <c r="C1126" t="inlineStr"/>
      <c r="D1126" t="inlineStr"/>
      <c r="E1126" t="inlineStr">
        <is>
          <t>I went 2 years ago</t>
        </is>
      </c>
      <c r="F1126" t="inlineStr">
        <is>
          <t>Other / Uncategorized</t>
        </is>
      </c>
      <c r="G1126" t="inlineStr"/>
      <c r="H1126" t="inlineStr"/>
    </row>
    <row r="1127">
      <c r="A1127" t="inlineStr">
        <is>
          <t>No</t>
        </is>
      </c>
      <c r="B1127" t="inlineStr"/>
      <c r="C1127" t="inlineStr"/>
      <c r="D1127" t="inlineStr"/>
      <c r="E1127" t="inlineStr">
        <is>
          <t>Cost</t>
        </is>
      </c>
      <c r="F1127" t="inlineStr">
        <is>
          <t>Cost / Finances</t>
        </is>
      </c>
      <c r="G1127" t="inlineStr">
        <is>
          <t>Cost / Finances</t>
        </is>
      </c>
      <c r="H1127" t="inlineStr"/>
    </row>
    <row r="1128">
      <c r="A1128" t="inlineStr">
        <is>
          <t>No</t>
        </is>
      </c>
      <c r="B1128" t="inlineStr"/>
      <c r="C1128" t="inlineStr"/>
      <c r="D1128" t="inlineStr"/>
      <c r="E1128" t="inlineStr">
        <is>
          <t>Cost</t>
        </is>
      </c>
      <c r="F1128" t="inlineStr">
        <is>
          <t>Cost / Finances</t>
        </is>
      </c>
      <c r="G1128" t="inlineStr">
        <is>
          <t>Cost / Finances</t>
        </is>
      </c>
      <c r="H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row>
    <row r="1132">
      <c r="A1132" t="inlineStr">
        <is>
          <t>No</t>
        </is>
      </c>
      <c r="B1132" t="inlineStr"/>
      <c r="C1132" t="inlineStr"/>
      <c r="D1132" t="inlineStr"/>
      <c r="E1132" t="inlineStr"/>
      <c r="F1132" t="inlineStr"/>
      <c r="G1132" t="inlineStr"/>
      <c r="H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row>
    <row r="1134">
      <c r="A1134" t="inlineStr">
        <is>
          <t>No</t>
        </is>
      </c>
      <c r="B1134" t="inlineStr"/>
      <c r="C1134" t="inlineStr"/>
      <c r="D1134" t="inlineStr"/>
      <c r="E1134" t="inlineStr">
        <is>
          <t>Price</t>
        </is>
      </c>
      <c r="F1134" t="inlineStr">
        <is>
          <t>Cost / Finances</t>
        </is>
      </c>
      <c r="G1134" t="inlineStr">
        <is>
          <t>Cost / Finances</t>
        </is>
      </c>
      <c r="H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row>
    <row r="1140">
      <c r="A1140" t="inlineStr">
        <is>
          <t>No</t>
        </is>
      </c>
      <c r="B1140" t="inlineStr"/>
      <c r="C1140" t="inlineStr"/>
      <c r="D1140" t="inlineStr"/>
      <c r="E1140" t="inlineStr"/>
      <c r="F1140" t="inlineStr"/>
      <c r="G1140" t="inlineStr"/>
      <c r="H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row>
    <row r="1142">
      <c r="A1142" t="inlineStr">
        <is>
          <t>No</t>
        </is>
      </c>
      <c r="B1142" t="inlineStr"/>
      <c r="C1142" t="inlineStr"/>
      <c r="D1142" t="inlineStr"/>
      <c r="E1142" t="inlineStr"/>
      <c r="F1142" t="inlineStr"/>
      <c r="G1142" t="inlineStr"/>
      <c r="H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row>
    <row r="1145">
      <c r="A1145" t="inlineStr">
        <is>
          <t>No</t>
        </is>
      </c>
      <c r="B1145" t="inlineStr"/>
      <c r="C1145" t="inlineStr"/>
      <c r="D1145" t="inlineStr"/>
      <c r="E1145" t="inlineStr">
        <is>
          <t>$$$$$</t>
        </is>
      </c>
      <c r="F1145" t="inlineStr">
        <is>
          <t>Cost / Finances</t>
        </is>
      </c>
      <c r="G1145" t="inlineStr">
        <is>
          <t>Cost / Finances</t>
        </is>
      </c>
      <c r="H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row>
    <row r="1148">
      <c r="A1148" t="inlineStr">
        <is>
          <t>No</t>
        </is>
      </c>
      <c r="B1148" t="inlineStr"/>
      <c r="C1148" t="inlineStr"/>
      <c r="D1148" t="inlineStr"/>
      <c r="E1148" t="inlineStr">
        <is>
          <t>Money</t>
        </is>
      </c>
      <c r="F1148" t="inlineStr">
        <is>
          <t>Cost / Finances</t>
        </is>
      </c>
      <c r="G1148" t="inlineStr">
        <is>
          <t>Cost / Finances</t>
        </is>
      </c>
      <c r="H1148" t="inlineStr"/>
    </row>
    <row r="1149">
      <c r="A1149" t="inlineStr">
        <is>
          <t>No</t>
        </is>
      </c>
      <c r="B1149" t="inlineStr"/>
      <c r="C1149" t="inlineStr"/>
      <c r="D1149" t="inlineStr"/>
      <c r="E1149" t="inlineStr">
        <is>
          <t>Price</t>
        </is>
      </c>
      <c r="F1149" t="inlineStr">
        <is>
          <t>Cost / Finances</t>
        </is>
      </c>
      <c r="G1149" t="inlineStr">
        <is>
          <t>Cost / Finances</t>
        </is>
      </c>
      <c r="H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row>
    <row r="1151">
      <c r="A1151" t="inlineStr">
        <is>
          <t>Maybe</t>
        </is>
      </c>
      <c r="B1151" t="inlineStr"/>
      <c r="C1151" t="inlineStr"/>
      <c r="D1151" t="inlineStr"/>
      <c r="E1151" t="inlineStr"/>
      <c r="F1151" t="inlineStr"/>
      <c r="G1151" t="inlineStr"/>
      <c r="H1151" t="inlineStr">
        <is>
          <t>Having more time to go. We had a super busy summer this year.</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row>
    <row r="1153">
      <c r="A1153" t="inlineStr">
        <is>
          <t>Yes</t>
        </is>
      </c>
      <c r="B1153" t="inlineStr">
        <is>
          <t>son</t>
        </is>
      </c>
      <c r="C1153" t="inlineStr">
        <is>
          <t>Family Member Asked or Influenced Them to Go</t>
        </is>
      </c>
      <c r="D1153" t="inlineStr">
        <is>
          <t>Family Member Asked or Influenced Them to Go</t>
        </is>
      </c>
      <c r="E1153" t="inlineStr"/>
      <c r="F1153" t="inlineStr"/>
      <c r="G1153" t="inlineStr"/>
      <c r="H1153" t="inlineStr"/>
    </row>
    <row r="1154">
      <c r="A1154" t="inlineStr">
        <is>
          <t>No</t>
        </is>
      </c>
      <c r="B1154" t="inlineStr"/>
      <c r="C1154" t="inlineStr"/>
      <c r="D1154" t="inlineStr"/>
      <c r="E1154" t="inlineStr">
        <is>
          <t>Cost</t>
        </is>
      </c>
      <c r="F1154" t="inlineStr">
        <is>
          <t>Cost / Finances</t>
        </is>
      </c>
      <c r="G1154" t="inlineStr">
        <is>
          <t>Cost / Finances</t>
        </is>
      </c>
      <c r="H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row>
    <row r="1158">
      <c r="A1158" t="inlineStr">
        <is>
          <t>Yes</t>
        </is>
      </c>
      <c r="B1158" t="inlineStr">
        <is>
          <t>My daughter really wanted me to go.</t>
        </is>
      </c>
      <c r="C1158" t="inlineStr">
        <is>
          <t>Family Member Asked or Influenced Them to Go</t>
        </is>
      </c>
      <c r="D1158" t="inlineStr">
        <is>
          <t>Family Member Asked or Influenced Them to Go</t>
        </is>
      </c>
      <c r="E1158" t="inlineStr"/>
      <c r="F1158" t="inlineStr"/>
      <c r="G1158" t="inlineStr"/>
      <c r="H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row>
    <row r="1160">
      <c r="A1160" t="inlineStr">
        <is>
          <t>No</t>
        </is>
      </c>
      <c r="B1160" t="inlineStr"/>
      <c r="C1160" t="inlineStr"/>
      <c r="D1160" t="inlineStr"/>
      <c r="E1160" t="inlineStr">
        <is>
          <t>Space</t>
        </is>
      </c>
      <c r="F1160" t="inlineStr">
        <is>
          <t>Other / Uncategorized</t>
        </is>
      </c>
      <c r="G1160" t="inlineStr"/>
      <c r="H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row>
    <row r="1170">
      <c r="A1170" t="inlineStr">
        <is>
          <t>No</t>
        </is>
      </c>
      <c r="B1170" t="inlineStr"/>
      <c r="C1170" t="inlineStr"/>
      <c r="D1170" t="inlineStr"/>
      <c r="E1170" t="inlineStr"/>
      <c r="F1170" t="inlineStr"/>
      <c r="G1170" t="inlineStr"/>
      <c r="H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row>
    <row r="1172">
      <c r="A1172" t="inlineStr">
        <is>
          <t>No</t>
        </is>
      </c>
      <c r="B1172" t="inlineStr"/>
      <c r="C1172" t="inlineStr"/>
      <c r="D1172" t="inlineStr"/>
      <c r="E1172" t="inlineStr"/>
      <c r="F1172" t="inlineStr"/>
      <c r="G1172" t="inlineStr"/>
      <c r="H1172" t="inlineStr"/>
    </row>
    <row r="1173">
      <c r="A1173" t="inlineStr">
        <is>
          <t>No</t>
        </is>
      </c>
      <c r="B1173" t="inlineStr"/>
      <c r="C1173" t="inlineStr"/>
      <c r="D1173" t="inlineStr"/>
      <c r="E1173" t="inlineStr"/>
      <c r="F1173" t="inlineStr"/>
      <c r="G1173" t="inlineStr"/>
      <c r="H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row>
    <row r="1175">
      <c r="A1175" t="inlineStr">
        <is>
          <t>No</t>
        </is>
      </c>
      <c r="B1175" t="inlineStr"/>
      <c r="C1175" t="inlineStr"/>
      <c r="D1175" t="inlineStr"/>
      <c r="E1175" t="inlineStr">
        <is>
          <t>Money</t>
        </is>
      </c>
      <c r="F1175" t="inlineStr">
        <is>
          <t>Cost / Finances</t>
        </is>
      </c>
      <c r="G1175" t="inlineStr">
        <is>
          <t>Cost / Finances</t>
        </is>
      </c>
      <c r="H1175" t="inlineStr"/>
    </row>
    <row r="1176">
      <c r="A1176" t="inlineStr">
        <is>
          <t>No</t>
        </is>
      </c>
      <c r="B1176" t="inlineStr"/>
      <c r="C1176" t="inlineStr"/>
      <c r="D1176" t="inlineStr"/>
      <c r="E1176" t="inlineStr"/>
      <c r="F1176" t="inlineStr"/>
      <c r="G1176" t="inlineStr"/>
      <c r="H1176" t="inlineStr"/>
    </row>
    <row r="1177">
      <c r="A1177" t="inlineStr">
        <is>
          <t>No</t>
        </is>
      </c>
      <c r="B1177" t="inlineStr"/>
      <c r="C1177" t="inlineStr"/>
      <c r="D1177" t="inlineStr"/>
      <c r="E1177" t="inlineStr"/>
      <c r="F1177" t="inlineStr"/>
      <c r="G1177" t="inlineStr"/>
      <c r="H1177" t="inlineStr"/>
    </row>
    <row r="1178">
      <c r="A1178" t="inlineStr">
        <is>
          <t>No</t>
        </is>
      </c>
      <c r="B1178" t="inlineStr"/>
      <c r="C1178" t="inlineStr"/>
      <c r="D1178" t="inlineStr"/>
      <c r="E1178" t="inlineStr"/>
      <c r="F1178" t="inlineStr"/>
      <c r="G1178" t="inlineStr"/>
      <c r="H1178" t="inlineStr"/>
    </row>
    <row r="1179">
      <c r="A1179" t="inlineStr">
        <is>
          <t>No</t>
        </is>
      </c>
      <c r="B1179" t="inlineStr"/>
      <c r="C1179" t="inlineStr"/>
      <c r="D1179" t="inlineStr"/>
      <c r="E1179" t="inlineStr"/>
      <c r="F1179" t="inlineStr"/>
      <c r="G1179" t="inlineStr"/>
      <c r="H1179" t="inlineStr"/>
    </row>
    <row r="1180">
      <c r="A1180" t="inlineStr">
        <is>
          <t>No</t>
        </is>
      </c>
      <c r="B1180" t="inlineStr"/>
      <c r="C1180" t="inlineStr"/>
      <c r="D1180" t="inlineStr"/>
      <c r="E1180" t="inlineStr"/>
      <c r="F1180" t="inlineStr"/>
      <c r="G1180" t="inlineStr"/>
      <c r="H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row>
    <row r="1182">
      <c r="A1182" t="inlineStr">
        <is>
          <t>No</t>
        </is>
      </c>
      <c r="B1182" t="inlineStr"/>
      <c r="C1182" t="inlineStr"/>
      <c r="D1182" t="inlineStr"/>
      <c r="E1182" t="inlineStr"/>
      <c r="F1182" t="inlineStr"/>
      <c r="G1182" t="inlineStr"/>
      <c r="H1182" t="inlineStr"/>
    </row>
    <row r="1183">
      <c r="A1183" t="inlineStr">
        <is>
          <t>No</t>
        </is>
      </c>
      <c r="B1183" t="inlineStr"/>
      <c r="C1183" t="inlineStr"/>
      <c r="D1183" t="inlineStr"/>
      <c r="E1183" t="inlineStr">
        <is>
          <t>Finances</t>
        </is>
      </c>
      <c r="F1183" t="inlineStr">
        <is>
          <t>Cost / Finances</t>
        </is>
      </c>
      <c r="G1183" t="inlineStr">
        <is>
          <t>Cost / Finances</t>
        </is>
      </c>
      <c r="H1183" t="inlineStr"/>
    </row>
    <row r="1184">
      <c r="A1184" t="inlineStr">
        <is>
          <t>No</t>
        </is>
      </c>
      <c r="B1184" t="inlineStr"/>
      <c r="C1184" t="inlineStr"/>
      <c r="D1184" t="inlineStr"/>
      <c r="E1184" t="inlineStr"/>
      <c r="F1184" t="inlineStr"/>
      <c r="G1184" t="inlineStr"/>
      <c r="H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row>
    <row r="1186">
      <c r="A1186" t="inlineStr">
        <is>
          <t>No</t>
        </is>
      </c>
      <c r="B1186" t="inlineStr"/>
      <c r="C1186" t="inlineStr"/>
      <c r="D1186" t="inlineStr"/>
      <c r="E1186" t="inlineStr"/>
      <c r="F1186" t="inlineStr"/>
      <c r="G1186" t="inlineStr"/>
      <c r="H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row>
    <row r="1188">
      <c r="A1188" t="inlineStr">
        <is>
          <t>No</t>
        </is>
      </c>
      <c r="B1188" t="inlineStr"/>
      <c r="C1188" t="inlineStr"/>
      <c r="D1188" t="inlineStr"/>
      <c r="E1188" t="inlineStr">
        <is>
          <t>Money</t>
        </is>
      </c>
      <c r="F1188" t="inlineStr">
        <is>
          <t>Cost / Finances</t>
        </is>
      </c>
      <c r="G1188" t="inlineStr">
        <is>
          <t>Cost / Finances</t>
        </is>
      </c>
      <c r="H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row>
    <row r="1190">
      <c r="A1190" t="inlineStr">
        <is>
          <t>Maybe</t>
        </is>
      </c>
      <c r="B1190" t="inlineStr"/>
      <c r="C1190" t="inlineStr"/>
      <c r="D1190" t="inlineStr"/>
      <c r="E1190" t="inlineStr"/>
      <c r="F1190" t="inlineStr"/>
      <c r="G1190" t="inlineStr"/>
      <c r="H1190" t="inlineStr">
        <is>
          <t>Cost</t>
        </is>
      </c>
    </row>
  </sheetData>
  <autoFilter ref="A1:H11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 width="24" customWidth="1" min="9" max="9"/>
    <col width="14" customWidth="1" min="10" max="10"/>
    <col width="12" customWidth="1" min="11" max="11"/>
    <col width="24" customWidth="1" min="12" max="12"/>
    <col width="30" customWidth="1" min="13" max="13"/>
  </cols>
  <sheetData>
    <row r="1">
      <c r="A1" s="14" t="inlineStr">
        <is>
          <t>Status</t>
        </is>
      </c>
      <c r="B1" s="14" t="inlineStr">
        <is>
          <t>Reason To Go</t>
        </is>
      </c>
      <c r="C1" s="14" t="inlineStr">
        <is>
          <t>Reason To Go - Category</t>
        </is>
      </c>
      <c r="D1" s="14" t="inlineStr">
        <is>
          <t>Reason To Go - All Tags</t>
        </is>
      </c>
      <c r="E1" s="14" t="inlineStr">
        <is>
          <t>Reason Not To Go</t>
        </is>
      </c>
      <c r="F1" s="14" t="inlineStr">
        <is>
          <t>Reason Not To Go - Category</t>
        </is>
      </c>
      <c r="G1" s="14" t="inlineStr">
        <is>
          <t>Reason Not To Go - All Tags</t>
        </is>
      </c>
      <c r="H1" s="14" t="inlineStr">
        <is>
          <t>What Would Help</t>
        </is>
      </c>
      <c r="I1" s="14" t="inlineStr">
        <is>
          <t>Not Going - Controllability</t>
        </is>
      </c>
      <c r="J1" s="14" t="inlineStr">
        <is>
          <t>Not Going - Soft No Signal</t>
        </is>
      </c>
      <c r="K1" s="14" t="inlineStr">
        <is>
          <t>Not Going - Reason Stack Count</t>
        </is>
      </c>
      <c r="L1" s="14" t="inlineStr">
        <is>
          <t>Would Help - Category</t>
        </is>
      </c>
      <c r="M1" s="14" t="inlineStr">
        <is>
          <t>Would Help - All Tags</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c r="I2" t="inlineStr">
        <is>
          <t>Family's Own Choice</t>
        </is>
      </c>
      <c r="J2" t="b">
        <v>0</v>
      </c>
      <c r="K2" t="n">
        <v>1</v>
      </c>
      <c r="L2" t="inlineStr"/>
      <c r="M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c r="I3" t="inlineStr">
        <is>
          <t>Family's Own Choice</t>
        </is>
      </c>
      <c r="J3" t="b">
        <v>0</v>
      </c>
      <c r="K3" t="n">
        <v>1</v>
      </c>
      <c r="L3" t="inlineStr"/>
      <c r="M3" t="inlineStr"/>
    </row>
    <row r="4">
      <c r="A4" t="inlineStr">
        <is>
          <t>No</t>
        </is>
      </c>
      <c r="B4" t="inlineStr"/>
      <c r="C4" t="inlineStr"/>
      <c r="D4" t="inlineStr"/>
      <c r="E4" t="inlineStr">
        <is>
          <t>Not needed</t>
        </is>
      </c>
      <c r="F4" t="inlineStr">
        <is>
          <t>Not Needed</t>
        </is>
      </c>
      <c r="G4" t="inlineStr">
        <is>
          <t>Not Needed</t>
        </is>
      </c>
      <c r="H4" t="inlineStr"/>
      <c r="I4" t="inlineStr">
        <is>
          <t>Family's Own Choice</t>
        </is>
      </c>
      <c r="J4" t="b">
        <v>0</v>
      </c>
      <c r="K4" t="n">
        <v>1</v>
      </c>
      <c r="L4" t="inlineStr"/>
      <c r="M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c r="I5" t="inlineStr">
        <is>
          <t>Family's Own Choice</t>
        </is>
      </c>
      <c r="J5" t="b">
        <v>0</v>
      </c>
      <c r="K5" t="n">
        <v>1</v>
      </c>
      <c r="L5" t="inlineStr"/>
      <c r="M5" t="inlineStr"/>
    </row>
    <row r="6">
      <c r="A6" t="inlineStr">
        <is>
          <t>No</t>
        </is>
      </c>
      <c r="B6" t="inlineStr"/>
      <c r="C6" t="inlineStr"/>
      <c r="D6" t="inlineStr"/>
      <c r="E6" t="inlineStr">
        <is>
          <t>I think it is better for him</t>
        </is>
      </c>
      <c r="F6" t="inlineStr">
        <is>
          <t>Wants Child to Have Independent Experience</t>
        </is>
      </c>
      <c r="G6" t="inlineStr">
        <is>
          <t>Wants Child to Have Independent Experience</t>
        </is>
      </c>
      <c r="H6" t="inlineStr"/>
      <c r="I6" t="inlineStr">
        <is>
          <t>Family's Own Choice</t>
        </is>
      </c>
      <c r="J6" t="b">
        <v>0</v>
      </c>
      <c r="K6" t="n">
        <v>1</v>
      </c>
      <c r="L6" t="inlineStr"/>
      <c r="M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c r="I7" t="inlineStr">
        <is>
          <t>Family's Own Choice</t>
        </is>
      </c>
      <c r="J7" t="b">
        <v>0</v>
      </c>
      <c r="K7" t="n">
        <v>1</v>
      </c>
      <c r="L7" t="inlineStr"/>
      <c r="M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c r="I8" t="inlineStr"/>
      <c r="J8" t="b">
        <v>0</v>
      </c>
      <c r="K8" t="n">
        <v>0</v>
      </c>
      <c r="L8" t="inlineStr"/>
      <c r="M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c r="I9" t="inlineStr"/>
      <c r="J9" t="b">
        <v>0</v>
      </c>
      <c r="K9" t="n">
        <v>0</v>
      </c>
      <c r="L9" t="inlineStr"/>
      <c r="M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c r="I10" t="inlineStr">
        <is>
          <t>HXP Can Directly Fix</t>
        </is>
      </c>
      <c r="J10" t="b">
        <v>0</v>
      </c>
      <c r="K10" t="n">
        <v>1</v>
      </c>
      <c r="L10" t="inlineStr"/>
      <c r="M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c r="I11" t="inlineStr">
        <is>
          <t>Family's Own Choice</t>
        </is>
      </c>
      <c r="J11" t="b">
        <v>0</v>
      </c>
      <c r="K11" t="n">
        <v>1</v>
      </c>
      <c r="L11" t="inlineStr"/>
      <c r="M11" t="inlineStr"/>
    </row>
    <row r="12">
      <c r="A12" t="inlineStr">
        <is>
          <t>Yes</t>
        </is>
      </c>
      <c r="B12" t="inlineStr">
        <is>
          <t>Could go with my son</t>
        </is>
      </c>
      <c r="C12" t="inlineStr">
        <is>
          <t>Family Member Asked or Influenced Them to Go</t>
        </is>
      </c>
      <c r="D12" t="inlineStr">
        <is>
          <t>Family Member Asked or Influenced Them to Go</t>
        </is>
      </c>
      <c r="E12" t="inlineStr"/>
      <c r="F12" t="inlineStr"/>
      <c r="G12" t="inlineStr"/>
      <c r="H12" t="inlineStr"/>
      <c r="I12" t="inlineStr"/>
      <c r="J12" t="b">
        <v>0</v>
      </c>
      <c r="K12" t="n">
        <v>0</v>
      </c>
      <c r="L12" t="inlineStr"/>
      <c r="M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c r="I13" t="inlineStr">
        <is>
          <t>HXP Can Influence</t>
        </is>
      </c>
      <c r="J13" t="b">
        <v>0</v>
      </c>
      <c r="K13" t="n">
        <v>1</v>
      </c>
      <c r="L13" t="inlineStr"/>
      <c r="M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c r="I14" t="inlineStr">
        <is>
          <t>Family's Own Choice</t>
        </is>
      </c>
      <c r="J14" t="b">
        <v>0</v>
      </c>
      <c r="K14" t="n">
        <v>1</v>
      </c>
      <c r="L14" t="inlineStr"/>
      <c r="M14" t="inlineStr"/>
    </row>
    <row r="15">
      <c r="A15" t="inlineStr">
        <is>
          <t>No</t>
        </is>
      </c>
      <c r="B15" t="inlineStr"/>
      <c r="C15" t="inlineStr"/>
      <c r="D15" t="inlineStr"/>
      <c r="E15" t="inlineStr"/>
      <c r="F15" t="inlineStr"/>
      <c r="G15" t="inlineStr"/>
      <c r="H15" t="inlineStr"/>
      <c r="I15" t="inlineStr"/>
      <c r="J15" t="b">
        <v>0</v>
      </c>
      <c r="K15" t="n">
        <v>0</v>
      </c>
      <c r="L15" t="inlineStr"/>
      <c r="M15" t="inlineStr"/>
    </row>
    <row r="16">
      <c r="A16" t="inlineStr">
        <is>
          <t>No</t>
        </is>
      </c>
      <c r="B16" t="inlineStr"/>
      <c r="C16" t="inlineStr"/>
      <c r="D16" t="inlineStr"/>
      <c r="E16" t="inlineStr"/>
      <c r="F16" t="inlineStr"/>
      <c r="G16" t="inlineStr"/>
      <c r="H16" t="inlineStr"/>
      <c r="I16" t="inlineStr"/>
      <c r="J16" t="b">
        <v>0</v>
      </c>
      <c r="K16" t="n">
        <v>0</v>
      </c>
      <c r="L16" t="inlineStr"/>
      <c r="M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c r="I17" t="inlineStr">
        <is>
          <t>Family's Own Choice</t>
        </is>
      </c>
      <c r="J17" t="b">
        <v>0</v>
      </c>
      <c r="K17" t="n">
        <v>1</v>
      </c>
      <c r="L17" t="inlineStr"/>
      <c r="M17" t="inlineStr"/>
    </row>
    <row r="18">
      <c r="A18" t="inlineStr">
        <is>
          <t>No</t>
        </is>
      </c>
      <c r="B18" t="inlineStr"/>
      <c r="C18" t="inlineStr"/>
      <c r="D18" t="inlineStr"/>
      <c r="E18" t="inlineStr">
        <is>
          <t>Money</t>
        </is>
      </c>
      <c r="F18" t="inlineStr">
        <is>
          <t>Cost / Finances</t>
        </is>
      </c>
      <c r="G18" t="inlineStr">
        <is>
          <t>Cost / Finances</t>
        </is>
      </c>
      <c r="H18" t="inlineStr"/>
      <c r="I18" t="inlineStr">
        <is>
          <t>HXP Can Directly Fix</t>
        </is>
      </c>
      <c r="J18" t="b">
        <v>0</v>
      </c>
      <c r="K18" t="n">
        <v>1</v>
      </c>
      <c r="L18" t="inlineStr"/>
      <c r="M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c r="I19" t="inlineStr">
        <is>
          <t>Family's Own Choice</t>
        </is>
      </c>
      <c r="J19" t="b">
        <v>0</v>
      </c>
      <c r="K19" t="n">
        <v>1</v>
      </c>
      <c r="L19" t="inlineStr"/>
      <c r="M19" t="inlineStr"/>
    </row>
    <row r="20">
      <c r="A20" t="inlineStr">
        <is>
          <t>No</t>
        </is>
      </c>
      <c r="B20" t="inlineStr"/>
      <c r="C20" t="inlineStr"/>
      <c r="D20" t="inlineStr"/>
      <c r="E20" t="inlineStr">
        <is>
          <t>cost</t>
        </is>
      </c>
      <c r="F20" t="inlineStr">
        <is>
          <t>Cost / Finances</t>
        </is>
      </c>
      <c r="G20" t="inlineStr">
        <is>
          <t>Cost / Finances</t>
        </is>
      </c>
      <c r="H20" t="inlineStr"/>
      <c r="I20" t="inlineStr">
        <is>
          <t>HXP Can Directly Fix</t>
        </is>
      </c>
      <c r="J20" t="b">
        <v>0</v>
      </c>
      <c r="K20" t="n">
        <v>1</v>
      </c>
      <c r="L20" t="inlineStr"/>
      <c r="M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c r="I21" t="inlineStr">
        <is>
          <t>Family's Own Choice</t>
        </is>
      </c>
      <c r="J21" t="b">
        <v>0</v>
      </c>
      <c r="K21" t="n">
        <v>1</v>
      </c>
      <c r="L21" t="inlineStr"/>
      <c r="M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c r="I22" t="inlineStr">
        <is>
          <t>Family's Own Choice</t>
        </is>
      </c>
      <c r="J22" t="b">
        <v>0</v>
      </c>
      <c r="K22" t="n">
        <v>1</v>
      </c>
      <c r="L22" t="inlineStr"/>
      <c r="M22" t="inlineStr"/>
    </row>
    <row r="23">
      <c r="A23" t="inlineStr">
        <is>
          <t>No</t>
        </is>
      </c>
      <c r="B23" t="inlineStr"/>
      <c r="C23" t="inlineStr"/>
      <c r="D23" t="inlineStr"/>
      <c r="E23" t="inlineStr"/>
      <c r="F23" t="inlineStr"/>
      <c r="G23" t="inlineStr"/>
      <c r="H23" t="inlineStr"/>
      <c r="I23" t="inlineStr"/>
      <c r="J23" t="b">
        <v>0</v>
      </c>
      <c r="K23" t="n">
        <v>0</v>
      </c>
      <c r="L23" t="inlineStr"/>
      <c r="M23" t="inlineStr"/>
    </row>
    <row r="24">
      <c r="A24" t="inlineStr">
        <is>
          <t>Yes</t>
        </is>
      </c>
      <c r="B24" t="inlineStr">
        <is>
          <t>My daughter asked me ro go</t>
        </is>
      </c>
      <c r="C24" t="inlineStr">
        <is>
          <t>Family Member Asked or Influenced Them to Go</t>
        </is>
      </c>
      <c r="D24" t="inlineStr">
        <is>
          <t>Family Member Asked or Influenced Them to Go</t>
        </is>
      </c>
      <c r="E24" t="inlineStr"/>
      <c r="F24" t="inlineStr"/>
      <c r="G24" t="inlineStr"/>
      <c r="H24" t="inlineStr"/>
      <c r="I24" t="inlineStr"/>
      <c r="J24" t="b">
        <v>0</v>
      </c>
      <c r="K24" t="n">
        <v>0</v>
      </c>
      <c r="L24" t="inlineStr"/>
      <c r="M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c r="I25" t="inlineStr">
        <is>
          <t>HXP Can Influence</t>
        </is>
      </c>
      <c r="J25" t="b">
        <v>0</v>
      </c>
      <c r="K25" t="n">
        <v>2</v>
      </c>
      <c r="L25" t="inlineStr"/>
      <c r="M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c r="I26" t="inlineStr">
        <is>
          <t>HXP Can Influence</t>
        </is>
      </c>
      <c r="J26" t="b">
        <v>1</v>
      </c>
      <c r="K26" t="n">
        <v>1</v>
      </c>
      <c r="L26" t="inlineStr"/>
      <c r="M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c r="I27" t="inlineStr">
        <is>
          <t>Family's Own Choice</t>
        </is>
      </c>
      <c r="J27" t="b">
        <v>0</v>
      </c>
      <c r="K27" t="n">
        <v>2</v>
      </c>
      <c r="L27" t="inlineStr"/>
      <c r="M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c r="I28" t="inlineStr">
        <is>
          <t>Family's Own Choice</t>
        </is>
      </c>
      <c r="J28" t="b">
        <v>0</v>
      </c>
      <c r="K28" t="n">
        <v>1</v>
      </c>
      <c r="L28" t="inlineStr"/>
      <c r="M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c r="I29" t="inlineStr">
        <is>
          <t>Family's Own Choice</t>
        </is>
      </c>
      <c r="J29" t="b">
        <v>0</v>
      </c>
      <c r="K29" t="n">
        <v>1</v>
      </c>
      <c r="L29" t="inlineStr"/>
      <c r="M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c r="I30" t="inlineStr">
        <is>
          <t>Family's Own Choice</t>
        </is>
      </c>
      <c r="J30" t="b">
        <v>0</v>
      </c>
      <c r="K30" t="n">
        <v>1</v>
      </c>
      <c r="L30" t="inlineStr"/>
      <c r="M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c r="I31" t="inlineStr">
        <is>
          <t>HXP Can Influence</t>
        </is>
      </c>
      <c r="J31" t="b">
        <v>0</v>
      </c>
      <c r="K31" t="n">
        <v>1</v>
      </c>
      <c r="L31" t="inlineStr"/>
      <c r="M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c r="I32" t="inlineStr">
        <is>
          <t>HXP Can Directly Fix</t>
        </is>
      </c>
      <c r="J32" t="b">
        <v>0</v>
      </c>
      <c r="K32" t="n">
        <v>4</v>
      </c>
      <c r="L32" t="inlineStr"/>
      <c r="M32" t="inlineStr"/>
    </row>
    <row r="33">
      <c r="A33" t="inlineStr">
        <is>
          <t>Maybe</t>
        </is>
      </c>
      <c r="B33" t="inlineStr"/>
      <c r="C33" t="inlineStr"/>
      <c r="D33" t="inlineStr"/>
      <c r="E33" t="inlineStr"/>
      <c r="F33" t="inlineStr"/>
      <c r="G33" t="inlineStr"/>
      <c r="H33" t="inlineStr">
        <is>
          <t>Cost</t>
        </is>
      </c>
      <c r="I33" t="inlineStr"/>
      <c r="J33" t="b">
        <v>0</v>
      </c>
      <c r="K33" t="n">
        <v>0</v>
      </c>
      <c r="L33" t="inlineStr">
        <is>
          <t>Cost / Financial Assistance</t>
        </is>
      </c>
      <c r="M33" t="inlineStr">
        <is>
          <t>Cost / Financial Assistance</t>
        </is>
      </c>
    </row>
    <row r="34">
      <c r="A34" t="inlineStr">
        <is>
          <t>No</t>
        </is>
      </c>
      <c r="B34" t="inlineStr"/>
      <c r="C34" t="inlineStr"/>
      <c r="D34" t="inlineStr"/>
      <c r="E34" t="inlineStr">
        <is>
          <t>Private time for him</t>
        </is>
      </c>
      <c r="F34" t="inlineStr">
        <is>
          <t>Work Schedule / Time Off</t>
        </is>
      </c>
      <c r="G34" t="inlineStr">
        <is>
          <t>Work Schedule / Time Off</t>
        </is>
      </c>
      <c r="H34" t="inlineStr"/>
      <c r="I34" t="inlineStr">
        <is>
          <t>HXP Can Influence</t>
        </is>
      </c>
      <c r="J34" t="b">
        <v>0</v>
      </c>
      <c r="K34" t="n">
        <v>1</v>
      </c>
      <c r="L34" t="inlineStr"/>
      <c r="M34" t="inlineStr"/>
    </row>
    <row r="35">
      <c r="A35" t="inlineStr">
        <is>
          <t>No</t>
        </is>
      </c>
      <c r="B35" t="inlineStr"/>
      <c r="C35" t="inlineStr"/>
      <c r="D35" t="inlineStr"/>
      <c r="E35" t="inlineStr">
        <is>
          <t>Work obligations</t>
        </is>
      </c>
      <c r="F35" t="inlineStr">
        <is>
          <t>Work Schedule / Time Off</t>
        </is>
      </c>
      <c r="G35" t="inlineStr">
        <is>
          <t>Work Schedule / Time Off</t>
        </is>
      </c>
      <c r="H35" t="inlineStr"/>
      <c r="I35" t="inlineStr">
        <is>
          <t>HXP Can Influence</t>
        </is>
      </c>
      <c r="J35" t="b">
        <v>0</v>
      </c>
      <c r="K35" t="n">
        <v>1</v>
      </c>
      <c r="L35" t="inlineStr"/>
      <c r="M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c r="I36" t="inlineStr">
        <is>
          <t>Family's Own Choice</t>
        </is>
      </c>
      <c r="J36" t="b">
        <v>0</v>
      </c>
      <c r="K36" t="n">
        <v>1</v>
      </c>
      <c r="L36" t="inlineStr"/>
      <c r="M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c r="I37" t="inlineStr"/>
      <c r="J37" t="b">
        <v>0</v>
      </c>
      <c r="K37" t="n">
        <v>0</v>
      </c>
      <c r="L37" t="inlineStr"/>
      <c r="M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c r="I38" t="inlineStr">
        <is>
          <t>HXP Can Influence</t>
        </is>
      </c>
      <c r="J38" t="b">
        <v>0</v>
      </c>
      <c r="K38" t="n">
        <v>2</v>
      </c>
      <c r="L38" t="inlineStr"/>
      <c r="M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c r="I39" t="inlineStr"/>
      <c r="J39" t="b">
        <v>0</v>
      </c>
      <c r="K39" t="n">
        <v>0</v>
      </c>
      <c r="L39" t="inlineStr"/>
      <c r="M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c r="I40" t="inlineStr"/>
      <c r="J40" t="b">
        <v>0</v>
      </c>
      <c r="K40" t="n">
        <v>0</v>
      </c>
      <c r="L40" t="inlineStr"/>
      <c r="M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c r="I41" t="inlineStr">
        <is>
          <t>Family's Own Choice</t>
        </is>
      </c>
      <c r="J41" t="b">
        <v>0</v>
      </c>
      <c r="K41" t="n">
        <v>1</v>
      </c>
      <c r="L41" t="inlineStr"/>
      <c r="M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c r="I42" t="inlineStr">
        <is>
          <t>HXP Can Directly Fix</t>
        </is>
      </c>
      <c r="J42" t="b">
        <v>0</v>
      </c>
      <c r="K42" t="n">
        <v>2</v>
      </c>
      <c r="L42" t="inlineStr"/>
      <c r="M42" t="inlineStr"/>
    </row>
    <row r="43">
      <c r="A43" t="inlineStr">
        <is>
          <t>No</t>
        </is>
      </c>
      <c r="B43" t="inlineStr"/>
      <c r="C43" t="inlineStr"/>
      <c r="D43" t="inlineStr"/>
      <c r="E43" t="inlineStr"/>
      <c r="F43" t="inlineStr"/>
      <c r="G43" t="inlineStr"/>
      <c r="H43" t="inlineStr"/>
      <c r="I43" t="inlineStr"/>
      <c r="J43" t="b">
        <v>0</v>
      </c>
      <c r="K43" t="n">
        <v>0</v>
      </c>
      <c r="L43" t="inlineStr"/>
      <c r="M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c r="I44" t="inlineStr">
        <is>
          <t>HXP Can Influence</t>
        </is>
      </c>
      <c r="J44" t="b">
        <v>0</v>
      </c>
      <c r="K44" t="n">
        <v>2</v>
      </c>
      <c r="L44" t="inlineStr"/>
      <c r="M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c r="I45" t="inlineStr">
        <is>
          <t>Family's Own Choice</t>
        </is>
      </c>
      <c r="J45" t="b">
        <v>0</v>
      </c>
      <c r="K45" t="n">
        <v>1</v>
      </c>
      <c r="L45" t="inlineStr"/>
      <c r="M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c r="I46" t="inlineStr">
        <is>
          <t>Family's Own Choice</t>
        </is>
      </c>
      <c r="J46" t="b">
        <v>0</v>
      </c>
      <c r="K46" t="n">
        <v>1</v>
      </c>
      <c r="L46" t="inlineStr"/>
      <c r="M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c r="I47" t="inlineStr">
        <is>
          <t>Family's Own Choice</t>
        </is>
      </c>
      <c r="J47" t="b">
        <v>0</v>
      </c>
      <c r="K47" t="n">
        <v>1</v>
      </c>
      <c r="L47" t="inlineStr"/>
      <c r="M47" t="inlineStr"/>
    </row>
    <row r="48">
      <c r="A48" t="inlineStr">
        <is>
          <t>Maybe</t>
        </is>
      </c>
      <c r="B48" t="inlineStr"/>
      <c r="C48" t="inlineStr"/>
      <c r="D48" t="inlineStr"/>
      <c r="E48" t="inlineStr"/>
      <c r="F48" t="inlineStr"/>
      <c r="G48" t="inlineStr"/>
      <c r="H48" t="inlineStr">
        <is>
          <t>If it was less expensive</t>
        </is>
      </c>
      <c r="I48" t="inlineStr"/>
      <c r="J48" t="b">
        <v>0</v>
      </c>
      <c r="K48" t="n">
        <v>0</v>
      </c>
      <c r="L48" t="inlineStr">
        <is>
          <t>Cost / Financial Assistance</t>
        </is>
      </c>
      <c r="M48" t="inlineStr">
        <is>
          <t>Cost / Financial Assistance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c r="I49" t="inlineStr">
        <is>
          <t>Family's Own Choice</t>
        </is>
      </c>
      <c r="J49" t="b">
        <v>0</v>
      </c>
      <c r="K49" t="n">
        <v>1</v>
      </c>
      <c r="L49" t="inlineStr"/>
      <c r="M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c r="I50" t="inlineStr">
        <is>
          <t>HXP Can Directly Fix</t>
        </is>
      </c>
      <c r="J50" t="b">
        <v>0</v>
      </c>
      <c r="K50" t="n">
        <v>1</v>
      </c>
      <c r="L50" t="inlineStr"/>
      <c r="M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c r="I51" t="inlineStr">
        <is>
          <t>Family's Own Choice</t>
        </is>
      </c>
      <c r="J51" t="b">
        <v>0</v>
      </c>
      <c r="K51" t="n">
        <v>1</v>
      </c>
      <c r="L51" t="inlineStr"/>
      <c r="M51" t="inlineStr"/>
    </row>
    <row r="52">
      <c r="A52" t="inlineStr">
        <is>
          <t>No</t>
        </is>
      </c>
      <c r="B52" t="inlineStr"/>
      <c r="C52" t="inlineStr"/>
      <c r="D52" t="inlineStr"/>
      <c r="E52" t="inlineStr"/>
      <c r="F52" t="inlineStr"/>
      <c r="G52" t="inlineStr"/>
      <c r="H52" t="inlineStr"/>
      <c r="I52" t="inlineStr"/>
      <c r="J52" t="b">
        <v>0</v>
      </c>
      <c r="K52" t="n">
        <v>0</v>
      </c>
      <c r="L52" t="inlineStr"/>
      <c r="M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c r="I53" t="inlineStr">
        <is>
          <t>Family's Own Choice</t>
        </is>
      </c>
      <c r="J53" t="b">
        <v>0</v>
      </c>
      <c r="K53" t="n">
        <v>1</v>
      </c>
      <c r="L53" t="inlineStr"/>
      <c r="M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c r="I54" t="inlineStr">
        <is>
          <t>Family's Own Choice</t>
        </is>
      </c>
      <c r="J54" t="b">
        <v>0</v>
      </c>
      <c r="K54" t="n">
        <v>1</v>
      </c>
      <c r="L54" t="inlineStr"/>
      <c r="M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c r="I55" t="inlineStr">
        <is>
          <t>Family's Own Choice</t>
        </is>
      </c>
      <c r="J55" t="b">
        <v>0</v>
      </c>
      <c r="K55" t="n">
        <v>1</v>
      </c>
      <c r="L55" t="inlineStr"/>
      <c r="M55" t="inlineStr"/>
    </row>
    <row r="56">
      <c r="A56" t="inlineStr">
        <is>
          <t>No</t>
        </is>
      </c>
      <c r="B56" t="inlineStr"/>
      <c r="C56" t="inlineStr"/>
      <c r="D56" t="inlineStr"/>
      <c r="E56" t="inlineStr">
        <is>
          <t>My child</t>
        </is>
      </c>
      <c r="F56" t="inlineStr">
        <is>
          <t>Family's Own Choice (No Elaboration)</t>
        </is>
      </c>
      <c r="G56" t="inlineStr">
        <is>
          <t>Family's Own Choice (No Elaboration)</t>
        </is>
      </c>
      <c r="H56" t="inlineStr"/>
      <c r="I56" t="inlineStr">
        <is>
          <t>Family's Own Choice</t>
        </is>
      </c>
      <c r="J56" t="b">
        <v>0</v>
      </c>
      <c r="K56" t="n">
        <v>1</v>
      </c>
      <c r="L56" t="inlineStr"/>
      <c r="M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c r="I57" t="inlineStr">
        <is>
          <t>Family's Own Choice</t>
        </is>
      </c>
      <c r="J57" t="b">
        <v>0</v>
      </c>
      <c r="K57" t="n">
        <v>1</v>
      </c>
      <c r="L57" t="inlineStr"/>
      <c r="M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c r="I58" t="inlineStr">
        <is>
          <t>HXP Can Directly Fix</t>
        </is>
      </c>
      <c r="J58" t="b">
        <v>0</v>
      </c>
      <c r="K58" t="n">
        <v>2</v>
      </c>
      <c r="L58" t="inlineStr"/>
      <c r="M58" t="inlineStr"/>
    </row>
    <row r="59">
      <c r="A59" t="inlineStr">
        <is>
          <t>No</t>
        </is>
      </c>
      <c r="B59" t="inlineStr"/>
      <c r="C59" t="inlineStr"/>
      <c r="D59" t="inlineStr"/>
      <c r="E59" t="inlineStr">
        <is>
          <t>The expense</t>
        </is>
      </c>
      <c r="F59" t="inlineStr">
        <is>
          <t>Cost / Finances</t>
        </is>
      </c>
      <c r="G59" t="inlineStr">
        <is>
          <t>Cost / Finances</t>
        </is>
      </c>
      <c r="H59" t="inlineStr"/>
      <c r="I59" t="inlineStr">
        <is>
          <t>HXP Can Directly Fix</t>
        </is>
      </c>
      <c r="J59" t="b">
        <v>0</v>
      </c>
      <c r="K59" t="n">
        <v>1</v>
      </c>
      <c r="L59" t="inlineStr"/>
      <c r="M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c r="I60" t="inlineStr">
        <is>
          <t>Family's Own Choice</t>
        </is>
      </c>
      <c r="J60" t="b">
        <v>0</v>
      </c>
      <c r="K60" t="n">
        <v>1</v>
      </c>
      <c r="L60" t="inlineStr"/>
      <c r="M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c r="I61" t="inlineStr">
        <is>
          <t>Family's Own Choice</t>
        </is>
      </c>
      <c r="J61" t="b">
        <v>0</v>
      </c>
      <c r="K61" t="n">
        <v>1</v>
      </c>
      <c r="L61" t="inlineStr"/>
      <c r="M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c r="I62" t="inlineStr">
        <is>
          <t>HXP Can Directly Fix</t>
        </is>
      </c>
      <c r="J62" t="b">
        <v>0</v>
      </c>
      <c r="K62" t="n">
        <v>2</v>
      </c>
      <c r="L62" t="inlineStr"/>
      <c r="M62" t="inlineStr"/>
    </row>
    <row r="63">
      <c r="A63" t="inlineStr">
        <is>
          <t>No</t>
        </is>
      </c>
      <c r="B63" t="inlineStr"/>
      <c r="C63" t="inlineStr"/>
      <c r="D63" t="inlineStr"/>
      <c r="E63" t="inlineStr">
        <is>
          <t>Price</t>
        </is>
      </c>
      <c r="F63" t="inlineStr">
        <is>
          <t>Cost / Finances</t>
        </is>
      </c>
      <c r="G63" t="inlineStr">
        <is>
          <t>Cost / Finances</t>
        </is>
      </c>
      <c r="H63" t="inlineStr"/>
      <c r="I63" t="inlineStr">
        <is>
          <t>HXP Can Directly Fix</t>
        </is>
      </c>
      <c r="J63" t="b">
        <v>0</v>
      </c>
      <c r="K63" t="n">
        <v>1</v>
      </c>
      <c r="L63" t="inlineStr"/>
      <c r="M63" t="inlineStr"/>
    </row>
    <row r="64">
      <c r="A64" t="inlineStr">
        <is>
          <t>No</t>
        </is>
      </c>
      <c r="B64" t="inlineStr"/>
      <c r="C64" t="inlineStr"/>
      <c r="D64" t="inlineStr"/>
      <c r="E64" t="inlineStr">
        <is>
          <t>Availability</t>
        </is>
      </c>
      <c r="F64" t="inlineStr">
        <is>
          <t>Work Schedule / Time Off</t>
        </is>
      </c>
      <c r="G64" t="inlineStr">
        <is>
          <t>Work Schedule / Time Off</t>
        </is>
      </c>
      <c r="H64" t="inlineStr"/>
      <c r="I64" t="inlineStr">
        <is>
          <t>HXP Can Influence</t>
        </is>
      </c>
      <c r="J64" t="b">
        <v>0</v>
      </c>
      <c r="K64" t="n">
        <v>1</v>
      </c>
      <c r="L64" t="inlineStr"/>
      <c r="M64" t="inlineStr"/>
    </row>
    <row r="65">
      <c r="A65" t="inlineStr">
        <is>
          <t>Maybe</t>
        </is>
      </c>
      <c r="B65" t="inlineStr"/>
      <c r="C65" t="inlineStr"/>
      <c r="D65" t="inlineStr"/>
      <c r="E65" t="inlineStr"/>
      <c r="F65" t="inlineStr"/>
      <c r="G65" t="inlineStr"/>
      <c r="H65" t="inlineStr"/>
      <c r="I65" t="inlineStr"/>
      <c r="J65" t="b">
        <v>0</v>
      </c>
      <c r="K65" t="n">
        <v>0</v>
      </c>
      <c r="L65" t="inlineStr"/>
      <c r="M65" t="inlineStr"/>
    </row>
    <row r="66">
      <c r="A66" t="inlineStr">
        <is>
          <t>No</t>
        </is>
      </c>
      <c r="B66" t="inlineStr"/>
      <c r="C66" t="inlineStr"/>
      <c r="D66" t="inlineStr"/>
      <c r="E66" t="inlineStr"/>
      <c r="F66" t="inlineStr"/>
      <c r="G66" t="inlineStr"/>
      <c r="H66" t="inlineStr"/>
      <c r="I66" t="inlineStr"/>
      <c r="J66" t="b">
        <v>0</v>
      </c>
      <c r="K66" t="n">
        <v>0</v>
      </c>
      <c r="L66" t="inlineStr"/>
      <c r="M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c r="I67" t="inlineStr">
        <is>
          <t>Family's Own Choice</t>
        </is>
      </c>
      <c r="J67" t="b">
        <v>0</v>
      </c>
      <c r="K67" t="n">
        <v>1</v>
      </c>
      <c r="L67" t="inlineStr"/>
      <c r="M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c r="I68" t="inlineStr">
        <is>
          <t>Family's Own Choice</t>
        </is>
      </c>
      <c r="J68" t="b">
        <v>0</v>
      </c>
      <c r="K68" t="n">
        <v>2</v>
      </c>
      <c r="L68" t="inlineStr"/>
      <c r="M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c r="I69" t="inlineStr">
        <is>
          <t>HXP Can Influence</t>
        </is>
      </c>
      <c r="J69" t="b">
        <v>0</v>
      </c>
      <c r="K69" t="n">
        <v>2</v>
      </c>
      <c r="L69" t="inlineStr"/>
      <c r="M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c r="I70" t="inlineStr"/>
      <c r="J70" t="b">
        <v>0</v>
      </c>
      <c r="K70" t="n">
        <v>0</v>
      </c>
      <c r="L70" t="inlineStr"/>
      <c r="M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c r="I71" t="inlineStr">
        <is>
          <t>Family's Own Choice</t>
        </is>
      </c>
      <c r="J71" t="b">
        <v>0</v>
      </c>
      <c r="K71" t="n">
        <v>1</v>
      </c>
      <c r="L71" t="inlineStr"/>
      <c r="M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c r="I72" t="inlineStr"/>
      <c r="J72" t="b">
        <v>0</v>
      </c>
      <c r="K72" t="n">
        <v>0</v>
      </c>
      <c r="L72" t="inlineStr"/>
      <c r="M72" t="inlineStr"/>
    </row>
    <row r="73">
      <c r="A73" t="inlineStr">
        <is>
          <t>No</t>
        </is>
      </c>
      <c r="B73" t="inlineStr"/>
      <c r="C73" t="inlineStr"/>
      <c r="D73" t="inlineStr"/>
      <c r="E73" t="inlineStr">
        <is>
          <t>Work obligations</t>
        </is>
      </c>
      <c r="F73" t="inlineStr">
        <is>
          <t>Work Schedule / Time Off</t>
        </is>
      </c>
      <c r="G73" t="inlineStr">
        <is>
          <t>Work Schedule / Time Off</t>
        </is>
      </c>
      <c r="H73" t="inlineStr"/>
      <c r="I73" t="inlineStr">
        <is>
          <t>HXP Can Influence</t>
        </is>
      </c>
      <c r="J73" t="b">
        <v>0</v>
      </c>
      <c r="K73" t="n">
        <v>1</v>
      </c>
      <c r="L73" t="inlineStr"/>
      <c r="M73" t="inlineStr"/>
    </row>
    <row r="74">
      <c r="A74" t="inlineStr">
        <is>
          <t>No</t>
        </is>
      </c>
      <c r="B74" t="inlineStr"/>
      <c r="C74" t="inlineStr"/>
      <c r="D74" t="inlineStr"/>
      <c r="E74" t="inlineStr">
        <is>
          <t>Work</t>
        </is>
      </c>
      <c r="F74" t="inlineStr">
        <is>
          <t>Work Schedule / Time Off</t>
        </is>
      </c>
      <c r="G74" t="inlineStr">
        <is>
          <t>Work Schedule / Time Off</t>
        </is>
      </c>
      <c r="H74" t="inlineStr"/>
      <c r="I74" t="inlineStr">
        <is>
          <t>HXP Can Influence</t>
        </is>
      </c>
      <c r="J74" t="b">
        <v>0</v>
      </c>
      <c r="K74" t="n">
        <v>1</v>
      </c>
      <c r="L74" t="inlineStr"/>
      <c r="M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c r="I75" t="inlineStr">
        <is>
          <t>Family's Own Choice</t>
        </is>
      </c>
      <c r="J75" t="b">
        <v>0</v>
      </c>
      <c r="K75" t="n">
        <v>1</v>
      </c>
      <c r="L75" t="inlineStr"/>
      <c r="M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c r="I76" t="inlineStr">
        <is>
          <t>HXP Can Influence</t>
        </is>
      </c>
      <c r="J76" t="b">
        <v>0</v>
      </c>
      <c r="K76" t="n">
        <v>1</v>
      </c>
      <c r="L76" t="inlineStr"/>
      <c r="M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c r="I77" t="inlineStr"/>
      <c r="J77" t="b">
        <v>0</v>
      </c>
      <c r="K77" t="n">
        <v>0</v>
      </c>
      <c r="L77" t="inlineStr"/>
      <c r="M77" t="inlineStr"/>
    </row>
    <row r="78">
      <c r="A78" t="inlineStr">
        <is>
          <t>No</t>
        </is>
      </c>
      <c r="B78" t="inlineStr"/>
      <c r="C78" t="inlineStr"/>
      <c r="D78" t="inlineStr"/>
      <c r="E78" t="inlineStr"/>
      <c r="F78" t="inlineStr"/>
      <c r="G78" t="inlineStr"/>
      <c r="H78" t="inlineStr"/>
      <c r="I78" t="inlineStr"/>
      <c r="J78" t="b">
        <v>0</v>
      </c>
      <c r="K78" t="n">
        <v>0</v>
      </c>
      <c r="L78" t="inlineStr"/>
      <c r="M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c r="I79" t="inlineStr">
        <is>
          <t>Family's Own Choice</t>
        </is>
      </c>
      <c r="J79" t="b">
        <v>0</v>
      </c>
      <c r="K79" t="n">
        <v>1</v>
      </c>
      <c r="L79" t="inlineStr"/>
      <c r="M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c r="I80" t="inlineStr">
        <is>
          <t>HXP Can Influence</t>
        </is>
      </c>
      <c r="J80" t="b">
        <v>0</v>
      </c>
      <c r="K80" t="n">
        <v>1</v>
      </c>
      <c r="L80" t="inlineStr"/>
      <c r="M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c r="I81" t="inlineStr"/>
      <c r="J81" t="b">
        <v>0</v>
      </c>
      <c r="K81" t="n">
        <v>0</v>
      </c>
      <c r="L81" t="inlineStr"/>
      <c r="M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c r="I82" t="inlineStr">
        <is>
          <t>Family's Own Choice</t>
        </is>
      </c>
      <c r="J82" t="b">
        <v>0</v>
      </c>
      <c r="K82" t="n">
        <v>1</v>
      </c>
      <c r="L82" t="inlineStr"/>
      <c r="M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c r="I83" t="inlineStr">
        <is>
          <t>Family's Own Choice</t>
        </is>
      </c>
      <c r="J83" t="b">
        <v>0</v>
      </c>
      <c r="K83" t="n">
        <v>2</v>
      </c>
      <c r="L83" t="inlineStr"/>
      <c r="M83" t="inlineStr"/>
    </row>
    <row r="84">
      <c r="A84" t="inlineStr">
        <is>
          <t>No</t>
        </is>
      </c>
      <c r="B84" t="inlineStr"/>
      <c r="C84" t="inlineStr"/>
      <c r="D84" t="inlineStr"/>
      <c r="E84" t="inlineStr">
        <is>
          <t>Busy schedule</t>
        </is>
      </c>
      <c r="F84" t="inlineStr">
        <is>
          <t>Work Schedule / Time Off</t>
        </is>
      </c>
      <c r="G84" t="inlineStr">
        <is>
          <t>Work Schedule / Time Off</t>
        </is>
      </c>
      <c r="H84" t="inlineStr"/>
      <c r="I84" t="inlineStr">
        <is>
          <t>HXP Can Influence</t>
        </is>
      </c>
      <c r="J84" t="b">
        <v>0</v>
      </c>
      <c r="K84" t="n">
        <v>1</v>
      </c>
      <c r="L84" t="inlineStr"/>
      <c r="M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c r="I85" t="inlineStr">
        <is>
          <t>HXP Can Influence</t>
        </is>
      </c>
      <c r="J85" t="b">
        <v>0</v>
      </c>
      <c r="K85" t="n">
        <v>2</v>
      </c>
      <c r="L85" t="inlineStr"/>
      <c r="M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c r="I86" t="inlineStr">
        <is>
          <t>Family's Own Choice</t>
        </is>
      </c>
      <c r="J86" t="b">
        <v>0</v>
      </c>
      <c r="K86" t="n">
        <v>1</v>
      </c>
      <c r="L86" t="inlineStr"/>
      <c r="M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c r="I87" t="inlineStr">
        <is>
          <t>Family's Own Choice</t>
        </is>
      </c>
      <c r="J87" t="b">
        <v>0</v>
      </c>
      <c r="K87" t="n">
        <v>1</v>
      </c>
      <c r="L87" t="inlineStr"/>
      <c r="M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c r="I88" t="inlineStr">
        <is>
          <t>Family's Own Choice</t>
        </is>
      </c>
      <c r="J88" t="b">
        <v>0</v>
      </c>
      <c r="K88" t="n">
        <v>2</v>
      </c>
      <c r="L88" t="inlineStr"/>
      <c r="M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c r="I89" t="inlineStr">
        <is>
          <t>Family's Own Choice</t>
        </is>
      </c>
      <c r="J89" t="b">
        <v>0</v>
      </c>
      <c r="K89" t="n">
        <v>2</v>
      </c>
      <c r="L89" t="inlineStr"/>
      <c r="M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c r="I90" t="inlineStr">
        <is>
          <t>HXP Can Directly Fix</t>
        </is>
      </c>
      <c r="J90" t="b">
        <v>0</v>
      </c>
      <c r="K90" t="n">
        <v>2</v>
      </c>
      <c r="L90" t="inlineStr"/>
      <c r="M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c r="I91" t="inlineStr">
        <is>
          <t>HXP Can Directly Fix</t>
        </is>
      </c>
      <c r="J91" t="b">
        <v>0</v>
      </c>
      <c r="K91" t="n">
        <v>1</v>
      </c>
      <c r="L91" t="inlineStr"/>
      <c r="M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c r="I92" t="inlineStr">
        <is>
          <t>Family's Own Choice</t>
        </is>
      </c>
      <c r="J92" t="b">
        <v>0</v>
      </c>
      <c r="K92" t="n">
        <v>1</v>
      </c>
      <c r="L92" t="inlineStr"/>
      <c r="M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c r="I93" t="inlineStr">
        <is>
          <t>Family's Own Choice</t>
        </is>
      </c>
      <c r="J93" t="b">
        <v>0</v>
      </c>
      <c r="K93" t="n">
        <v>1</v>
      </c>
      <c r="L93" t="inlineStr"/>
      <c r="M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c r="I94" t="inlineStr"/>
      <c r="J94" t="b">
        <v>0</v>
      </c>
      <c r="K94" t="n">
        <v>0</v>
      </c>
      <c r="L94" t="inlineStr"/>
      <c r="M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c r="I95" t="inlineStr">
        <is>
          <t>Family's Own Choice</t>
        </is>
      </c>
      <c r="J95" t="b">
        <v>0</v>
      </c>
      <c r="K95" t="n">
        <v>1</v>
      </c>
      <c r="L95" t="inlineStr"/>
      <c r="M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c r="I96" t="inlineStr">
        <is>
          <t>HXP Can Directly Fix</t>
        </is>
      </c>
      <c r="J96" t="b">
        <v>0</v>
      </c>
      <c r="K96" t="n">
        <v>2</v>
      </c>
      <c r="L96" t="inlineStr"/>
      <c r="M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c r="I97" t="inlineStr">
        <is>
          <t>HXP Can Directly Fix</t>
        </is>
      </c>
      <c r="J97" t="b">
        <v>0</v>
      </c>
      <c r="K97" t="n">
        <v>3</v>
      </c>
      <c r="L97" t="inlineStr"/>
      <c r="M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c r="I98" t="inlineStr">
        <is>
          <t>Family's Own Choice</t>
        </is>
      </c>
      <c r="J98" t="b">
        <v>0</v>
      </c>
      <c r="K98" t="n">
        <v>1</v>
      </c>
      <c r="L98" t="inlineStr"/>
      <c r="M98" t="inlineStr"/>
    </row>
    <row r="99">
      <c r="A99" t="inlineStr">
        <is>
          <t>No</t>
        </is>
      </c>
      <c r="B99" t="inlineStr"/>
      <c r="C99" t="inlineStr"/>
      <c r="D99" t="inlineStr"/>
      <c r="E99" t="inlineStr">
        <is>
          <t>Time</t>
        </is>
      </c>
      <c r="F99" t="inlineStr">
        <is>
          <t>Work Schedule / Time Off</t>
        </is>
      </c>
      <c r="G99" t="inlineStr">
        <is>
          <t>Work Schedule / Time Off</t>
        </is>
      </c>
      <c r="H99" t="inlineStr"/>
      <c r="I99" t="inlineStr">
        <is>
          <t>HXP Can Influence</t>
        </is>
      </c>
      <c r="J99" t="b">
        <v>0</v>
      </c>
      <c r="K99" t="n">
        <v>1</v>
      </c>
      <c r="L99" t="inlineStr"/>
      <c r="M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c r="I100" t="inlineStr">
        <is>
          <t>HXP Can Directly Fix</t>
        </is>
      </c>
      <c r="J100" t="b">
        <v>0</v>
      </c>
      <c r="K100" t="n">
        <v>2</v>
      </c>
      <c r="L100" t="inlineStr"/>
      <c r="M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c r="I101" t="inlineStr">
        <is>
          <t>Family's Own Choice</t>
        </is>
      </c>
      <c r="J101" t="b">
        <v>0</v>
      </c>
      <c r="K101" t="n">
        <v>1</v>
      </c>
      <c r="L101" t="inlineStr"/>
      <c r="M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c r="I102" t="inlineStr">
        <is>
          <t>Family's Own Choice</t>
        </is>
      </c>
      <c r="J102" t="b">
        <v>0</v>
      </c>
      <c r="K102" t="n">
        <v>1</v>
      </c>
      <c r="L102" t="inlineStr"/>
      <c r="M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c r="I103" t="inlineStr">
        <is>
          <t>HXP Can Influence</t>
        </is>
      </c>
      <c r="J103" t="b">
        <v>0</v>
      </c>
      <c r="K103" t="n">
        <v>2</v>
      </c>
      <c r="L103" t="inlineStr"/>
      <c r="M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c r="I104" t="inlineStr">
        <is>
          <t>HXP Can Directly Fix</t>
        </is>
      </c>
      <c r="J104" t="b">
        <v>0</v>
      </c>
      <c r="K104" t="n">
        <v>2</v>
      </c>
      <c r="L104" t="inlineStr"/>
      <c r="M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c r="I105" t="inlineStr">
        <is>
          <t>HXP Can Influence</t>
        </is>
      </c>
      <c r="J105" t="b">
        <v>0</v>
      </c>
      <c r="K105" t="n">
        <v>1</v>
      </c>
      <c r="L105" t="inlineStr"/>
      <c r="M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c r="I106" t="inlineStr">
        <is>
          <t>Family's Own Choice</t>
        </is>
      </c>
      <c r="J106" t="b">
        <v>0</v>
      </c>
      <c r="K106" t="n">
        <v>1</v>
      </c>
      <c r="L106" t="inlineStr"/>
      <c r="M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c r="I107" t="inlineStr"/>
      <c r="J107" t="b">
        <v>0</v>
      </c>
      <c r="K107" t="n">
        <v>0</v>
      </c>
      <c r="L107" t="inlineStr"/>
      <c r="M107" t="inlineStr"/>
    </row>
    <row r="108">
      <c r="A108" t="inlineStr">
        <is>
          <t>No</t>
        </is>
      </c>
      <c r="B108" t="inlineStr"/>
      <c r="C108" t="inlineStr"/>
      <c r="D108" t="inlineStr"/>
      <c r="E108" t="inlineStr">
        <is>
          <t>Work</t>
        </is>
      </c>
      <c r="F108" t="inlineStr">
        <is>
          <t>Work Schedule / Time Off</t>
        </is>
      </c>
      <c r="G108" t="inlineStr">
        <is>
          <t>Work Schedule / Time Off</t>
        </is>
      </c>
      <c r="H108" t="inlineStr"/>
      <c r="I108" t="inlineStr">
        <is>
          <t>HXP Can Influence</t>
        </is>
      </c>
      <c r="J108" t="b">
        <v>0</v>
      </c>
      <c r="K108" t="n">
        <v>1</v>
      </c>
      <c r="L108" t="inlineStr"/>
      <c r="M108" t="inlineStr"/>
    </row>
    <row r="109">
      <c r="A109" t="inlineStr">
        <is>
          <t>No</t>
        </is>
      </c>
      <c r="B109" t="inlineStr"/>
      <c r="C109" t="inlineStr"/>
      <c r="D109" t="inlineStr"/>
      <c r="E109" t="inlineStr">
        <is>
          <t>Money</t>
        </is>
      </c>
      <c r="F109" t="inlineStr">
        <is>
          <t>Cost / Finances</t>
        </is>
      </c>
      <c r="G109" t="inlineStr">
        <is>
          <t>Cost / Finances</t>
        </is>
      </c>
      <c r="H109" t="inlineStr"/>
      <c r="I109" t="inlineStr">
        <is>
          <t>HXP Can Directly Fix</t>
        </is>
      </c>
      <c r="J109" t="b">
        <v>0</v>
      </c>
      <c r="K109" t="n">
        <v>1</v>
      </c>
      <c r="L109" t="inlineStr"/>
      <c r="M109" t="inlineStr"/>
    </row>
    <row r="110">
      <c r="A110" t="inlineStr">
        <is>
          <t>Maybe</t>
        </is>
      </c>
      <c r="B110" t="inlineStr"/>
      <c r="C110" t="inlineStr"/>
      <c r="D110" t="inlineStr"/>
      <c r="E110" t="inlineStr"/>
      <c r="F110" t="inlineStr"/>
      <c r="G110" t="inlineStr"/>
      <c r="H110" t="inlineStr">
        <is>
          <t>Cost and destination choice.</t>
        </is>
      </c>
      <c r="I110" t="inlineStr"/>
      <c r="J110" t="b">
        <v>0</v>
      </c>
      <c r="K110" t="n">
        <v>0</v>
      </c>
      <c r="L110" t="inlineStr">
        <is>
          <t>Cost / Financial Assistance</t>
        </is>
      </c>
      <c r="M110" t="inlineStr">
        <is>
          <t>Cost / Financial Assistance</t>
        </is>
      </c>
    </row>
    <row r="111">
      <c r="A111" t="inlineStr">
        <is>
          <t>No</t>
        </is>
      </c>
      <c r="B111" t="inlineStr"/>
      <c r="C111" t="inlineStr"/>
      <c r="D111" t="inlineStr"/>
      <c r="E111" t="inlineStr"/>
      <c r="F111" t="inlineStr"/>
      <c r="G111" t="inlineStr"/>
      <c r="H111" t="inlineStr"/>
      <c r="I111" t="inlineStr"/>
      <c r="J111" t="b">
        <v>0</v>
      </c>
      <c r="K111" t="n">
        <v>0</v>
      </c>
      <c r="L111" t="inlineStr"/>
      <c r="M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c r="I112" t="inlineStr">
        <is>
          <t>HXP Can Directly Fix</t>
        </is>
      </c>
      <c r="J112" t="b">
        <v>0</v>
      </c>
      <c r="K112" t="n">
        <v>2</v>
      </c>
      <c r="L112" t="inlineStr"/>
      <c r="M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c r="I113" t="inlineStr">
        <is>
          <t>Family's Own Choice</t>
        </is>
      </c>
      <c r="J113" t="b">
        <v>0</v>
      </c>
      <c r="K113" t="n">
        <v>1</v>
      </c>
      <c r="L113" t="inlineStr"/>
      <c r="M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c r="I114" t="inlineStr"/>
      <c r="J114" t="b">
        <v>0</v>
      </c>
      <c r="K114" t="n">
        <v>0</v>
      </c>
      <c r="L114" t="inlineStr"/>
      <c r="M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c r="I115" t="inlineStr">
        <is>
          <t>Family's Own Choice</t>
        </is>
      </c>
      <c r="J115" t="b">
        <v>0</v>
      </c>
      <c r="K115" t="n">
        <v>1</v>
      </c>
      <c r="L115" t="inlineStr"/>
      <c r="M115" t="inlineStr"/>
    </row>
    <row r="116">
      <c r="A116" t="inlineStr">
        <is>
          <t>No</t>
        </is>
      </c>
      <c r="B116" t="inlineStr"/>
      <c r="C116" t="inlineStr"/>
      <c r="D116" t="inlineStr"/>
      <c r="E116" t="inlineStr"/>
      <c r="F116" t="inlineStr"/>
      <c r="G116" t="inlineStr"/>
      <c r="H116" t="inlineStr"/>
      <c r="I116" t="inlineStr"/>
      <c r="J116" t="b">
        <v>0</v>
      </c>
      <c r="K116" t="n">
        <v>0</v>
      </c>
      <c r="L116" t="inlineStr"/>
      <c r="M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c r="I117" t="inlineStr">
        <is>
          <t>HXP Can Influence</t>
        </is>
      </c>
      <c r="J117" t="b">
        <v>0</v>
      </c>
      <c r="K117" t="n">
        <v>2</v>
      </c>
      <c r="L117" t="inlineStr"/>
      <c r="M117" t="inlineStr"/>
    </row>
    <row r="118">
      <c r="A118" t="inlineStr">
        <is>
          <t>No</t>
        </is>
      </c>
      <c r="B118" t="inlineStr"/>
      <c r="C118" t="inlineStr"/>
      <c r="D118" t="inlineStr"/>
      <c r="E118" t="inlineStr">
        <is>
          <t>cost</t>
        </is>
      </c>
      <c r="F118" t="inlineStr">
        <is>
          <t>Cost / Finances</t>
        </is>
      </c>
      <c r="G118" t="inlineStr">
        <is>
          <t>Cost / Finances</t>
        </is>
      </c>
      <c r="H118" t="inlineStr"/>
      <c r="I118" t="inlineStr">
        <is>
          <t>HXP Can Directly Fix</t>
        </is>
      </c>
      <c r="J118" t="b">
        <v>0</v>
      </c>
      <c r="K118" t="n">
        <v>1</v>
      </c>
      <c r="L118" t="inlineStr"/>
      <c r="M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c r="I119" t="inlineStr">
        <is>
          <t>Family's Own Choice</t>
        </is>
      </c>
      <c r="J119" t="b">
        <v>0</v>
      </c>
      <c r="K119" t="n">
        <v>1</v>
      </c>
      <c r="L119" t="inlineStr"/>
      <c r="M119" t="inlineStr"/>
    </row>
    <row r="120">
      <c r="A120" t="inlineStr">
        <is>
          <t>No</t>
        </is>
      </c>
      <c r="B120" t="inlineStr"/>
      <c r="C120" t="inlineStr"/>
      <c r="D120" t="inlineStr"/>
      <c r="E120" t="inlineStr"/>
      <c r="F120" t="inlineStr"/>
      <c r="G120" t="inlineStr"/>
      <c r="H120" t="inlineStr"/>
      <c r="I120" t="inlineStr"/>
      <c r="J120" t="b">
        <v>0</v>
      </c>
      <c r="K120" t="n">
        <v>0</v>
      </c>
      <c r="L120" t="inlineStr"/>
      <c r="M120" t="inlineStr"/>
    </row>
    <row r="121">
      <c r="A121" t="inlineStr">
        <is>
          <t>No</t>
        </is>
      </c>
      <c r="B121" t="inlineStr"/>
      <c r="C121" t="inlineStr"/>
      <c r="D121" t="inlineStr"/>
      <c r="E121" t="inlineStr">
        <is>
          <t>Money.</t>
        </is>
      </c>
      <c r="F121" t="inlineStr">
        <is>
          <t>Cost / Finances</t>
        </is>
      </c>
      <c r="G121" t="inlineStr">
        <is>
          <t>Cost / Finances</t>
        </is>
      </c>
      <c r="H121" t="inlineStr"/>
      <c r="I121" t="inlineStr">
        <is>
          <t>HXP Can Directly Fix</t>
        </is>
      </c>
      <c r="J121" t="b">
        <v>0</v>
      </c>
      <c r="K121" t="n">
        <v>1</v>
      </c>
      <c r="L121" t="inlineStr"/>
      <c r="M121" t="inlineStr"/>
    </row>
    <row r="122">
      <c r="A122" t="inlineStr">
        <is>
          <t>No</t>
        </is>
      </c>
      <c r="B122" t="inlineStr"/>
      <c r="C122" t="inlineStr"/>
      <c r="D122" t="inlineStr"/>
      <c r="E122" t="inlineStr"/>
      <c r="F122" t="inlineStr"/>
      <c r="G122" t="inlineStr"/>
      <c r="H122" t="inlineStr"/>
      <c r="I122" t="inlineStr"/>
      <c r="J122" t="b">
        <v>0</v>
      </c>
      <c r="K122" t="n">
        <v>0</v>
      </c>
      <c r="L122" t="inlineStr"/>
      <c r="M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c r="I123" t="inlineStr">
        <is>
          <t>HXP Can Influence</t>
        </is>
      </c>
      <c r="J123" t="b">
        <v>0</v>
      </c>
      <c r="K123" t="n">
        <v>1</v>
      </c>
      <c r="L123" t="inlineStr"/>
      <c r="M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c r="I124" t="inlineStr">
        <is>
          <t>HXP Can Directly Fix</t>
        </is>
      </c>
      <c r="J124" t="b">
        <v>0</v>
      </c>
      <c r="K124" t="n">
        <v>1</v>
      </c>
      <c r="L124" t="inlineStr"/>
      <c r="M124" t="inlineStr"/>
    </row>
    <row r="125">
      <c r="A125" t="inlineStr">
        <is>
          <t>Yes</t>
        </is>
      </c>
      <c r="B125" t="inlineStr">
        <is>
          <t>My son and wife asked me if I would like to participate as a Parent Builder... You don't say No to that kind of invitation... I was on it!</t>
        </is>
      </c>
      <c r="C125" t="inlineStr">
        <is>
          <t>Family Member Asked or Influenced Them to Go</t>
        </is>
      </c>
      <c r="D125" t="inlineStr">
        <is>
          <t>Family Member Asked or Influenced Them to Go</t>
        </is>
      </c>
      <c r="E125" t="inlineStr"/>
      <c r="F125" t="inlineStr"/>
      <c r="G125" t="inlineStr"/>
      <c r="H125" t="inlineStr"/>
      <c r="I125" t="inlineStr"/>
      <c r="J125" t="b">
        <v>0</v>
      </c>
      <c r="K125" t="n">
        <v>0</v>
      </c>
      <c r="L125" t="inlineStr"/>
      <c r="M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c r="I126" t="inlineStr">
        <is>
          <t>HXP Can Directly Fix</t>
        </is>
      </c>
      <c r="J126" t="b">
        <v>0</v>
      </c>
      <c r="K126" t="n">
        <v>2</v>
      </c>
      <c r="L126" t="inlineStr"/>
      <c r="M126" t="inlineStr"/>
    </row>
    <row r="127">
      <c r="A127" t="inlineStr">
        <is>
          <t>Maybe</t>
        </is>
      </c>
      <c r="B127" t="inlineStr"/>
      <c r="C127" t="inlineStr"/>
      <c r="D127" t="inlineStr"/>
      <c r="E127" t="inlineStr"/>
      <c r="F127" t="inlineStr"/>
      <c r="G127" t="inlineStr"/>
      <c r="H127" t="inlineStr"/>
      <c r="I127" t="inlineStr"/>
      <c r="J127" t="b">
        <v>0</v>
      </c>
      <c r="K127" t="n">
        <v>0</v>
      </c>
      <c r="L127" t="inlineStr"/>
      <c r="M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c r="I128" t="inlineStr">
        <is>
          <t>Family's Own Choice</t>
        </is>
      </c>
      <c r="J128" t="b">
        <v>0</v>
      </c>
      <c r="K128" t="n">
        <v>1</v>
      </c>
      <c r="L128" t="inlineStr"/>
      <c r="M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c r="I129" t="inlineStr">
        <is>
          <t>Family's Own Choice</t>
        </is>
      </c>
      <c r="J129" t="b">
        <v>0</v>
      </c>
      <c r="K129" t="n">
        <v>1</v>
      </c>
      <c r="L129" t="inlineStr"/>
      <c r="M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c r="I130" t="inlineStr">
        <is>
          <t>HXP Can Directly Fix</t>
        </is>
      </c>
      <c r="J130" t="b">
        <v>0</v>
      </c>
      <c r="K130" t="n">
        <v>2</v>
      </c>
      <c r="L130" t="inlineStr"/>
      <c r="M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c r="I131" t="inlineStr">
        <is>
          <t>HXP Can Directly Fix</t>
        </is>
      </c>
      <c r="J131" t="b">
        <v>0</v>
      </c>
      <c r="K131" t="n">
        <v>1</v>
      </c>
      <c r="L131" t="inlineStr"/>
      <c r="M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c r="I132" t="inlineStr"/>
      <c r="J132" t="b">
        <v>0</v>
      </c>
      <c r="K132" t="n">
        <v>0</v>
      </c>
      <c r="L132" t="inlineStr"/>
      <c r="M132" t="inlineStr"/>
    </row>
    <row r="133">
      <c r="A133" t="inlineStr">
        <is>
          <t>No</t>
        </is>
      </c>
      <c r="B133" t="inlineStr"/>
      <c r="C133" t="inlineStr"/>
      <c r="D133" t="inlineStr"/>
      <c r="E133" t="inlineStr">
        <is>
          <t>Cost</t>
        </is>
      </c>
      <c r="F133" t="inlineStr">
        <is>
          <t>Cost / Finances</t>
        </is>
      </c>
      <c r="G133" t="inlineStr">
        <is>
          <t>Cost / Finances</t>
        </is>
      </c>
      <c r="H133" t="inlineStr"/>
      <c r="I133" t="inlineStr">
        <is>
          <t>HXP Can Directly Fix</t>
        </is>
      </c>
      <c r="J133" t="b">
        <v>0</v>
      </c>
      <c r="K133" t="n">
        <v>1</v>
      </c>
      <c r="L133" t="inlineStr"/>
      <c r="M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c r="I134" t="inlineStr">
        <is>
          <t>Family's Own Choice</t>
        </is>
      </c>
      <c r="J134" t="b">
        <v>0</v>
      </c>
      <c r="K134" t="n">
        <v>1</v>
      </c>
      <c r="L134" t="inlineStr"/>
      <c r="M134" t="inlineStr"/>
    </row>
    <row r="135">
      <c r="A135" t="inlineStr">
        <is>
          <t>No</t>
        </is>
      </c>
      <c r="B135" t="inlineStr"/>
      <c r="C135" t="inlineStr"/>
      <c r="D135" t="inlineStr"/>
      <c r="E135" t="inlineStr"/>
      <c r="F135" t="inlineStr"/>
      <c r="G135" t="inlineStr"/>
      <c r="H135" t="inlineStr"/>
      <c r="I135" t="inlineStr"/>
      <c r="J135" t="b">
        <v>0</v>
      </c>
      <c r="K135" t="n">
        <v>0</v>
      </c>
      <c r="L135" t="inlineStr"/>
      <c r="M135" t="inlineStr"/>
    </row>
    <row r="136">
      <c r="A136" t="inlineStr">
        <is>
          <t>No</t>
        </is>
      </c>
      <c r="B136" t="inlineStr"/>
      <c r="C136" t="inlineStr"/>
      <c r="D136" t="inlineStr"/>
      <c r="E136" t="inlineStr">
        <is>
          <t>Additional Cost</t>
        </is>
      </c>
      <c r="F136" t="inlineStr">
        <is>
          <t>Cost / Finances</t>
        </is>
      </c>
      <c r="G136" t="inlineStr">
        <is>
          <t>Cost / Finances</t>
        </is>
      </c>
      <c r="H136" t="inlineStr"/>
      <c r="I136" t="inlineStr">
        <is>
          <t>HXP Can Directly Fix</t>
        </is>
      </c>
      <c r="J136" t="b">
        <v>0</v>
      </c>
      <c r="K136" t="n">
        <v>1</v>
      </c>
      <c r="L136" t="inlineStr"/>
      <c r="M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c r="I137" t="inlineStr">
        <is>
          <t>HXP Can Influence</t>
        </is>
      </c>
      <c r="J137" t="b">
        <v>0</v>
      </c>
      <c r="K137" t="n">
        <v>1</v>
      </c>
      <c r="L137" t="inlineStr"/>
      <c r="M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c r="I138" t="inlineStr">
        <is>
          <t>HXP Can Influence</t>
        </is>
      </c>
      <c r="J138" t="b">
        <v>0</v>
      </c>
      <c r="K138" t="n">
        <v>1</v>
      </c>
      <c r="L138" t="inlineStr"/>
      <c r="M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c r="I139" t="inlineStr">
        <is>
          <t>HXP Can Influence</t>
        </is>
      </c>
      <c r="J139" t="b">
        <v>0</v>
      </c>
      <c r="K139" t="n">
        <v>1</v>
      </c>
      <c r="L139" t="inlineStr"/>
      <c r="M139" t="inlineStr"/>
    </row>
    <row r="140">
      <c r="A140" t="inlineStr">
        <is>
          <t>No</t>
        </is>
      </c>
      <c r="B140" t="inlineStr"/>
      <c r="C140" t="inlineStr"/>
      <c r="D140" t="inlineStr"/>
      <c r="E140" t="inlineStr"/>
      <c r="F140" t="inlineStr"/>
      <c r="G140" t="inlineStr"/>
      <c r="H140" t="inlineStr"/>
      <c r="I140" t="inlineStr"/>
      <c r="J140" t="b">
        <v>0</v>
      </c>
      <c r="K140" t="n">
        <v>0</v>
      </c>
      <c r="L140" t="inlineStr"/>
      <c r="M140" t="inlineStr"/>
    </row>
    <row r="141">
      <c r="A141" t="inlineStr">
        <is>
          <t>No</t>
        </is>
      </c>
      <c r="B141" t="inlineStr"/>
      <c r="C141" t="inlineStr"/>
      <c r="D141" t="inlineStr"/>
      <c r="E141" t="inlineStr">
        <is>
          <t>Cost</t>
        </is>
      </c>
      <c r="F141" t="inlineStr">
        <is>
          <t>Cost / Finances</t>
        </is>
      </c>
      <c r="G141" t="inlineStr">
        <is>
          <t>Cost / Finances</t>
        </is>
      </c>
      <c r="H141" t="inlineStr"/>
      <c r="I141" t="inlineStr">
        <is>
          <t>HXP Can Directly Fix</t>
        </is>
      </c>
      <c r="J141" t="b">
        <v>0</v>
      </c>
      <c r="K141" t="n">
        <v>1</v>
      </c>
      <c r="L141" t="inlineStr"/>
      <c r="M141" t="inlineStr"/>
    </row>
    <row r="142">
      <c r="A142" t="inlineStr">
        <is>
          <t>No</t>
        </is>
      </c>
      <c r="B142" t="inlineStr"/>
      <c r="C142" t="inlineStr"/>
      <c r="D142" t="inlineStr"/>
      <c r="E142" t="inlineStr">
        <is>
          <t>my child</t>
        </is>
      </c>
      <c r="F142" t="inlineStr">
        <is>
          <t>Family's Own Choice (No Elaboration)</t>
        </is>
      </c>
      <c r="G142" t="inlineStr">
        <is>
          <t>Family's Own Choice (No Elaboration)</t>
        </is>
      </c>
      <c r="H142" t="inlineStr"/>
      <c r="I142" t="inlineStr">
        <is>
          <t>Family's Own Choice</t>
        </is>
      </c>
      <c r="J142" t="b">
        <v>0</v>
      </c>
      <c r="K142" t="n">
        <v>1</v>
      </c>
      <c r="L142" t="inlineStr"/>
      <c r="M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c r="I143" t="inlineStr">
        <is>
          <t>Family's Own Choice</t>
        </is>
      </c>
      <c r="J143" t="b">
        <v>0</v>
      </c>
      <c r="K143" t="n">
        <v>1</v>
      </c>
      <c r="L143" t="inlineStr"/>
      <c r="M143" t="inlineStr"/>
    </row>
    <row r="144">
      <c r="A144" t="inlineStr">
        <is>
          <t>No</t>
        </is>
      </c>
      <c r="B144" t="inlineStr"/>
      <c r="C144" t="inlineStr"/>
      <c r="D144" t="inlineStr"/>
      <c r="E144" t="inlineStr">
        <is>
          <t>Cost</t>
        </is>
      </c>
      <c r="F144" t="inlineStr">
        <is>
          <t>Cost / Finances</t>
        </is>
      </c>
      <c r="G144" t="inlineStr">
        <is>
          <t>Cost / Finances</t>
        </is>
      </c>
      <c r="H144" t="inlineStr"/>
      <c r="I144" t="inlineStr">
        <is>
          <t>HXP Can Directly Fix</t>
        </is>
      </c>
      <c r="J144" t="b">
        <v>0</v>
      </c>
      <c r="K144" t="n">
        <v>1</v>
      </c>
      <c r="L144" t="inlineStr"/>
      <c r="M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c r="I145" t="inlineStr">
        <is>
          <t>Family's Own Choice</t>
        </is>
      </c>
      <c r="J145" t="b">
        <v>0</v>
      </c>
      <c r="K145" t="n">
        <v>1</v>
      </c>
      <c r="L145" t="inlineStr"/>
      <c r="M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c r="I146" t="inlineStr"/>
      <c r="J146" t="b">
        <v>0</v>
      </c>
      <c r="K146" t="n">
        <v>0</v>
      </c>
      <c r="L146" t="inlineStr"/>
      <c r="M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c r="I147" t="inlineStr">
        <is>
          <t>Family's Own Choice</t>
        </is>
      </c>
      <c r="J147" t="b">
        <v>0</v>
      </c>
      <c r="K147" t="n">
        <v>1</v>
      </c>
      <c r="L147" t="inlineStr"/>
      <c r="M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c r="I148" t="inlineStr">
        <is>
          <t>Family's Own Choice</t>
        </is>
      </c>
      <c r="J148" t="b">
        <v>0</v>
      </c>
      <c r="K148" t="n">
        <v>2</v>
      </c>
      <c r="L148" t="inlineStr"/>
      <c r="M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c r="I149" t="inlineStr">
        <is>
          <t>HXP Can Directly Fix</t>
        </is>
      </c>
      <c r="J149" t="b">
        <v>0</v>
      </c>
      <c r="K149" t="n">
        <v>2</v>
      </c>
      <c r="L149" t="inlineStr"/>
      <c r="M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c r="I150" t="inlineStr">
        <is>
          <t>Family's Own Choice</t>
        </is>
      </c>
      <c r="J150" t="b">
        <v>0</v>
      </c>
      <c r="K150" t="n">
        <v>1</v>
      </c>
      <c r="L150" t="inlineStr"/>
      <c r="M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c r="I151" t="inlineStr">
        <is>
          <t>HXP Can Influence</t>
        </is>
      </c>
      <c r="J151" t="b">
        <v>0</v>
      </c>
      <c r="K151" t="n">
        <v>1</v>
      </c>
      <c r="L151" t="inlineStr"/>
      <c r="M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c r="I152" t="inlineStr">
        <is>
          <t>HXP Can Influence</t>
        </is>
      </c>
      <c r="J152" t="b">
        <v>0</v>
      </c>
      <c r="K152" t="n">
        <v>1</v>
      </c>
      <c r="L152" t="inlineStr"/>
      <c r="M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c r="I153" t="inlineStr">
        <is>
          <t>Family's Own Choice</t>
        </is>
      </c>
      <c r="J153" t="b">
        <v>0</v>
      </c>
      <c r="K153" t="n">
        <v>2</v>
      </c>
      <c r="L153" t="inlineStr"/>
      <c r="M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c r="I154" t="inlineStr">
        <is>
          <t>HXP Can Directly Fix</t>
        </is>
      </c>
      <c r="J154" t="b">
        <v>0</v>
      </c>
      <c r="K154" t="n">
        <v>2</v>
      </c>
      <c r="L154" t="inlineStr"/>
      <c r="M154" t="inlineStr"/>
    </row>
    <row r="155">
      <c r="A155" t="inlineStr">
        <is>
          <t>No</t>
        </is>
      </c>
      <c r="B155" t="inlineStr"/>
      <c r="C155" t="inlineStr"/>
      <c r="D155" t="inlineStr"/>
      <c r="E155" t="inlineStr">
        <is>
          <t>Time</t>
        </is>
      </c>
      <c r="F155" t="inlineStr">
        <is>
          <t>Work Schedule / Time Off</t>
        </is>
      </c>
      <c r="G155" t="inlineStr">
        <is>
          <t>Work Schedule / Time Off</t>
        </is>
      </c>
      <c r="H155" t="inlineStr"/>
      <c r="I155" t="inlineStr">
        <is>
          <t>HXP Can Influence</t>
        </is>
      </c>
      <c r="J155" t="b">
        <v>0</v>
      </c>
      <c r="K155" t="n">
        <v>1</v>
      </c>
      <c r="L155" t="inlineStr"/>
      <c r="M155" t="inlineStr"/>
    </row>
    <row r="156">
      <c r="A156" t="inlineStr">
        <is>
          <t>No</t>
        </is>
      </c>
      <c r="B156" t="inlineStr"/>
      <c r="C156" t="inlineStr"/>
      <c r="D156" t="inlineStr"/>
      <c r="E156" t="inlineStr">
        <is>
          <t>We think it would be great for our son to go without one of us. My older son went last year with my husband.</t>
        </is>
      </c>
      <c r="F156" t="inlineStr">
        <is>
          <t>Wants Child to Have Independent Experience</t>
        </is>
      </c>
      <c r="G156" t="inlineStr">
        <is>
          <t>Wants Child to Have Independent Experience</t>
        </is>
      </c>
      <c r="H156" t="inlineStr"/>
      <c r="I156" t="inlineStr">
        <is>
          <t>Family's Own Choice</t>
        </is>
      </c>
      <c r="J156" t="b">
        <v>0</v>
      </c>
      <c r="K156" t="n">
        <v>1</v>
      </c>
      <c r="L156" t="inlineStr"/>
      <c r="M156" t="inlineStr"/>
    </row>
    <row r="157">
      <c r="A157" t="inlineStr">
        <is>
          <t>No</t>
        </is>
      </c>
      <c r="B157" t="inlineStr"/>
      <c r="C157" t="inlineStr"/>
      <c r="D157" t="inlineStr"/>
      <c r="E157" t="inlineStr">
        <is>
          <t>Cost</t>
        </is>
      </c>
      <c r="F157" t="inlineStr">
        <is>
          <t>Cost / Finances</t>
        </is>
      </c>
      <c r="G157" t="inlineStr">
        <is>
          <t>Cost / Finances</t>
        </is>
      </c>
      <c r="H157" t="inlineStr"/>
      <c r="I157" t="inlineStr">
        <is>
          <t>HXP Can Directly Fix</t>
        </is>
      </c>
      <c r="J157" t="b">
        <v>0</v>
      </c>
      <c r="K157" t="n">
        <v>1</v>
      </c>
      <c r="L157" t="inlineStr"/>
      <c r="M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c r="I158" t="inlineStr">
        <is>
          <t>HXP Can Influence</t>
        </is>
      </c>
      <c r="J158" t="b">
        <v>0</v>
      </c>
      <c r="K158" t="n">
        <v>1</v>
      </c>
      <c r="L158" t="inlineStr"/>
      <c r="M158" t="inlineStr"/>
    </row>
    <row r="159">
      <c r="A159" t="inlineStr">
        <is>
          <t>No</t>
        </is>
      </c>
      <c r="B159" t="inlineStr"/>
      <c r="C159" t="inlineStr"/>
      <c r="D159" t="inlineStr"/>
      <c r="E159" t="inlineStr"/>
      <c r="F159" t="inlineStr"/>
      <c r="G159" t="inlineStr"/>
      <c r="H159" t="inlineStr"/>
      <c r="I159" t="inlineStr"/>
      <c r="J159" t="b">
        <v>0</v>
      </c>
      <c r="K159" t="n">
        <v>0</v>
      </c>
      <c r="L159" t="inlineStr"/>
      <c r="M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c r="I160" t="inlineStr">
        <is>
          <t>HXP Can Influence</t>
        </is>
      </c>
      <c r="J160" t="b">
        <v>0</v>
      </c>
      <c r="K160" t="n">
        <v>1</v>
      </c>
      <c r="L160" t="inlineStr"/>
      <c r="M160" t="inlineStr"/>
    </row>
    <row r="161">
      <c r="A161" t="inlineStr">
        <is>
          <t>No</t>
        </is>
      </c>
      <c r="B161" t="inlineStr"/>
      <c r="C161" t="inlineStr"/>
      <c r="D161" t="inlineStr"/>
      <c r="E161" t="inlineStr">
        <is>
          <t>Can't make it.</t>
        </is>
      </c>
      <c r="F161" t="inlineStr">
        <is>
          <t>Work Schedule / Time Off</t>
        </is>
      </c>
      <c r="G161" t="inlineStr">
        <is>
          <t>Work Schedule / Time Off</t>
        </is>
      </c>
      <c r="H161" t="inlineStr"/>
      <c r="I161" t="inlineStr">
        <is>
          <t>HXP Can Influence</t>
        </is>
      </c>
      <c r="J161" t="b">
        <v>0</v>
      </c>
      <c r="K161" t="n">
        <v>1</v>
      </c>
      <c r="L161" t="inlineStr"/>
      <c r="M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c r="I162" t="inlineStr">
        <is>
          <t>HXP Can Influence</t>
        </is>
      </c>
      <c r="J162" t="b">
        <v>0</v>
      </c>
      <c r="K162" t="n">
        <v>1</v>
      </c>
      <c r="L162" t="inlineStr"/>
      <c r="M162" t="inlineStr"/>
    </row>
    <row r="163">
      <c r="A163" t="inlineStr">
        <is>
          <t>No</t>
        </is>
      </c>
      <c r="B163" t="inlineStr"/>
      <c r="C163" t="inlineStr"/>
      <c r="D163" t="inlineStr"/>
      <c r="E163" t="inlineStr">
        <is>
          <t>Money</t>
        </is>
      </c>
      <c r="F163" t="inlineStr">
        <is>
          <t>Cost / Finances</t>
        </is>
      </c>
      <c r="G163" t="inlineStr">
        <is>
          <t>Cost / Finances</t>
        </is>
      </c>
      <c r="H163" t="inlineStr"/>
      <c r="I163" t="inlineStr">
        <is>
          <t>HXP Can Directly Fix</t>
        </is>
      </c>
      <c r="J163" t="b">
        <v>0</v>
      </c>
      <c r="K163" t="n">
        <v>1</v>
      </c>
      <c r="L163" t="inlineStr"/>
      <c r="M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c r="I164" t="inlineStr">
        <is>
          <t>Family's Own Choice</t>
        </is>
      </c>
      <c r="J164" t="b">
        <v>0</v>
      </c>
      <c r="K164" t="n">
        <v>1</v>
      </c>
      <c r="L164" t="inlineStr"/>
      <c r="M164" t="inlineStr"/>
    </row>
    <row r="165">
      <c r="A165" t="inlineStr">
        <is>
          <t>Yes</t>
        </is>
      </c>
      <c r="B165" t="inlineStr"/>
      <c r="C165" t="inlineStr"/>
      <c r="D165" t="inlineStr"/>
      <c r="E165" t="inlineStr"/>
      <c r="F165" t="inlineStr"/>
      <c r="G165" t="inlineStr"/>
      <c r="H165" t="inlineStr"/>
      <c r="I165" t="inlineStr"/>
      <c r="J165" t="b">
        <v>0</v>
      </c>
      <c r="K165" t="n">
        <v>0</v>
      </c>
      <c r="L165" t="inlineStr"/>
      <c r="M165" t="inlineStr"/>
    </row>
    <row r="166">
      <c r="A166" t="inlineStr">
        <is>
          <t>No</t>
        </is>
      </c>
      <c r="B166" t="inlineStr"/>
      <c r="C166" t="inlineStr"/>
      <c r="D166" t="inlineStr"/>
      <c r="E166" t="inlineStr"/>
      <c r="F166" t="inlineStr"/>
      <c r="G166" t="inlineStr"/>
      <c r="H166" t="inlineStr"/>
      <c r="I166" t="inlineStr"/>
      <c r="J166" t="b">
        <v>0</v>
      </c>
      <c r="K166" t="n">
        <v>0</v>
      </c>
      <c r="L166" t="inlineStr"/>
      <c r="M166" t="inlineStr"/>
    </row>
    <row r="167">
      <c r="A167" t="inlineStr">
        <is>
          <t>No</t>
        </is>
      </c>
      <c r="B167" t="inlineStr"/>
      <c r="C167" t="inlineStr"/>
      <c r="D167" t="inlineStr"/>
      <c r="E167" t="inlineStr">
        <is>
          <t>Work</t>
        </is>
      </c>
      <c r="F167" t="inlineStr">
        <is>
          <t>Work Schedule / Time Off</t>
        </is>
      </c>
      <c r="G167" t="inlineStr">
        <is>
          <t>Work Schedule / Time Off</t>
        </is>
      </c>
      <c r="H167" t="inlineStr"/>
      <c r="I167" t="inlineStr">
        <is>
          <t>HXP Can Influence</t>
        </is>
      </c>
      <c r="J167" t="b">
        <v>0</v>
      </c>
      <c r="K167" t="n">
        <v>1</v>
      </c>
      <c r="L167" t="inlineStr"/>
      <c r="M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c r="I168" t="inlineStr">
        <is>
          <t>Family's Own Choice</t>
        </is>
      </c>
      <c r="J168" t="b">
        <v>0</v>
      </c>
      <c r="K168" t="n">
        <v>1</v>
      </c>
      <c r="L168" t="inlineStr"/>
      <c r="M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c r="I169" t="inlineStr">
        <is>
          <t>Family's Own Choice</t>
        </is>
      </c>
      <c r="J169" t="b">
        <v>0</v>
      </c>
      <c r="K169" t="n">
        <v>1</v>
      </c>
      <c r="L169" t="inlineStr"/>
      <c r="M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c r="I170" t="inlineStr">
        <is>
          <t>Family's Own Choice</t>
        </is>
      </c>
      <c r="J170" t="b">
        <v>0</v>
      </c>
      <c r="K170" t="n">
        <v>1</v>
      </c>
      <c r="L170" t="inlineStr"/>
      <c r="M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c r="I171" t="inlineStr">
        <is>
          <t>Family's Own Choice</t>
        </is>
      </c>
      <c r="J171" t="b">
        <v>0</v>
      </c>
      <c r="K171" t="n">
        <v>1</v>
      </c>
      <c r="L171" t="inlineStr"/>
      <c r="M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c r="I172" t="inlineStr">
        <is>
          <t>HXP Can Directly Fix</t>
        </is>
      </c>
      <c r="J172" t="b">
        <v>0</v>
      </c>
      <c r="K172" t="n">
        <v>2</v>
      </c>
      <c r="L172" t="inlineStr"/>
      <c r="M172" t="inlineStr"/>
    </row>
    <row r="173">
      <c r="A173" t="inlineStr">
        <is>
          <t>No</t>
        </is>
      </c>
      <c r="B173" t="inlineStr"/>
      <c r="C173" t="inlineStr"/>
      <c r="D173" t="inlineStr"/>
      <c r="E173" t="inlineStr">
        <is>
          <t>Cost</t>
        </is>
      </c>
      <c r="F173" t="inlineStr">
        <is>
          <t>Cost / Finances</t>
        </is>
      </c>
      <c r="G173" t="inlineStr">
        <is>
          <t>Cost / Finances</t>
        </is>
      </c>
      <c r="H173" t="inlineStr"/>
      <c r="I173" t="inlineStr">
        <is>
          <t>HXP Can Directly Fix</t>
        </is>
      </c>
      <c r="J173" t="b">
        <v>0</v>
      </c>
      <c r="K173" t="n">
        <v>1</v>
      </c>
      <c r="L173" t="inlineStr"/>
      <c r="M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c r="I174" t="inlineStr">
        <is>
          <t>HXP Can Directly Fix</t>
        </is>
      </c>
      <c r="J174" t="b">
        <v>0</v>
      </c>
      <c r="K174" t="n">
        <v>2</v>
      </c>
      <c r="L174" t="inlineStr"/>
      <c r="M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c r="I175" t="inlineStr">
        <is>
          <t>HXP Can Influence</t>
        </is>
      </c>
      <c r="J175" t="b">
        <v>1</v>
      </c>
      <c r="K175" t="n">
        <v>1</v>
      </c>
      <c r="L175" t="inlineStr"/>
      <c r="M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c r="I176" t="inlineStr">
        <is>
          <t>Family's Own Choice</t>
        </is>
      </c>
      <c r="J176" t="b">
        <v>0</v>
      </c>
      <c r="K176" t="n">
        <v>1</v>
      </c>
      <c r="L176" t="inlineStr"/>
      <c r="M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c r="I177" t="inlineStr">
        <is>
          <t>Family's Own Choice</t>
        </is>
      </c>
      <c r="J177" t="b">
        <v>0</v>
      </c>
      <c r="K177" t="n">
        <v>1</v>
      </c>
      <c r="L177" t="inlineStr"/>
      <c r="M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c r="I178" t="inlineStr"/>
      <c r="J178" t="b">
        <v>0</v>
      </c>
      <c r="K178" t="n">
        <v>0</v>
      </c>
      <c r="L178" t="inlineStr">
        <is>
          <t>Other / Uncategorized</t>
        </is>
      </c>
      <c r="M178" t="inlineStr"/>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c r="I179" t="inlineStr">
        <is>
          <t>Family's Own Choice</t>
        </is>
      </c>
      <c r="J179" t="b">
        <v>0</v>
      </c>
      <c r="K179" t="n">
        <v>3</v>
      </c>
      <c r="L179" t="inlineStr"/>
      <c r="M179" t="inlineStr"/>
    </row>
    <row r="180">
      <c r="A180" t="inlineStr">
        <is>
          <t>No</t>
        </is>
      </c>
      <c r="B180" t="inlineStr"/>
      <c r="C180" t="inlineStr"/>
      <c r="D180" t="inlineStr"/>
      <c r="E180" t="inlineStr">
        <is>
          <t>Expense</t>
        </is>
      </c>
      <c r="F180" t="inlineStr">
        <is>
          <t>Cost / Finances</t>
        </is>
      </c>
      <c r="G180" t="inlineStr">
        <is>
          <t>Cost / Finances</t>
        </is>
      </c>
      <c r="H180" t="inlineStr"/>
      <c r="I180" t="inlineStr">
        <is>
          <t>HXP Can Directly Fix</t>
        </is>
      </c>
      <c r="J180" t="b">
        <v>0</v>
      </c>
      <c r="K180" t="n">
        <v>1</v>
      </c>
      <c r="L180" t="inlineStr"/>
      <c r="M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c r="I181" t="inlineStr">
        <is>
          <t>HXP Can Influence</t>
        </is>
      </c>
      <c r="J181" t="b">
        <v>0</v>
      </c>
      <c r="K181" t="n">
        <v>2</v>
      </c>
      <c r="L181" t="inlineStr"/>
      <c r="M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c r="I182" t="inlineStr">
        <is>
          <t>Family's Own Choice</t>
        </is>
      </c>
      <c r="J182" t="b">
        <v>0</v>
      </c>
      <c r="K182" t="n">
        <v>1</v>
      </c>
      <c r="L182" t="inlineStr"/>
      <c r="M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c r="I183" t="inlineStr">
        <is>
          <t>HXP Can Influence</t>
        </is>
      </c>
      <c r="J183" t="b">
        <v>0</v>
      </c>
      <c r="K183" t="n">
        <v>1</v>
      </c>
      <c r="L183" t="inlineStr"/>
      <c r="M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c r="I184" t="inlineStr">
        <is>
          <t>Family's Own Choice</t>
        </is>
      </c>
      <c r="J184" t="b">
        <v>0</v>
      </c>
      <c r="K184" t="n">
        <v>1</v>
      </c>
      <c r="L184" t="inlineStr"/>
      <c r="M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c r="I185" t="inlineStr">
        <is>
          <t>Family's Own Choice</t>
        </is>
      </c>
      <c r="J185" t="b">
        <v>0</v>
      </c>
      <c r="K185" t="n">
        <v>1</v>
      </c>
      <c r="L185" t="inlineStr"/>
      <c r="M185" t="inlineStr"/>
    </row>
    <row r="186">
      <c r="A186" t="inlineStr">
        <is>
          <t>Maybe</t>
        </is>
      </c>
      <c r="B186" t="inlineStr"/>
      <c r="C186" t="inlineStr"/>
      <c r="D186" t="inlineStr"/>
      <c r="E186" t="inlineStr"/>
      <c r="F186" t="inlineStr"/>
      <c r="G186" t="inlineStr"/>
      <c r="H186" t="inlineStr"/>
      <c r="I186" t="inlineStr"/>
      <c r="J186" t="b">
        <v>0</v>
      </c>
      <c r="K186" t="n">
        <v>0</v>
      </c>
      <c r="L186" t="inlineStr"/>
      <c r="M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c r="I187" t="inlineStr">
        <is>
          <t>HXP Can Directly Fix</t>
        </is>
      </c>
      <c r="J187" t="b">
        <v>0</v>
      </c>
      <c r="K187" t="n">
        <v>1</v>
      </c>
      <c r="L187" t="inlineStr"/>
      <c r="M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c r="I188" t="inlineStr">
        <is>
          <t>HXP Can Influence</t>
        </is>
      </c>
      <c r="J188" t="b">
        <v>0</v>
      </c>
      <c r="K188" t="n">
        <v>2</v>
      </c>
      <c r="L188" t="inlineStr"/>
      <c r="M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c r="I189" t="inlineStr">
        <is>
          <t>Family's Own Choice</t>
        </is>
      </c>
      <c r="J189" t="b">
        <v>0</v>
      </c>
      <c r="K189" t="n">
        <v>1</v>
      </c>
      <c r="L189" t="inlineStr"/>
      <c r="M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c r="I190" t="inlineStr">
        <is>
          <t>Family's Own Choice</t>
        </is>
      </c>
      <c r="J190" t="b">
        <v>0</v>
      </c>
      <c r="K190" t="n">
        <v>1</v>
      </c>
      <c r="L190" t="inlineStr"/>
      <c r="M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c r="I191" t="inlineStr">
        <is>
          <t>Family's Own Choice</t>
        </is>
      </c>
      <c r="J191" t="b">
        <v>0</v>
      </c>
      <c r="K191" t="n">
        <v>1</v>
      </c>
      <c r="L191" t="inlineStr"/>
      <c r="M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c r="I192" t="inlineStr">
        <is>
          <t>HXP Can Directly Fix</t>
        </is>
      </c>
      <c r="J192" t="b">
        <v>0</v>
      </c>
      <c r="K192" t="n">
        <v>2</v>
      </c>
      <c r="L192" t="inlineStr"/>
      <c r="M192" t="inlineStr"/>
    </row>
    <row r="193">
      <c r="A193" t="inlineStr">
        <is>
          <t>No</t>
        </is>
      </c>
      <c r="B193" t="inlineStr"/>
      <c r="C193" t="inlineStr"/>
      <c r="D193" t="inlineStr"/>
      <c r="E193" t="inlineStr"/>
      <c r="F193" t="inlineStr"/>
      <c r="G193" t="inlineStr"/>
      <c r="H193" t="inlineStr"/>
      <c r="I193" t="inlineStr"/>
      <c r="J193" t="b">
        <v>0</v>
      </c>
      <c r="K193" t="n">
        <v>0</v>
      </c>
      <c r="L193" t="inlineStr"/>
      <c r="M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c r="I194" t="inlineStr">
        <is>
          <t>Family's Own Choice</t>
        </is>
      </c>
      <c r="J194" t="b">
        <v>0</v>
      </c>
      <c r="K194" t="n">
        <v>2</v>
      </c>
      <c r="L194" t="inlineStr"/>
      <c r="M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c r="I195" t="inlineStr">
        <is>
          <t>HXP Can Influence</t>
        </is>
      </c>
      <c r="J195" t="b">
        <v>0</v>
      </c>
      <c r="K195" t="n">
        <v>4</v>
      </c>
      <c r="L195" t="inlineStr"/>
      <c r="M195" t="inlineStr"/>
    </row>
    <row r="196">
      <c r="A196" t="inlineStr">
        <is>
          <t>No</t>
        </is>
      </c>
      <c r="B196" t="inlineStr"/>
      <c r="C196" t="inlineStr"/>
      <c r="D196" t="inlineStr"/>
      <c r="E196" t="inlineStr">
        <is>
          <t>Cost.</t>
        </is>
      </c>
      <c r="F196" t="inlineStr">
        <is>
          <t>Cost / Finances</t>
        </is>
      </c>
      <c r="G196" t="inlineStr">
        <is>
          <t>Cost / Finances</t>
        </is>
      </c>
      <c r="H196" t="inlineStr"/>
      <c r="I196" t="inlineStr">
        <is>
          <t>HXP Can Directly Fix</t>
        </is>
      </c>
      <c r="J196" t="b">
        <v>0</v>
      </c>
      <c r="K196" t="n">
        <v>1</v>
      </c>
      <c r="L196" t="inlineStr"/>
      <c r="M196" t="inlineStr"/>
    </row>
    <row r="197">
      <c r="A197" t="inlineStr">
        <is>
          <t>Yes</t>
        </is>
      </c>
      <c r="B197" t="inlineStr">
        <is>
          <t>Someone at hxp and my daughter</t>
        </is>
      </c>
      <c r="C197" t="inlineStr">
        <is>
          <t>Other / Uncategorized</t>
        </is>
      </c>
      <c r="D197" t="inlineStr"/>
      <c r="E197" t="inlineStr"/>
      <c r="F197" t="inlineStr"/>
      <c r="G197" t="inlineStr"/>
      <c r="H197" t="inlineStr"/>
      <c r="I197" t="inlineStr"/>
      <c r="J197" t="b">
        <v>0</v>
      </c>
      <c r="K197" t="n">
        <v>0</v>
      </c>
      <c r="L197" t="inlineStr"/>
      <c r="M197" t="inlineStr"/>
    </row>
    <row r="198">
      <c r="A198" t="inlineStr">
        <is>
          <t>No</t>
        </is>
      </c>
      <c r="B198" t="inlineStr"/>
      <c r="C198" t="inlineStr"/>
      <c r="D198" t="inlineStr"/>
      <c r="E198" t="inlineStr">
        <is>
          <t>Time</t>
        </is>
      </c>
      <c r="F198" t="inlineStr">
        <is>
          <t>Work Schedule / Time Off</t>
        </is>
      </c>
      <c r="G198" t="inlineStr">
        <is>
          <t>Work Schedule / Time Off</t>
        </is>
      </c>
      <c r="H198" t="inlineStr"/>
      <c r="I198" t="inlineStr">
        <is>
          <t>HXP Can Influence</t>
        </is>
      </c>
      <c r="J198" t="b">
        <v>0</v>
      </c>
      <c r="K198" t="n">
        <v>1</v>
      </c>
      <c r="L198" t="inlineStr"/>
      <c r="M198" t="inlineStr"/>
    </row>
    <row r="199">
      <c r="A199" t="inlineStr">
        <is>
          <t>No</t>
        </is>
      </c>
      <c r="B199" t="inlineStr"/>
      <c r="C199" t="inlineStr"/>
      <c r="D199" t="inlineStr"/>
      <c r="E199" t="inlineStr">
        <is>
          <t>Cost</t>
        </is>
      </c>
      <c r="F199" t="inlineStr">
        <is>
          <t>Cost / Finances</t>
        </is>
      </c>
      <c r="G199" t="inlineStr">
        <is>
          <t>Cost / Finances</t>
        </is>
      </c>
      <c r="H199" t="inlineStr"/>
      <c r="I199" t="inlineStr">
        <is>
          <t>HXP Can Directly Fix</t>
        </is>
      </c>
      <c r="J199" t="b">
        <v>0</v>
      </c>
      <c r="K199" t="n">
        <v>1</v>
      </c>
      <c r="L199" t="inlineStr"/>
      <c r="M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c r="I200" t="inlineStr">
        <is>
          <t>HXP Can Directly Fix</t>
        </is>
      </c>
      <c r="J200" t="b">
        <v>0</v>
      </c>
      <c r="K200" t="n">
        <v>2</v>
      </c>
      <c r="L200" t="inlineStr"/>
      <c r="M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Wants Child to Have Independent Experience</t>
        </is>
      </c>
      <c r="G201" t="inlineStr">
        <is>
          <t>Wants Child to Have Independent Experience</t>
        </is>
      </c>
      <c r="H201" t="inlineStr"/>
      <c r="I201" t="inlineStr">
        <is>
          <t>Family's Own Choice</t>
        </is>
      </c>
      <c r="J201" t="b">
        <v>0</v>
      </c>
      <c r="K201" t="n">
        <v>1</v>
      </c>
      <c r="L201" t="inlineStr"/>
      <c r="M201" t="inlineStr"/>
    </row>
    <row r="202">
      <c r="A202" t="inlineStr">
        <is>
          <t>No</t>
        </is>
      </c>
      <c r="B202" t="inlineStr"/>
      <c r="C202" t="inlineStr"/>
      <c r="D202" t="inlineStr"/>
      <c r="E202" t="inlineStr"/>
      <c r="F202" t="inlineStr"/>
      <c r="G202" t="inlineStr"/>
      <c r="H202" t="inlineStr"/>
      <c r="I202" t="inlineStr"/>
      <c r="J202" t="b">
        <v>0</v>
      </c>
      <c r="K202" t="n">
        <v>0</v>
      </c>
      <c r="L202" t="inlineStr"/>
      <c r="M202" t="inlineStr"/>
    </row>
    <row r="203">
      <c r="A203" t="inlineStr">
        <is>
          <t>No</t>
        </is>
      </c>
      <c r="B203" t="inlineStr"/>
      <c r="C203" t="inlineStr"/>
      <c r="D203" t="inlineStr"/>
      <c r="E203" t="inlineStr">
        <is>
          <t>My child</t>
        </is>
      </c>
      <c r="F203" t="inlineStr">
        <is>
          <t>Family's Own Choice (No Elaboration)</t>
        </is>
      </c>
      <c r="G203" t="inlineStr">
        <is>
          <t>Family's Own Choice (No Elaboration)</t>
        </is>
      </c>
      <c r="H203" t="inlineStr"/>
      <c r="I203" t="inlineStr">
        <is>
          <t>Family's Own Choice</t>
        </is>
      </c>
      <c r="J203" t="b">
        <v>0</v>
      </c>
      <c r="K203" t="n">
        <v>1</v>
      </c>
      <c r="L203" t="inlineStr"/>
      <c r="M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c r="I204" t="inlineStr">
        <is>
          <t>Family's Own Choice</t>
        </is>
      </c>
      <c r="J204" t="b">
        <v>0</v>
      </c>
      <c r="K204" t="n">
        <v>1</v>
      </c>
      <c r="L204" t="inlineStr"/>
      <c r="M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c r="I205" t="inlineStr">
        <is>
          <t>Family's Own Choice</t>
        </is>
      </c>
      <c r="J205" t="b">
        <v>0</v>
      </c>
      <c r="K205" t="n">
        <v>1</v>
      </c>
      <c r="L205" t="inlineStr"/>
      <c r="M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c r="I206" t="inlineStr">
        <is>
          <t>HXP Can Influence</t>
        </is>
      </c>
      <c r="J206" t="b">
        <v>0</v>
      </c>
      <c r="K206" t="n">
        <v>1</v>
      </c>
      <c r="L206" t="inlineStr"/>
      <c r="M206" t="inlineStr"/>
    </row>
    <row r="207">
      <c r="A207" t="inlineStr">
        <is>
          <t>No</t>
        </is>
      </c>
      <c r="B207" t="inlineStr"/>
      <c r="C207" t="inlineStr"/>
      <c r="D207" t="inlineStr"/>
      <c r="E207" t="inlineStr"/>
      <c r="F207" t="inlineStr"/>
      <c r="G207" t="inlineStr"/>
      <c r="H207" t="inlineStr"/>
      <c r="I207" t="inlineStr"/>
      <c r="J207" t="b">
        <v>0</v>
      </c>
      <c r="K207" t="n">
        <v>0</v>
      </c>
      <c r="L207" t="inlineStr"/>
      <c r="M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c r="I208" t="inlineStr">
        <is>
          <t>Family's Own Choice</t>
        </is>
      </c>
      <c r="J208" t="b">
        <v>0</v>
      </c>
      <c r="K208" t="n">
        <v>1</v>
      </c>
      <c r="L208" t="inlineStr"/>
      <c r="M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c r="I209" t="inlineStr">
        <is>
          <t>HXP Can Influence</t>
        </is>
      </c>
      <c r="J209" t="b">
        <v>0</v>
      </c>
      <c r="K209" t="n">
        <v>1</v>
      </c>
      <c r="L209" t="inlineStr"/>
      <c r="M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c r="I210" t="inlineStr"/>
      <c r="J210" t="b">
        <v>0</v>
      </c>
      <c r="K210" t="n">
        <v>0</v>
      </c>
      <c r="L210" t="inlineStr"/>
      <c r="M210" t="inlineStr"/>
    </row>
    <row r="211">
      <c r="A211" t="inlineStr">
        <is>
          <t>No</t>
        </is>
      </c>
      <c r="B211" t="inlineStr"/>
      <c r="C211" t="inlineStr"/>
      <c r="D211" t="inlineStr"/>
      <c r="E211" t="inlineStr"/>
      <c r="F211" t="inlineStr"/>
      <c r="G211" t="inlineStr"/>
      <c r="H211" t="inlineStr"/>
      <c r="I211" t="inlineStr"/>
      <c r="J211" t="b">
        <v>0</v>
      </c>
      <c r="K211" t="n">
        <v>0</v>
      </c>
      <c r="L211" t="inlineStr"/>
      <c r="M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c r="I212" t="inlineStr">
        <is>
          <t>Family's Own Choice</t>
        </is>
      </c>
      <c r="J212" t="b">
        <v>0</v>
      </c>
      <c r="K212" t="n">
        <v>1</v>
      </c>
      <c r="L212" t="inlineStr"/>
      <c r="M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c r="I213" t="inlineStr">
        <is>
          <t>HXP Can Influence</t>
        </is>
      </c>
      <c r="J213" t="b">
        <v>0</v>
      </c>
      <c r="K213" t="n">
        <v>1</v>
      </c>
      <c r="L213" t="inlineStr"/>
      <c r="M213" t="inlineStr"/>
    </row>
    <row r="214">
      <c r="A214" t="inlineStr">
        <is>
          <t>No</t>
        </is>
      </c>
      <c r="B214" t="inlineStr"/>
      <c r="C214" t="inlineStr"/>
      <c r="D214" t="inlineStr"/>
      <c r="E214" t="inlineStr">
        <is>
          <t>Money</t>
        </is>
      </c>
      <c r="F214" t="inlineStr">
        <is>
          <t>Cost / Finances</t>
        </is>
      </c>
      <c r="G214" t="inlineStr">
        <is>
          <t>Cost / Finances</t>
        </is>
      </c>
      <c r="H214" t="inlineStr"/>
      <c r="I214" t="inlineStr">
        <is>
          <t>HXP Can Directly Fix</t>
        </is>
      </c>
      <c r="J214" t="b">
        <v>0</v>
      </c>
      <c r="K214" t="n">
        <v>1</v>
      </c>
      <c r="L214" t="inlineStr"/>
      <c r="M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c r="I215" t="inlineStr">
        <is>
          <t>Family's Own Choice</t>
        </is>
      </c>
      <c r="J215" t="b">
        <v>0</v>
      </c>
      <c r="K215" t="n">
        <v>1</v>
      </c>
      <c r="L215" t="inlineStr"/>
      <c r="M215" t="inlineStr"/>
    </row>
    <row r="216">
      <c r="A216" t="inlineStr">
        <is>
          <t>No</t>
        </is>
      </c>
      <c r="B216" t="inlineStr"/>
      <c r="C216" t="inlineStr"/>
      <c r="D216" t="inlineStr"/>
      <c r="E216" t="inlineStr"/>
      <c r="F216" t="inlineStr"/>
      <c r="G216" t="inlineStr"/>
      <c r="H216" t="inlineStr"/>
      <c r="I216" t="inlineStr"/>
      <c r="J216" t="b">
        <v>0</v>
      </c>
      <c r="K216" t="n">
        <v>0</v>
      </c>
      <c r="L216" t="inlineStr"/>
      <c r="M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c r="I217" t="inlineStr">
        <is>
          <t>HXP Can Influence</t>
        </is>
      </c>
      <c r="J217" t="b">
        <v>0</v>
      </c>
      <c r="K217" t="n">
        <v>1</v>
      </c>
      <c r="L217" t="inlineStr"/>
      <c r="M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c r="I218" t="inlineStr">
        <is>
          <t>Family's Own Choice</t>
        </is>
      </c>
      <c r="J218" t="b">
        <v>0</v>
      </c>
      <c r="K218" t="n">
        <v>1</v>
      </c>
      <c r="L218" t="inlineStr"/>
      <c r="M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c r="I219" t="inlineStr"/>
      <c r="J219" t="b">
        <v>0</v>
      </c>
      <c r="K219" t="n">
        <v>0</v>
      </c>
      <c r="L219" t="inlineStr"/>
      <c r="M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c r="I220" t="inlineStr">
        <is>
          <t>Family's Own Choice</t>
        </is>
      </c>
      <c r="J220" t="b">
        <v>0</v>
      </c>
      <c r="K220" t="n">
        <v>1</v>
      </c>
      <c r="L220" t="inlineStr"/>
      <c r="M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c r="I221" t="inlineStr">
        <is>
          <t>HXP Can Directly Fix</t>
        </is>
      </c>
      <c r="J221" t="b">
        <v>0</v>
      </c>
      <c r="K221" t="n">
        <v>2</v>
      </c>
      <c r="L221" t="inlineStr"/>
      <c r="M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c r="I222" t="inlineStr">
        <is>
          <t>HXP Can Influence</t>
        </is>
      </c>
      <c r="J222" t="b">
        <v>0</v>
      </c>
      <c r="K222" t="n">
        <v>1</v>
      </c>
      <c r="L222" t="inlineStr"/>
      <c r="M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c r="I223" t="inlineStr">
        <is>
          <t>HXP Can Directly Fix</t>
        </is>
      </c>
      <c r="J223" t="b">
        <v>0</v>
      </c>
      <c r="K223" t="n">
        <v>1</v>
      </c>
      <c r="L223" t="inlineStr"/>
      <c r="M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c r="I224" t="inlineStr">
        <is>
          <t>HXP Can Influence</t>
        </is>
      </c>
      <c r="J224" t="b">
        <v>0</v>
      </c>
      <c r="K224" t="n">
        <v>1</v>
      </c>
      <c r="L224" t="inlineStr"/>
      <c r="M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c r="I225" t="inlineStr">
        <is>
          <t>HXP Can Directly Fix</t>
        </is>
      </c>
      <c r="J225" t="b">
        <v>0</v>
      </c>
      <c r="K225" t="n">
        <v>2</v>
      </c>
      <c r="L225" t="inlineStr"/>
      <c r="M225" t="inlineStr"/>
    </row>
    <row r="226">
      <c r="A226" t="inlineStr">
        <is>
          <t>No</t>
        </is>
      </c>
      <c r="B226" t="inlineStr"/>
      <c r="C226" t="inlineStr"/>
      <c r="D226" t="inlineStr"/>
      <c r="E226" t="inlineStr"/>
      <c r="F226" t="inlineStr"/>
      <c r="G226" t="inlineStr"/>
      <c r="H226" t="inlineStr"/>
      <c r="I226" t="inlineStr"/>
      <c r="J226" t="b">
        <v>0</v>
      </c>
      <c r="K226" t="n">
        <v>0</v>
      </c>
      <c r="L226" t="inlineStr"/>
      <c r="M226" t="inlineStr"/>
    </row>
    <row r="227">
      <c r="A227" t="inlineStr">
        <is>
          <t>No</t>
        </is>
      </c>
      <c r="B227" t="inlineStr"/>
      <c r="C227" t="inlineStr"/>
      <c r="D227" t="inlineStr"/>
      <c r="E227" t="inlineStr">
        <is>
          <t>Money</t>
        </is>
      </c>
      <c r="F227" t="inlineStr">
        <is>
          <t>Cost / Finances</t>
        </is>
      </c>
      <c r="G227" t="inlineStr">
        <is>
          <t>Cost / Finances</t>
        </is>
      </c>
      <c r="H227" t="inlineStr"/>
      <c r="I227" t="inlineStr">
        <is>
          <t>HXP Can Directly Fix</t>
        </is>
      </c>
      <c r="J227" t="b">
        <v>0</v>
      </c>
      <c r="K227" t="n">
        <v>1</v>
      </c>
      <c r="L227" t="inlineStr"/>
      <c r="M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c r="I228" t="inlineStr">
        <is>
          <t>HXP Can Influence</t>
        </is>
      </c>
      <c r="J228" t="b">
        <v>0</v>
      </c>
      <c r="K228" t="n">
        <v>1</v>
      </c>
      <c r="L228" t="inlineStr"/>
      <c r="M228" t="inlineStr"/>
    </row>
    <row r="229">
      <c r="A229" t="inlineStr">
        <is>
          <t>No</t>
        </is>
      </c>
      <c r="B229" t="inlineStr"/>
      <c r="C229" t="inlineStr"/>
      <c r="D229" t="inlineStr"/>
      <c r="E229" t="inlineStr"/>
      <c r="F229" t="inlineStr"/>
      <c r="G229" t="inlineStr"/>
      <c r="H229" t="inlineStr"/>
      <c r="I229" t="inlineStr"/>
      <c r="J229" t="b">
        <v>0</v>
      </c>
      <c r="K229" t="n">
        <v>0</v>
      </c>
      <c r="L229" t="inlineStr"/>
      <c r="M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c r="I230" t="inlineStr">
        <is>
          <t>Family's Own Choice</t>
        </is>
      </c>
      <c r="J230" t="b">
        <v>0</v>
      </c>
      <c r="K230" t="n">
        <v>1</v>
      </c>
      <c r="L230" t="inlineStr"/>
      <c r="M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c r="I231" t="inlineStr">
        <is>
          <t>Family's Own Choice</t>
        </is>
      </c>
      <c r="J231" t="b">
        <v>0</v>
      </c>
      <c r="K231" t="n">
        <v>1</v>
      </c>
      <c r="L231" t="inlineStr"/>
      <c r="M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c r="I232" t="inlineStr">
        <is>
          <t>Family's Own Choice</t>
        </is>
      </c>
      <c r="J232" t="b">
        <v>0</v>
      </c>
      <c r="K232" t="n">
        <v>2</v>
      </c>
      <c r="L232" t="inlineStr"/>
      <c r="M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c r="I233" t="inlineStr"/>
      <c r="J233" t="b">
        <v>0</v>
      </c>
      <c r="K233" t="n">
        <v>0</v>
      </c>
      <c r="L233" t="inlineStr"/>
      <c r="M233" t="inlineStr"/>
    </row>
    <row r="234">
      <c r="A234" t="inlineStr">
        <is>
          <t>No</t>
        </is>
      </c>
      <c r="B234" t="inlineStr"/>
      <c r="C234" t="inlineStr"/>
      <c r="D234" t="inlineStr"/>
      <c r="E234" t="inlineStr">
        <is>
          <t>My son's independece</t>
        </is>
      </c>
      <c r="F234" t="inlineStr">
        <is>
          <t>Wants Child to Have Independent Experience</t>
        </is>
      </c>
      <c r="G234" t="inlineStr">
        <is>
          <t>Wants Child to Have Independent Experience</t>
        </is>
      </c>
      <c r="H234" t="inlineStr"/>
      <c r="I234" t="inlineStr">
        <is>
          <t>Family's Own Choice</t>
        </is>
      </c>
      <c r="J234" t="b">
        <v>0</v>
      </c>
      <c r="K234" t="n">
        <v>1</v>
      </c>
      <c r="L234" t="inlineStr"/>
      <c r="M234" t="inlineStr"/>
    </row>
    <row r="235">
      <c r="A235" t="inlineStr">
        <is>
          <t>No</t>
        </is>
      </c>
      <c r="B235" t="inlineStr"/>
      <c r="C235" t="inlineStr"/>
      <c r="D235" t="inlineStr"/>
      <c r="E235" t="inlineStr">
        <is>
          <t>Time</t>
        </is>
      </c>
      <c r="F235" t="inlineStr">
        <is>
          <t>Work Schedule / Time Off</t>
        </is>
      </c>
      <c r="G235" t="inlineStr">
        <is>
          <t>Work Schedule / Time Off</t>
        </is>
      </c>
      <c r="H235" t="inlineStr"/>
      <c r="I235" t="inlineStr">
        <is>
          <t>HXP Can Influence</t>
        </is>
      </c>
      <c r="J235" t="b">
        <v>0</v>
      </c>
      <c r="K235" t="n">
        <v>1</v>
      </c>
      <c r="L235" t="inlineStr"/>
      <c r="M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c r="I236" t="inlineStr"/>
      <c r="J236" t="b">
        <v>0</v>
      </c>
      <c r="K236" t="n">
        <v>0</v>
      </c>
      <c r="L236" t="inlineStr"/>
      <c r="M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c r="I237" t="inlineStr">
        <is>
          <t>Family's Own Choice</t>
        </is>
      </c>
      <c r="J237" t="b">
        <v>0</v>
      </c>
      <c r="K237" t="n">
        <v>1</v>
      </c>
      <c r="L237" t="inlineStr"/>
      <c r="M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c r="I238" t="inlineStr">
        <is>
          <t>HXP Can Directly Fix</t>
        </is>
      </c>
      <c r="J238" t="b">
        <v>0</v>
      </c>
      <c r="K238" t="n">
        <v>1</v>
      </c>
      <c r="L238" t="inlineStr"/>
      <c r="M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c r="I239" t="inlineStr">
        <is>
          <t>Family's Own Choice</t>
        </is>
      </c>
      <c r="J239" t="b">
        <v>0</v>
      </c>
      <c r="K239" t="n">
        <v>1</v>
      </c>
      <c r="L239" t="inlineStr"/>
      <c r="M239" t="inlineStr"/>
    </row>
    <row r="240">
      <c r="A240" t="inlineStr">
        <is>
          <t>Yes</t>
        </is>
      </c>
      <c r="B240" t="inlineStr">
        <is>
          <t>Daughter/cause</t>
        </is>
      </c>
      <c r="C240" t="inlineStr">
        <is>
          <t>Other / Uncategorized</t>
        </is>
      </c>
      <c r="D240" t="inlineStr"/>
      <c r="E240" t="inlineStr"/>
      <c r="F240" t="inlineStr"/>
      <c r="G240" t="inlineStr"/>
      <c r="H240" t="inlineStr"/>
      <c r="I240" t="inlineStr"/>
      <c r="J240" t="b">
        <v>0</v>
      </c>
      <c r="K240" t="n">
        <v>0</v>
      </c>
      <c r="L240" t="inlineStr"/>
      <c r="M240" t="inlineStr"/>
    </row>
    <row r="241">
      <c r="A241" t="inlineStr">
        <is>
          <t>No</t>
        </is>
      </c>
      <c r="B241" t="inlineStr"/>
      <c r="C241" t="inlineStr"/>
      <c r="D241" t="inlineStr"/>
      <c r="E241" t="inlineStr">
        <is>
          <t>Cost</t>
        </is>
      </c>
      <c r="F241" t="inlineStr">
        <is>
          <t>Cost / Finances</t>
        </is>
      </c>
      <c r="G241" t="inlineStr">
        <is>
          <t>Cost / Finances</t>
        </is>
      </c>
      <c r="H241" t="inlineStr"/>
      <c r="I241" t="inlineStr">
        <is>
          <t>HXP Can Directly Fix</t>
        </is>
      </c>
      <c r="J241" t="b">
        <v>0</v>
      </c>
      <c r="K241" t="n">
        <v>1</v>
      </c>
      <c r="L241" t="inlineStr"/>
      <c r="M241" t="inlineStr"/>
    </row>
    <row r="242">
      <c r="A242" t="inlineStr">
        <is>
          <t>No</t>
        </is>
      </c>
      <c r="B242" t="inlineStr"/>
      <c r="C242" t="inlineStr"/>
      <c r="D242" t="inlineStr"/>
      <c r="E242" t="inlineStr">
        <is>
          <t>Time</t>
        </is>
      </c>
      <c r="F242" t="inlineStr">
        <is>
          <t>Work Schedule / Time Off</t>
        </is>
      </c>
      <c r="G242" t="inlineStr">
        <is>
          <t>Work Schedule / Time Off</t>
        </is>
      </c>
      <c r="H242" t="inlineStr"/>
      <c r="I242" t="inlineStr">
        <is>
          <t>HXP Can Influence</t>
        </is>
      </c>
      <c r="J242" t="b">
        <v>0</v>
      </c>
      <c r="K242" t="n">
        <v>1</v>
      </c>
      <c r="L242" t="inlineStr"/>
      <c r="M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c r="I243" t="inlineStr">
        <is>
          <t>Family's Own Choice</t>
        </is>
      </c>
      <c r="J243" t="b">
        <v>0</v>
      </c>
      <c r="K243" t="n">
        <v>1</v>
      </c>
      <c r="L243" t="inlineStr"/>
      <c r="M243" t="inlineStr"/>
    </row>
    <row r="244">
      <c r="A244" t="inlineStr">
        <is>
          <t>No</t>
        </is>
      </c>
      <c r="B244" t="inlineStr"/>
      <c r="C244" t="inlineStr"/>
      <c r="D244" t="inlineStr"/>
      <c r="E244" t="inlineStr">
        <is>
          <t>Location</t>
        </is>
      </c>
      <c r="F244" t="inlineStr">
        <is>
          <t>Other / Uncategorized</t>
        </is>
      </c>
      <c r="G244" t="inlineStr"/>
      <c r="H244" t="inlineStr"/>
      <c r="I244" t="inlineStr">
        <is>
          <t>Unknown</t>
        </is>
      </c>
      <c r="J244" t="b">
        <v>0</v>
      </c>
      <c r="K244" t="n">
        <v>0</v>
      </c>
      <c r="L244" t="inlineStr"/>
      <c r="M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c r="I245" t="inlineStr">
        <is>
          <t>Family's Own Choice</t>
        </is>
      </c>
      <c r="J245" t="b">
        <v>0</v>
      </c>
      <c r="K245" t="n">
        <v>1</v>
      </c>
      <c r="L245" t="inlineStr"/>
      <c r="M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c r="I246" t="inlineStr">
        <is>
          <t>HXP Can Directly Fix</t>
        </is>
      </c>
      <c r="J246" t="b">
        <v>0</v>
      </c>
      <c r="K246" t="n">
        <v>3</v>
      </c>
      <c r="L246" t="inlineStr"/>
      <c r="M246" t="inlineStr"/>
    </row>
    <row r="247">
      <c r="A247" t="inlineStr">
        <is>
          <t>No</t>
        </is>
      </c>
      <c r="B247" t="inlineStr"/>
      <c r="C247" t="inlineStr"/>
      <c r="D247" t="inlineStr"/>
      <c r="E247" t="inlineStr">
        <is>
          <t>Time</t>
        </is>
      </c>
      <c r="F247" t="inlineStr">
        <is>
          <t>Work Schedule / Time Off</t>
        </is>
      </c>
      <c r="G247" t="inlineStr">
        <is>
          <t>Work Schedule / Time Off</t>
        </is>
      </c>
      <c r="H247" t="inlineStr"/>
      <c r="I247" t="inlineStr">
        <is>
          <t>HXP Can Influence</t>
        </is>
      </c>
      <c r="J247" t="b">
        <v>0</v>
      </c>
      <c r="K247" t="n">
        <v>1</v>
      </c>
      <c r="L247" t="inlineStr"/>
      <c r="M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c r="I248" t="inlineStr"/>
      <c r="J248" t="b">
        <v>0</v>
      </c>
      <c r="K248" t="n">
        <v>0</v>
      </c>
      <c r="L248" t="inlineStr"/>
      <c r="M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c r="I249" t="inlineStr">
        <is>
          <t>Family's Own Choice</t>
        </is>
      </c>
      <c r="J249" t="b">
        <v>0</v>
      </c>
      <c r="K249" t="n">
        <v>1</v>
      </c>
      <c r="L249" t="inlineStr"/>
      <c r="M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c r="I250" t="inlineStr"/>
      <c r="J250" t="b">
        <v>0</v>
      </c>
      <c r="K250" t="n">
        <v>0</v>
      </c>
      <c r="L250" t="inlineStr"/>
      <c r="M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c r="I251" t="inlineStr"/>
      <c r="J251" t="b">
        <v>0</v>
      </c>
      <c r="K251" t="n">
        <v>0</v>
      </c>
      <c r="L251" t="inlineStr"/>
      <c r="M251" t="inlineStr"/>
    </row>
    <row r="252">
      <c r="A252" t="inlineStr">
        <is>
          <t>No</t>
        </is>
      </c>
      <c r="B252" t="inlineStr"/>
      <c r="C252" t="inlineStr"/>
      <c r="D252" t="inlineStr"/>
      <c r="E252" t="inlineStr"/>
      <c r="F252" t="inlineStr"/>
      <c r="G252" t="inlineStr"/>
      <c r="H252" t="inlineStr"/>
      <c r="I252" t="inlineStr"/>
      <c r="J252" t="b">
        <v>0</v>
      </c>
      <c r="K252" t="n">
        <v>0</v>
      </c>
      <c r="L252" t="inlineStr"/>
      <c r="M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c r="I253" t="inlineStr">
        <is>
          <t>Family's Own Choice</t>
        </is>
      </c>
      <c r="J253" t="b">
        <v>0</v>
      </c>
      <c r="K253" t="n">
        <v>2</v>
      </c>
      <c r="L253" t="inlineStr"/>
      <c r="M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c r="I254" t="inlineStr">
        <is>
          <t>HXP Can Directly Fix</t>
        </is>
      </c>
      <c r="J254" t="b">
        <v>0</v>
      </c>
      <c r="K254" t="n">
        <v>3</v>
      </c>
      <c r="L254" t="inlineStr"/>
      <c r="M254" t="inlineStr"/>
    </row>
    <row r="255">
      <c r="A255" t="inlineStr">
        <is>
          <t>No</t>
        </is>
      </c>
      <c r="B255" t="inlineStr"/>
      <c r="C255" t="inlineStr"/>
      <c r="D255" t="inlineStr"/>
      <c r="E255" t="inlineStr">
        <is>
          <t>Only the price</t>
        </is>
      </c>
      <c r="F255" t="inlineStr">
        <is>
          <t>Cost / Finances</t>
        </is>
      </c>
      <c r="G255" t="inlineStr">
        <is>
          <t>Cost / Finances</t>
        </is>
      </c>
      <c r="H255" t="inlineStr"/>
      <c r="I255" t="inlineStr">
        <is>
          <t>HXP Can Directly Fix</t>
        </is>
      </c>
      <c r="J255" t="b">
        <v>0</v>
      </c>
      <c r="K255" t="n">
        <v>1</v>
      </c>
      <c r="L255" t="inlineStr"/>
      <c r="M255" t="inlineStr"/>
    </row>
    <row r="256">
      <c r="A256" t="inlineStr">
        <is>
          <t>No</t>
        </is>
      </c>
      <c r="B256" t="inlineStr"/>
      <c r="C256" t="inlineStr"/>
      <c r="D256" t="inlineStr"/>
      <c r="E256" t="inlineStr"/>
      <c r="F256" t="inlineStr"/>
      <c r="G256" t="inlineStr"/>
      <c r="H256" t="inlineStr"/>
      <c r="I256" t="inlineStr"/>
      <c r="J256" t="b">
        <v>0</v>
      </c>
      <c r="K256" t="n">
        <v>0</v>
      </c>
      <c r="L256" t="inlineStr"/>
      <c r="M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c r="I257" t="inlineStr">
        <is>
          <t>HXP Can Directly Fix</t>
        </is>
      </c>
      <c r="J257" t="b">
        <v>0</v>
      </c>
      <c r="K257" t="n">
        <v>2</v>
      </c>
      <c r="L257" t="inlineStr"/>
      <c r="M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c r="I258" t="inlineStr">
        <is>
          <t>HXP Can Influence</t>
        </is>
      </c>
      <c r="J258" t="b">
        <v>0</v>
      </c>
      <c r="K258" t="n">
        <v>1</v>
      </c>
      <c r="L258" t="inlineStr"/>
      <c r="M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c r="I259" t="inlineStr">
        <is>
          <t>Family's Own Choice</t>
        </is>
      </c>
      <c r="J259" t="b">
        <v>0</v>
      </c>
      <c r="K259" t="n">
        <v>1</v>
      </c>
      <c r="L259" t="inlineStr"/>
      <c r="M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c r="I260" t="inlineStr">
        <is>
          <t>Family's Own Choice</t>
        </is>
      </c>
      <c r="J260" t="b">
        <v>0</v>
      </c>
      <c r="K260" t="n">
        <v>1</v>
      </c>
      <c r="L260" t="inlineStr"/>
      <c r="M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c r="I261" t="inlineStr">
        <is>
          <t>Family's Own Choice</t>
        </is>
      </c>
      <c r="J261" t="b">
        <v>0</v>
      </c>
      <c r="K261" t="n">
        <v>1</v>
      </c>
      <c r="L261" t="inlineStr"/>
      <c r="M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c r="I262" t="inlineStr">
        <is>
          <t>Family's Own Choice</t>
        </is>
      </c>
      <c r="J262" t="b">
        <v>0</v>
      </c>
      <c r="K262" t="n">
        <v>1</v>
      </c>
      <c r="L262" t="inlineStr"/>
      <c r="M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c r="I263" t="inlineStr">
        <is>
          <t>HXP Can Influence</t>
        </is>
      </c>
      <c r="J263" t="b">
        <v>0</v>
      </c>
      <c r="K263" t="n">
        <v>1</v>
      </c>
      <c r="L263" t="inlineStr"/>
      <c r="M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c r="I264" t="inlineStr">
        <is>
          <t>HXP Can Influence</t>
        </is>
      </c>
      <c r="J264" t="b">
        <v>0</v>
      </c>
      <c r="K264" t="n">
        <v>2</v>
      </c>
      <c r="L264" t="inlineStr"/>
      <c r="M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c r="I265" t="inlineStr">
        <is>
          <t>HXP Can Influence</t>
        </is>
      </c>
      <c r="J265" t="b">
        <v>0</v>
      </c>
      <c r="K265" t="n">
        <v>2</v>
      </c>
      <c r="L265" t="inlineStr"/>
      <c r="M265" t="inlineStr"/>
    </row>
    <row r="266">
      <c r="A266" t="inlineStr">
        <is>
          <t>Yes</t>
        </is>
      </c>
      <c r="B266" t="inlineStr">
        <is>
          <t>Location and HXP asked me.</t>
        </is>
      </c>
      <c r="C266" t="inlineStr">
        <is>
          <t>Family Member Asked or Influenced Them to Go</t>
        </is>
      </c>
      <c r="D266" t="inlineStr">
        <is>
          <t>Family Member Asked or Influenced Them to Go</t>
        </is>
      </c>
      <c r="E266" t="inlineStr"/>
      <c r="F266" t="inlineStr"/>
      <c r="G266" t="inlineStr"/>
      <c r="H266" t="inlineStr"/>
      <c r="I266" t="inlineStr"/>
      <c r="J266" t="b">
        <v>0</v>
      </c>
      <c r="K266" t="n">
        <v>0</v>
      </c>
      <c r="L266" t="inlineStr"/>
      <c r="M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c r="I267" t="inlineStr">
        <is>
          <t>Family's Own Choice</t>
        </is>
      </c>
      <c r="J267" t="b">
        <v>0</v>
      </c>
      <c r="K267" t="n">
        <v>1</v>
      </c>
      <c r="L267" t="inlineStr"/>
      <c r="M267" t="inlineStr"/>
    </row>
    <row r="268">
      <c r="A268" t="inlineStr">
        <is>
          <t>Yes</t>
        </is>
      </c>
      <c r="B268" t="inlineStr">
        <is>
          <t>My son asked me to go</t>
        </is>
      </c>
      <c r="C268" t="inlineStr">
        <is>
          <t>Family Member Asked or Influenced Them to Go</t>
        </is>
      </c>
      <c r="D268" t="inlineStr">
        <is>
          <t>Family Member Asked or Influenced Them to Go</t>
        </is>
      </c>
      <c r="E268" t="inlineStr"/>
      <c r="F268" t="inlineStr"/>
      <c r="G268" t="inlineStr"/>
      <c r="H268" t="inlineStr"/>
      <c r="I268" t="inlineStr"/>
      <c r="J268" t="b">
        <v>0</v>
      </c>
      <c r="K268" t="n">
        <v>0</v>
      </c>
      <c r="L268" t="inlineStr"/>
      <c r="M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c r="I269" t="inlineStr"/>
      <c r="J269" t="b">
        <v>0</v>
      </c>
      <c r="K269" t="n">
        <v>0</v>
      </c>
      <c r="L269" t="inlineStr"/>
      <c r="M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c r="I270" t="inlineStr">
        <is>
          <t>Family's Own Choice</t>
        </is>
      </c>
      <c r="J270" t="b">
        <v>1</v>
      </c>
      <c r="K270" t="n">
        <v>1</v>
      </c>
      <c r="L270" t="inlineStr"/>
      <c r="M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c r="I271" t="inlineStr">
        <is>
          <t>HXP Can Directly Fix</t>
        </is>
      </c>
      <c r="J271" t="b">
        <v>0</v>
      </c>
      <c r="K271" t="n">
        <v>1</v>
      </c>
      <c r="L271" t="inlineStr"/>
      <c r="M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c r="I272" t="inlineStr"/>
      <c r="J272" t="b">
        <v>0</v>
      </c>
      <c r="K272" t="n">
        <v>0</v>
      </c>
      <c r="L272" t="inlineStr"/>
      <c r="M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c r="I273" t="inlineStr">
        <is>
          <t>HXP Can Influence</t>
        </is>
      </c>
      <c r="J273" t="b">
        <v>0</v>
      </c>
      <c r="K273" t="n">
        <v>2</v>
      </c>
      <c r="L273" t="inlineStr"/>
      <c r="M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c r="I274" t="inlineStr">
        <is>
          <t>Family's Own Choice</t>
        </is>
      </c>
      <c r="J274" t="b">
        <v>0</v>
      </c>
      <c r="K274" t="n">
        <v>1</v>
      </c>
      <c r="L274" t="inlineStr"/>
      <c r="M274" t="inlineStr"/>
    </row>
    <row r="275">
      <c r="A275" t="inlineStr">
        <is>
          <t>No</t>
        </is>
      </c>
      <c r="B275" t="inlineStr"/>
      <c r="C275" t="inlineStr"/>
      <c r="D275" t="inlineStr"/>
      <c r="E275" t="inlineStr"/>
      <c r="F275" t="inlineStr"/>
      <c r="G275" t="inlineStr"/>
      <c r="H275" t="inlineStr"/>
      <c r="I275" t="inlineStr"/>
      <c r="J275" t="b">
        <v>0</v>
      </c>
      <c r="K275" t="n">
        <v>0</v>
      </c>
      <c r="L275" t="inlineStr"/>
      <c r="M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c r="I276" t="inlineStr"/>
      <c r="J276" t="b">
        <v>0</v>
      </c>
      <c r="K276" t="n">
        <v>0</v>
      </c>
      <c r="L276" t="inlineStr"/>
      <c r="M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c r="I277" t="inlineStr">
        <is>
          <t>HXP Can Influence</t>
        </is>
      </c>
      <c r="J277" t="b">
        <v>0</v>
      </c>
      <c r="K277" t="n">
        <v>1</v>
      </c>
      <c r="L277" t="inlineStr"/>
      <c r="M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c r="I278" t="inlineStr">
        <is>
          <t>HXP Can Directly Fix</t>
        </is>
      </c>
      <c r="J278" t="b">
        <v>0</v>
      </c>
      <c r="K278" t="n">
        <v>1</v>
      </c>
      <c r="L278" t="inlineStr"/>
      <c r="M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c r="I279" t="inlineStr">
        <is>
          <t>Family's Own Choice</t>
        </is>
      </c>
      <c r="J279" t="b">
        <v>0</v>
      </c>
      <c r="K279" t="n">
        <v>2</v>
      </c>
      <c r="L279" t="inlineStr"/>
      <c r="M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c r="I280" t="inlineStr"/>
      <c r="J280" t="b">
        <v>0</v>
      </c>
      <c r="K280" t="n">
        <v>0</v>
      </c>
      <c r="L280" t="inlineStr"/>
      <c r="M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c r="I281" t="inlineStr">
        <is>
          <t>Family's Own Choice</t>
        </is>
      </c>
      <c r="J281" t="b">
        <v>0</v>
      </c>
      <c r="K281" t="n">
        <v>1</v>
      </c>
      <c r="L281" t="inlineStr"/>
      <c r="M281" t="inlineStr"/>
    </row>
    <row r="282">
      <c r="A282" t="inlineStr">
        <is>
          <t>No</t>
        </is>
      </c>
      <c r="B282" t="inlineStr"/>
      <c r="C282" t="inlineStr"/>
      <c r="D282" t="inlineStr"/>
      <c r="E282" t="inlineStr"/>
      <c r="F282" t="inlineStr"/>
      <c r="G282" t="inlineStr"/>
      <c r="H282" t="inlineStr"/>
      <c r="I282" t="inlineStr"/>
      <c r="J282" t="b">
        <v>0</v>
      </c>
      <c r="K282" t="n">
        <v>0</v>
      </c>
      <c r="L282" t="inlineStr"/>
      <c r="M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c r="I283" t="inlineStr">
        <is>
          <t>Family's Own Choice</t>
        </is>
      </c>
      <c r="J283" t="b">
        <v>0</v>
      </c>
      <c r="K283" t="n">
        <v>1</v>
      </c>
      <c r="L283" t="inlineStr"/>
      <c r="M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c r="I284" t="inlineStr">
        <is>
          <t>Family's Own Choice</t>
        </is>
      </c>
      <c r="J284" t="b">
        <v>0</v>
      </c>
      <c r="K284" t="n">
        <v>1</v>
      </c>
      <c r="L284" t="inlineStr"/>
      <c r="M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c r="I285" t="inlineStr">
        <is>
          <t>HXP Can Influence</t>
        </is>
      </c>
      <c r="J285" t="b">
        <v>0</v>
      </c>
      <c r="K285" t="n">
        <v>1</v>
      </c>
      <c r="L285" t="inlineStr"/>
      <c r="M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c r="I286" t="inlineStr">
        <is>
          <t>Family's Own Choice</t>
        </is>
      </c>
      <c r="J286" t="b">
        <v>0</v>
      </c>
      <c r="K286" t="n">
        <v>1</v>
      </c>
      <c r="L286" t="inlineStr"/>
      <c r="M286" t="inlineStr"/>
    </row>
    <row r="287">
      <c r="A287" t="inlineStr">
        <is>
          <t>No</t>
        </is>
      </c>
      <c r="B287" t="inlineStr"/>
      <c r="C287" t="inlineStr"/>
      <c r="D287" t="inlineStr"/>
      <c r="E287" t="inlineStr"/>
      <c r="F287" t="inlineStr"/>
      <c r="G287" t="inlineStr"/>
      <c r="H287" t="inlineStr"/>
      <c r="I287" t="inlineStr"/>
      <c r="J287" t="b">
        <v>0</v>
      </c>
      <c r="K287" t="n">
        <v>0</v>
      </c>
      <c r="L287" t="inlineStr"/>
      <c r="M287" t="inlineStr"/>
    </row>
    <row r="288">
      <c r="A288" t="inlineStr">
        <is>
          <t>No</t>
        </is>
      </c>
      <c r="B288" t="inlineStr"/>
      <c r="C288" t="inlineStr"/>
      <c r="D288" t="inlineStr"/>
      <c r="E288" t="inlineStr"/>
      <c r="F288" t="inlineStr"/>
      <c r="G288" t="inlineStr"/>
      <c r="H288" t="inlineStr"/>
      <c r="I288" t="inlineStr"/>
      <c r="J288" t="b">
        <v>0</v>
      </c>
      <c r="K288" t="n">
        <v>0</v>
      </c>
      <c r="L288" t="inlineStr"/>
      <c r="M288" t="inlineStr"/>
    </row>
    <row r="289">
      <c r="A289" t="inlineStr">
        <is>
          <t>No</t>
        </is>
      </c>
      <c r="B289" t="inlineStr"/>
      <c r="C289" t="inlineStr"/>
      <c r="D289" t="inlineStr"/>
      <c r="E289" t="inlineStr"/>
      <c r="F289" t="inlineStr"/>
      <c r="G289" t="inlineStr"/>
      <c r="H289" t="inlineStr"/>
      <c r="I289" t="inlineStr"/>
      <c r="J289" t="b">
        <v>0</v>
      </c>
      <c r="K289" t="n">
        <v>0</v>
      </c>
      <c r="L289" t="inlineStr"/>
      <c r="M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c r="I290" t="inlineStr">
        <is>
          <t>Family's Own Choice</t>
        </is>
      </c>
      <c r="J290" t="b">
        <v>0</v>
      </c>
      <c r="K290" t="n">
        <v>2</v>
      </c>
      <c r="L290" t="inlineStr"/>
      <c r="M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c r="I291" t="inlineStr">
        <is>
          <t>Family's Own Choice</t>
        </is>
      </c>
      <c r="J291" t="b">
        <v>0</v>
      </c>
      <c r="K291" t="n">
        <v>2</v>
      </c>
      <c r="L291" t="inlineStr"/>
      <c r="M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c r="I292" t="inlineStr">
        <is>
          <t>Family's Own Choice</t>
        </is>
      </c>
      <c r="J292" t="b">
        <v>0</v>
      </c>
      <c r="K292" t="n">
        <v>1</v>
      </c>
      <c r="L292" t="inlineStr"/>
      <c r="M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c r="I293" t="inlineStr">
        <is>
          <t>Family's Own Choice</t>
        </is>
      </c>
      <c r="J293" t="b">
        <v>0</v>
      </c>
      <c r="K293" t="n">
        <v>1</v>
      </c>
      <c r="L293" t="inlineStr"/>
      <c r="M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c r="I294" t="inlineStr">
        <is>
          <t>HXP Can Directly Fix</t>
        </is>
      </c>
      <c r="J294" t="b">
        <v>0</v>
      </c>
      <c r="K294" t="n">
        <v>2</v>
      </c>
      <c r="L294" t="inlineStr"/>
      <c r="M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c r="I295" t="inlineStr">
        <is>
          <t>HXP Can Influence</t>
        </is>
      </c>
      <c r="J295" t="b">
        <v>0</v>
      </c>
      <c r="K295" t="n">
        <v>1</v>
      </c>
      <c r="L295" t="inlineStr"/>
      <c r="M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c r="I296" t="inlineStr">
        <is>
          <t>Family's Own Choice</t>
        </is>
      </c>
      <c r="J296" t="b">
        <v>0</v>
      </c>
      <c r="K296" t="n">
        <v>1</v>
      </c>
      <c r="L296" t="inlineStr"/>
      <c r="M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c r="I297" t="inlineStr">
        <is>
          <t>HXP Can Directly Fix</t>
        </is>
      </c>
      <c r="J297" t="b">
        <v>1</v>
      </c>
      <c r="K297" t="n">
        <v>2</v>
      </c>
      <c r="L297" t="inlineStr"/>
      <c r="M297" t="inlineStr"/>
    </row>
    <row r="298">
      <c r="A298" t="inlineStr">
        <is>
          <t>Yes</t>
        </is>
      </c>
      <c r="B298" t="inlineStr"/>
      <c r="C298" t="inlineStr"/>
      <c r="D298" t="inlineStr"/>
      <c r="E298" t="inlineStr"/>
      <c r="F298" t="inlineStr"/>
      <c r="G298" t="inlineStr"/>
      <c r="H298" t="inlineStr"/>
      <c r="I298" t="inlineStr"/>
      <c r="J298" t="b">
        <v>0</v>
      </c>
      <c r="K298" t="n">
        <v>0</v>
      </c>
      <c r="L298" t="inlineStr"/>
      <c r="M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c r="I299" t="inlineStr">
        <is>
          <t>Family's Own Choice</t>
        </is>
      </c>
      <c r="J299" t="b">
        <v>0</v>
      </c>
      <c r="K299" t="n">
        <v>1</v>
      </c>
      <c r="L299" t="inlineStr"/>
      <c r="M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c r="I300" t="inlineStr">
        <is>
          <t>Family's Own Choice</t>
        </is>
      </c>
      <c r="J300" t="b">
        <v>0</v>
      </c>
      <c r="K300" t="n">
        <v>1</v>
      </c>
      <c r="L300" t="inlineStr"/>
      <c r="M300" t="inlineStr"/>
    </row>
    <row r="301">
      <c r="A301" t="inlineStr">
        <is>
          <t>No</t>
        </is>
      </c>
      <c r="B301" t="inlineStr"/>
      <c r="C301" t="inlineStr"/>
      <c r="D301" t="inlineStr"/>
      <c r="E301" t="inlineStr">
        <is>
          <t>Cost</t>
        </is>
      </c>
      <c r="F301" t="inlineStr">
        <is>
          <t>Cost / Finances</t>
        </is>
      </c>
      <c r="G301" t="inlineStr">
        <is>
          <t>Cost / Finances</t>
        </is>
      </c>
      <c r="H301" t="inlineStr"/>
      <c r="I301" t="inlineStr">
        <is>
          <t>HXP Can Directly Fix</t>
        </is>
      </c>
      <c r="J301" t="b">
        <v>0</v>
      </c>
      <c r="K301" t="n">
        <v>1</v>
      </c>
      <c r="L301" t="inlineStr"/>
      <c r="M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c r="I302" t="inlineStr">
        <is>
          <t>Family's Own Choice</t>
        </is>
      </c>
      <c r="J302" t="b">
        <v>0</v>
      </c>
      <c r="K302" t="n">
        <v>1</v>
      </c>
      <c r="L302" t="inlineStr"/>
      <c r="M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c r="I303" t="inlineStr">
        <is>
          <t>HXP Can Influence</t>
        </is>
      </c>
      <c r="J303" t="b">
        <v>0</v>
      </c>
      <c r="K303" t="n">
        <v>1</v>
      </c>
      <c r="L303" t="inlineStr"/>
      <c r="M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c r="I304" t="inlineStr">
        <is>
          <t>HXP Can Directly Fix</t>
        </is>
      </c>
      <c r="J304" t="b">
        <v>0</v>
      </c>
      <c r="K304" t="n">
        <v>2</v>
      </c>
      <c r="L304" t="inlineStr"/>
      <c r="M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c r="I305" t="inlineStr">
        <is>
          <t>HXP Can Directly Fix</t>
        </is>
      </c>
      <c r="J305" t="b">
        <v>0</v>
      </c>
      <c r="K305" t="n">
        <v>3</v>
      </c>
      <c r="L305" t="inlineStr"/>
      <c r="M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c r="I306" t="inlineStr">
        <is>
          <t>HXP Can Directly Fix</t>
        </is>
      </c>
      <c r="J306" t="b">
        <v>0</v>
      </c>
      <c r="K306" t="n">
        <v>2</v>
      </c>
      <c r="L306" t="inlineStr"/>
      <c r="M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c r="I307" t="inlineStr"/>
      <c r="J307" t="b">
        <v>0</v>
      </c>
      <c r="K307" t="n">
        <v>0</v>
      </c>
      <c r="L307" t="inlineStr"/>
      <c r="M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c r="I308" t="inlineStr">
        <is>
          <t>HXP Can Influence</t>
        </is>
      </c>
      <c r="J308" t="b">
        <v>0</v>
      </c>
      <c r="K308" t="n">
        <v>2</v>
      </c>
      <c r="L308" t="inlineStr"/>
      <c r="M308" t="inlineStr"/>
    </row>
    <row r="309">
      <c r="A309" t="inlineStr">
        <is>
          <t>No</t>
        </is>
      </c>
      <c r="B309" t="inlineStr"/>
      <c r="C309" t="inlineStr"/>
      <c r="D309" t="inlineStr"/>
      <c r="E309" t="inlineStr"/>
      <c r="F309" t="inlineStr"/>
      <c r="G309" t="inlineStr"/>
      <c r="H309" t="inlineStr"/>
      <c r="I309" t="inlineStr"/>
      <c r="J309" t="b">
        <v>0</v>
      </c>
      <c r="K309" t="n">
        <v>0</v>
      </c>
      <c r="L309" t="inlineStr"/>
      <c r="M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c r="I310" t="inlineStr"/>
      <c r="J310" t="b">
        <v>0</v>
      </c>
      <c r="K310" t="n">
        <v>0</v>
      </c>
      <c r="L310" t="inlineStr"/>
      <c r="M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c r="I311" t="inlineStr">
        <is>
          <t>Family's Own Choice</t>
        </is>
      </c>
      <c r="J311" t="b">
        <v>0</v>
      </c>
      <c r="K311" t="n">
        <v>1</v>
      </c>
      <c r="L311" t="inlineStr"/>
      <c r="M311" t="inlineStr"/>
    </row>
    <row r="312">
      <c r="A312" t="inlineStr">
        <is>
          <t>No</t>
        </is>
      </c>
      <c r="B312" t="inlineStr"/>
      <c r="C312" t="inlineStr"/>
      <c r="D312" t="inlineStr"/>
      <c r="E312" t="inlineStr">
        <is>
          <t>Logistics</t>
        </is>
      </c>
      <c r="F312" t="inlineStr">
        <is>
          <t>Other / Uncategorized</t>
        </is>
      </c>
      <c r="G312" t="inlineStr"/>
      <c r="H312" t="inlineStr"/>
      <c r="I312" t="inlineStr">
        <is>
          <t>Unknown</t>
        </is>
      </c>
      <c r="J312" t="b">
        <v>0</v>
      </c>
      <c r="K312" t="n">
        <v>0</v>
      </c>
      <c r="L312" t="inlineStr"/>
      <c r="M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c r="I313" t="inlineStr">
        <is>
          <t>HXP Can Influence</t>
        </is>
      </c>
      <c r="J313" t="b">
        <v>0</v>
      </c>
      <c r="K313" t="n">
        <v>1</v>
      </c>
      <c r="L313" t="inlineStr"/>
      <c r="M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c r="I314" t="inlineStr">
        <is>
          <t>Family's Own Choice</t>
        </is>
      </c>
      <c r="J314" t="b">
        <v>0</v>
      </c>
      <c r="K314" t="n">
        <v>1</v>
      </c>
      <c r="L314" t="inlineStr"/>
      <c r="M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c r="I315" t="inlineStr">
        <is>
          <t>Family's Own Choice</t>
        </is>
      </c>
      <c r="J315" t="b">
        <v>0</v>
      </c>
      <c r="K315" t="n">
        <v>1</v>
      </c>
      <c r="L315" t="inlineStr"/>
      <c r="M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c r="I316" t="inlineStr">
        <is>
          <t>HXP Can Directly Fix</t>
        </is>
      </c>
      <c r="J316" t="b">
        <v>0</v>
      </c>
      <c r="K316" t="n">
        <v>2</v>
      </c>
      <c r="L316" t="inlineStr"/>
      <c r="M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c r="I317" t="inlineStr">
        <is>
          <t>Family's Own Choice</t>
        </is>
      </c>
      <c r="J317" t="b">
        <v>0</v>
      </c>
      <c r="K317" t="n">
        <v>1</v>
      </c>
      <c r="L317" t="inlineStr"/>
      <c r="M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c r="I318" t="inlineStr">
        <is>
          <t>Family's Own Choice</t>
        </is>
      </c>
      <c r="J318" t="b">
        <v>0</v>
      </c>
      <c r="K318" t="n">
        <v>1</v>
      </c>
      <c r="L318" t="inlineStr"/>
      <c r="M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c r="I319" t="inlineStr">
        <is>
          <t>Family's Own Choice</t>
        </is>
      </c>
      <c r="J319" t="b">
        <v>0</v>
      </c>
      <c r="K319" t="n">
        <v>1</v>
      </c>
      <c r="L319" t="inlineStr"/>
      <c r="M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c r="I320" t="inlineStr">
        <is>
          <t>Family's Own Choice</t>
        </is>
      </c>
      <c r="J320" t="b">
        <v>0</v>
      </c>
      <c r="K320" t="n">
        <v>1</v>
      </c>
      <c r="L320" t="inlineStr"/>
      <c r="M320" t="inlineStr"/>
    </row>
    <row r="321">
      <c r="A321" t="inlineStr">
        <is>
          <t>No</t>
        </is>
      </c>
      <c r="B321" t="inlineStr"/>
      <c r="C321" t="inlineStr"/>
      <c r="D321" t="inlineStr"/>
      <c r="E321" t="inlineStr">
        <is>
          <t>my kid would hold back if I was there</t>
        </is>
      </c>
      <c r="F321" t="inlineStr">
        <is>
          <t>Wants Child to Have Independent Experience</t>
        </is>
      </c>
      <c r="G321" t="inlineStr">
        <is>
          <t>Wants Child to Have Independent Experience</t>
        </is>
      </c>
      <c r="H321" t="inlineStr"/>
      <c r="I321" t="inlineStr">
        <is>
          <t>Family's Own Choice</t>
        </is>
      </c>
      <c r="J321" t="b">
        <v>0</v>
      </c>
      <c r="K321" t="n">
        <v>1</v>
      </c>
      <c r="L321" t="inlineStr"/>
      <c r="M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c r="I322" t="inlineStr">
        <is>
          <t>Family's Own Choice</t>
        </is>
      </c>
      <c r="J322" t="b">
        <v>0</v>
      </c>
      <c r="K322" t="n">
        <v>1</v>
      </c>
      <c r="L322" t="inlineStr"/>
      <c r="M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c r="I323" t="inlineStr">
        <is>
          <t>HXP Can Influence</t>
        </is>
      </c>
      <c r="J323" t="b">
        <v>0</v>
      </c>
      <c r="K323" t="n">
        <v>1</v>
      </c>
      <c r="L323" t="inlineStr"/>
      <c r="M323" t="inlineStr"/>
    </row>
    <row r="324">
      <c r="A324" t="inlineStr">
        <is>
          <t>No</t>
        </is>
      </c>
      <c r="B324" t="inlineStr"/>
      <c r="C324" t="inlineStr"/>
      <c r="D324" t="inlineStr"/>
      <c r="E324" t="inlineStr">
        <is>
          <t>Cost</t>
        </is>
      </c>
      <c r="F324" t="inlineStr">
        <is>
          <t>Cost / Finances</t>
        </is>
      </c>
      <c r="G324" t="inlineStr">
        <is>
          <t>Cost / Finances</t>
        </is>
      </c>
      <c r="H324" t="inlineStr"/>
      <c r="I324" t="inlineStr">
        <is>
          <t>HXP Can Directly Fix</t>
        </is>
      </c>
      <c r="J324" t="b">
        <v>0</v>
      </c>
      <c r="K324" t="n">
        <v>1</v>
      </c>
      <c r="L324" t="inlineStr"/>
      <c r="M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c r="I325" t="inlineStr">
        <is>
          <t>Family's Own Choice</t>
        </is>
      </c>
      <c r="J325" t="b">
        <v>0</v>
      </c>
      <c r="K325" t="n">
        <v>1</v>
      </c>
      <c r="L325" t="inlineStr"/>
      <c r="M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c r="I326" t="inlineStr">
        <is>
          <t>Family's Own Choice</t>
        </is>
      </c>
      <c r="J326" t="b">
        <v>0</v>
      </c>
      <c r="K326" t="n">
        <v>1</v>
      </c>
      <c r="L326" t="inlineStr"/>
      <c r="M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c r="I327" t="inlineStr">
        <is>
          <t>Family's Own Choice</t>
        </is>
      </c>
      <c r="J327" t="b">
        <v>0</v>
      </c>
      <c r="K327" t="n">
        <v>1</v>
      </c>
      <c r="L327" t="inlineStr"/>
      <c r="M327" t="inlineStr"/>
    </row>
    <row r="328">
      <c r="A328" t="inlineStr">
        <is>
          <t>No</t>
        </is>
      </c>
      <c r="B328" t="inlineStr"/>
      <c r="C328" t="inlineStr"/>
      <c r="D328" t="inlineStr"/>
      <c r="E328" t="inlineStr">
        <is>
          <t>new job</t>
        </is>
      </c>
      <c r="F328" t="inlineStr">
        <is>
          <t>Work Schedule / Time Off</t>
        </is>
      </c>
      <c r="G328" t="inlineStr">
        <is>
          <t>Work Schedule / Time Off</t>
        </is>
      </c>
      <c r="H328" t="inlineStr"/>
      <c r="I328" t="inlineStr">
        <is>
          <t>HXP Can Influence</t>
        </is>
      </c>
      <c r="J328" t="b">
        <v>0</v>
      </c>
      <c r="K328" t="n">
        <v>1</v>
      </c>
      <c r="L328" t="inlineStr"/>
      <c r="M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c r="I329" t="inlineStr">
        <is>
          <t>Family's Own Choice</t>
        </is>
      </c>
      <c r="J329" t="b">
        <v>0</v>
      </c>
      <c r="K329" t="n">
        <v>1</v>
      </c>
      <c r="L329" t="inlineStr"/>
      <c r="M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c r="I330" t="inlineStr">
        <is>
          <t>HXP Can Influence</t>
        </is>
      </c>
      <c r="J330" t="b">
        <v>0</v>
      </c>
      <c r="K330" t="n">
        <v>2</v>
      </c>
      <c r="L330" t="inlineStr"/>
      <c r="M330" t="inlineStr"/>
    </row>
    <row r="331">
      <c r="A331" t="inlineStr">
        <is>
          <t>No</t>
        </is>
      </c>
      <c r="B331" t="inlineStr"/>
      <c r="C331" t="inlineStr"/>
      <c r="D331" t="inlineStr"/>
      <c r="E331" t="inlineStr">
        <is>
          <t>Cost</t>
        </is>
      </c>
      <c r="F331" t="inlineStr">
        <is>
          <t>Cost / Finances</t>
        </is>
      </c>
      <c r="G331" t="inlineStr">
        <is>
          <t>Cost / Finances</t>
        </is>
      </c>
      <c r="H331" t="inlineStr"/>
      <c r="I331" t="inlineStr">
        <is>
          <t>HXP Can Directly Fix</t>
        </is>
      </c>
      <c r="J331" t="b">
        <v>0</v>
      </c>
      <c r="K331" t="n">
        <v>1</v>
      </c>
      <c r="L331" t="inlineStr"/>
      <c r="M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c r="I332" t="inlineStr">
        <is>
          <t>Family's Own Choice</t>
        </is>
      </c>
      <c r="J332" t="b">
        <v>0</v>
      </c>
      <c r="K332" t="n">
        <v>1</v>
      </c>
      <c r="L332" t="inlineStr"/>
      <c r="M332" t="inlineStr"/>
    </row>
    <row r="333">
      <c r="A333" t="inlineStr">
        <is>
          <t>No</t>
        </is>
      </c>
      <c r="B333" t="inlineStr"/>
      <c r="C333" t="inlineStr"/>
      <c r="D333" t="inlineStr"/>
      <c r="E333" t="inlineStr"/>
      <c r="F333" t="inlineStr"/>
      <c r="G333" t="inlineStr"/>
      <c r="H333" t="inlineStr"/>
      <c r="I333" t="inlineStr"/>
      <c r="J333" t="b">
        <v>0</v>
      </c>
      <c r="K333" t="n">
        <v>0</v>
      </c>
      <c r="L333" t="inlineStr"/>
      <c r="M333" t="inlineStr"/>
    </row>
    <row r="334">
      <c r="A334" t="inlineStr">
        <is>
          <t>No</t>
        </is>
      </c>
      <c r="B334" t="inlineStr"/>
      <c r="C334" t="inlineStr"/>
      <c r="D334" t="inlineStr"/>
      <c r="E334" t="inlineStr">
        <is>
          <t>Time</t>
        </is>
      </c>
      <c r="F334" t="inlineStr">
        <is>
          <t>Work Schedule / Time Off</t>
        </is>
      </c>
      <c r="G334" t="inlineStr">
        <is>
          <t>Work Schedule / Time Off</t>
        </is>
      </c>
      <c r="H334" t="inlineStr"/>
      <c r="I334" t="inlineStr">
        <is>
          <t>HXP Can Influence</t>
        </is>
      </c>
      <c r="J334" t="b">
        <v>0</v>
      </c>
      <c r="K334" t="n">
        <v>1</v>
      </c>
      <c r="L334" t="inlineStr"/>
      <c r="M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c r="I335" t="inlineStr"/>
      <c r="J335" t="b">
        <v>0</v>
      </c>
      <c r="K335" t="n">
        <v>0</v>
      </c>
      <c r="L335" t="inlineStr"/>
      <c r="M335" t="inlineStr"/>
    </row>
    <row r="336">
      <c r="A336" t="inlineStr">
        <is>
          <t>Yes</t>
        </is>
      </c>
      <c r="B336" t="inlineStr">
        <is>
          <t>My daughter</t>
        </is>
      </c>
      <c r="C336" t="inlineStr">
        <is>
          <t>Family Member Asked or Influenced Them to Go</t>
        </is>
      </c>
      <c r="D336" t="inlineStr">
        <is>
          <t>Family Member Asked or Influenced Them to Go</t>
        </is>
      </c>
      <c r="E336" t="inlineStr"/>
      <c r="F336" t="inlineStr"/>
      <c r="G336" t="inlineStr"/>
      <c r="H336" t="inlineStr"/>
      <c r="I336" t="inlineStr"/>
      <c r="J336" t="b">
        <v>0</v>
      </c>
      <c r="K336" t="n">
        <v>0</v>
      </c>
      <c r="L336" t="inlineStr"/>
      <c r="M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c r="I337" t="inlineStr">
        <is>
          <t>Family's Own Choice</t>
        </is>
      </c>
      <c r="J337" t="b">
        <v>0</v>
      </c>
      <c r="K337" t="n">
        <v>1</v>
      </c>
      <c r="L337" t="inlineStr"/>
      <c r="M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c r="I338" t="inlineStr">
        <is>
          <t>Family's Own Choice</t>
        </is>
      </c>
      <c r="J338" t="b">
        <v>0</v>
      </c>
      <c r="K338" t="n">
        <v>1</v>
      </c>
      <c r="L338" t="inlineStr"/>
      <c r="M338" t="inlineStr"/>
    </row>
    <row r="339">
      <c r="A339" t="inlineStr">
        <is>
          <t>No</t>
        </is>
      </c>
      <c r="B339" t="inlineStr"/>
      <c r="C339" t="inlineStr"/>
      <c r="D339" t="inlineStr"/>
      <c r="E339" t="inlineStr"/>
      <c r="F339" t="inlineStr"/>
      <c r="G339" t="inlineStr"/>
      <c r="H339" t="inlineStr"/>
      <c r="I339" t="inlineStr"/>
      <c r="J339" t="b">
        <v>0</v>
      </c>
      <c r="K339" t="n">
        <v>0</v>
      </c>
      <c r="L339" t="inlineStr"/>
      <c r="M339" t="inlineStr"/>
    </row>
    <row r="340">
      <c r="A340" t="inlineStr">
        <is>
          <t>No</t>
        </is>
      </c>
      <c r="B340" t="inlineStr"/>
      <c r="C340" t="inlineStr"/>
      <c r="D340" t="inlineStr"/>
      <c r="E340" t="inlineStr">
        <is>
          <t>She went on an HXP trip last year and loved it, so we decided to send her on another one in a warmer location.</t>
        </is>
      </c>
      <c r="F340" t="inlineStr">
        <is>
          <t>Wants Child to Have Independent Experience</t>
        </is>
      </c>
      <c r="G340" t="inlineStr">
        <is>
          <t>Wants Child to Have Independent Experience</t>
        </is>
      </c>
      <c r="H340" t="inlineStr"/>
      <c r="I340" t="inlineStr">
        <is>
          <t>Family's Own Choice</t>
        </is>
      </c>
      <c r="J340" t="b">
        <v>0</v>
      </c>
      <c r="K340" t="n">
        <v>1</v>
      </c>
      <c r="L340" t="inlineStr"/>
      <c r="M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c r="I341" t="inlineStr">
        <is>
          <t>Family's Own Choice</t>
        </is>
      </c>
      <c r="J341" t="b">
        <v>0</v>
      </c>
      <c r="K341" t="n">
        <v>1</v>
      </c>
      <c r="L341" t="inlineStr"/>
      <c r="M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c r="I342" t="inlineStr">
        <is>
          <t>HXP Can Directly Fix</t>
        </is>
      </c>
      <c r="J342" t="b">
        <v>0</v>
      </c>
      <c r="K342" t="n">
        <v>2</v>
      </c>
      <c r="L342" t="inlineStr"/>
      <c r="M342" t="inlineStr"/>
    </row>
    <row r="343">
      <c r="A343" t="inlineStr">
        <is>
          <t>No</t>
        </is>
      </c>
      <c r="B343" t="inlineStr"/>
      <c r="C343" t="inlineStr"/>
      <c r="D343" t="inlineStr"/>
      <c r="E343" t="inlineStr">
        <is>
          <t>Money</t>
        </is>
      </c>
      <c r="F343" t="inlineStr">
        <is>
          <t>Cost / Finances</t>
        </is>
      </c>
      <c r="G343" t="inlineStr">
        <is>
          <t>Cost / Finances</t>
        </is>
      </c>
      <c r="H343" t="inlineStr"/>
      <c r="I343" t="inlineStr">
        <is>
          <t>HXP Can Directly Fix</t>
        </is>
      </c>
      <c r="J343" t="b">
        <v>0</v>
      </c>
      <c r="K343" t="n">
        <v>1</v>
      </c>
      <c r="L343" t="inlineStr"/>
      <c r="M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c r="I344" t="inlineStr"/>
      <c r="J344" t="b">
        <v>0</v>
      </c>
      <c r="K344" t="n">
        <v>0</v>
      </c>
      <c r="L344" t="inlineStr"/>
      <c r="M344" t="inlineStr"/>
    </row>
    <row r="345">
      <c r="A345" t="inlineStr">
        <is>
          <t>Yes</t>
        </is>
      </c>
      <c r="B345" t="inlineStr"/>
      <c r="C345" t="inlineStr"/>
      <c r="D345" t="inlineStr"/>
      <c r="E345" t="inlineStr"/>
      <c r="F345" t="inlineStr"/>
      <c r="G345" t="inlineStr"/>
      <c r="H345" t="inlineStr"/>
      <c r="I345" t="inlineStr"/>
      <c r="J345" t="b">
        <v>0</v>
      </c>
      <c r="K345" t="n">
        <v>0</v>
      </c>
      <c r="L345" t="inlineStr"/>
      <c r="M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c r="I346" t="inlineStr"/>
      <c r="J346" t="b">
        <v>0</v>
      </c>
      <c r="K346" t="n">
        <v>0</v>
      </c>
      <c r="L346" t="inlineStr"/>
      <c r="M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c r="I347" t="inlineStr">
        <is>
          <t>HXP Can Directly Fix</t>
        </is>
      </c>
      <c r="J347" t="b">
        <v>0</v>
      </c>
      <c r="K347" t="n">
        <v>2</v>
      </c>
      <c r="L347" t="inlineStr"/>
      <c r="M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c r="I348" t="inlineStr"/>
      <c r="J348" t="b">
        <v>0</v>
      </c>
      <c r="K348" t="n">
        <v>0</v>
      </c>
      <c r="L348" t="inlineStr"/>
      <c r="M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c r="I349" t="inlineStr">
        <is>
          <t>HXP Can Directly Fix</t>
        </is>
      </c>
      <c r="J349" t="b">
        <v>0</v>
      </c>
      <c r="K349" t="n">
        <v>1</v>
      </c>
      <c r="L349" t="inlineStr"/>
      <c r="M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c r="I350" t="inlineStr">
        <is>
          <t>HXP Can Directly Fix</t>
        </is>
      </c>
      <c r="J350" t="b">
        <v>0</v>
      </c>
      <c r="K350" t="n">
        <v>2</v>
      </c>
      <c r="L350" t="inlineStr"/>
      <c r="M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c r="I351" t="inlineStr">
        <is>
          <t>HXP Can Directly Fix</t>
        </is>
      </c>
      <c r="J351" t="b">
        <v>0</v>
      </c>
      <c r="K351" t="n">
        <v>2</v>
      </c>
      <c r="L351" t="inlineStr"/>
      <c r="M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c r="I352" t="inlineStr">
        <is>
          <t>HXP Can Directly Fix</t>
        </is>
      </c>
      <c r="J352" t="b">
        <v>0</v>
      </c>
      <c r="K352" t="n">
        <v>2</v>
      </c>
      <c r="L352" t="inlineStr"/>
      <c r="M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c r="I353" t="inlineStr"/>
      <c r="J353" t="b">
        <v>0</v>
      </c>
      <c r="K353" t="n">
        <v>0</v>
      </c>
      <c r="L353" t="inlineStr"/>
      <c r="M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c r="I354" t="inlineStr">
        <is>
          <t>Family's Own Choice</t>
        </is>
      </c>
      <c r="J354" t="b">
        <v>0</v>
      </c>
      <c r="K354" t="n">
        <v>1</v>
      </c>
      <c r="L354" t="inlineStr"/>
      <c r="M354" t="inlineStr"/>
    </row>
    <row r="355">
      <c r="A355" t="inlineStr">
        <is>
          <t>No</t>
        </is>
      </c>
      <c r="B355" t="inlineStr"/>
      <c r="C355" t="inlineStr"/>
      <c r="D355" t="inlineStr"/>
      <c r="E355" t="inlineStr"/>
      <c r="F355" t="inlineStr"/>
      <c r="G355" t="inlineStr"/>
      <c r="H355" t="inlineStr"/>
      <c r="I355" t="inlineStr"/>
      <c r="J355" t="b">
        <v>0</v>
      </c>
      <c r="K355" t="n">
        <v>0</v>
      </c>
      <c r="L355" t="inlineStr"/>
      <c r="M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c r="I356" t="inlineStr">
        <is>
          <t>Family's Own Choice</t>
        </is>
      </c>
      <c r="J356" t="b">
        <v>0</v>
      </c>
      <c r="K356" t="n">
        <v>1</v>
      </c>
      <c r="L356" t="inlineStr"/>
      <c r="M356" t="inlineStr"/>
    </row>
    <row r="357">
      <c r="A357" t="inlineStr">
        <is>
          <t>Maybe</t>
        </is>
      </c>
      <c r="B357" t="inlineStr"/>
      <c r="C357" t="inlineStr"/>
      <c r="D357" t="inlineStr"/>
      <c r="E357" t="inlineStr"/>
      <c r="F357" t="inlineStr"/>
      <c r="G357" t="inlineStr"/>
      <c r="H357" t="inlineStr">
        <is>
          <t>Help with the expense</t>
        </is>
      </c>
      <c r="I357" t="inlineStr"/>
      <c r="J357" t="b">
        <v>0</v>
      </c>
      <c r="K357" t="n">
        <v>0</v>
      </c>
      <c r="L357" t="inlineStr">
        <is>
          <t>Cost / Financial Assistance</t>
        </is>
      </c>
      <c r="M357" t="inlineStr">
        <is>
          <t>Cost / Financial Assistance</t>
        </is>
      </c>
    </row>
    <row r="358">
      <c r="A358" t="inlineStr">
        <is>
          <t>No</t>
        </is>
      </c>
      <c r="B358" t="inlineStr"/>
      <c r="C358" t="inlineStr"/>
      <c r="D358" t="inlineStr"/>
      <c r="E358" t="inlineStr">
        <is>
          <t>Cost</t>
        </is>
      </c>
      <c r="F358" t="inlineStr">
        <is>
          <t>Cost / Finances</t>
        </is>
      </c>
      <c r="G358" t="inlineStr">
        <is>
          <t>Cost / Finances</t>
        </is>
      </c>
      <c r="H358" t="inlineStr"/>
      <c r="I358" t="inlineStr">
        <is>
          <t>HXP Can Directly Fix</t>
        </is>
      </c>
      <c r="J358" t="b">
        <v>0</v>
      </c>
      <c r="K358" t="n">
        <v>1</v>
      </c>
      <c r="L358" t="inlineStr"/>
      <c r="M358" t="inlineStr"/>
    </row>
    <row r="359">
      <c r="A359" t="inlineStr">
        <is>
          <t>Yes</t>
        </is>
      </c>
      <c r="B359" t="inlineStr">
        <is>
          <t>My youth</t>
        </is>
      </c>
      <c r="C359" t="inlineStr">
        <is>
          <t>Family Member Asked or Influenced Them to Go</t>
        </is>
      </c>
      <c r="D359" t="inlineStr">
        <is>
          <t>Family Member Asked or Influenced Them to Go</t>
        </is>
      </c>
      <c r="E359" t="inlineStr"/>
      <c r="F359" t="inlineStr"/>
      <c r="G359" t="inlineStr"/>
      <c r="H359" t="inlineStr"/>
      <c r="I359" t="inlineStr"/>
      <c r="J359" t="b">
        <v>0</v>
      </c>
      <c r="K359" t="n">
        <v>0</v>
      </c>
      <c r="L359" t="inlineStr"/>
      <c r="M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c r="I360" t="inlineStr">
        <is>
          <t>Family's Own Choice</t>
        </is>
      </c>
      <c r="J360" t="b">
        <v>0</v>
      </c>
      <c r="K360" t="n">
        <v>1</v>
      </c>
      <c r="L360" t="inlineStr"/>
      <c r="M360" t="inlineStr"/>
    </row>
    <row r="361">
      <c r="A361" t="inlineStr">
        <is>
          <t>No</t>
        </is>
      </c>
      <c r="B361" t="inlineStr"/>
      <c r="C361" t="inlineStr"/>
      <c r="D361" t="inlineStr"/>
      <c r="E361" t="inlineStr">
        <is>
          <t>Cost</t>
        </is>
      </c>
      <c r="F361" t="inlineStr">
        <is>
          <t>Cost / Finances</t>
        </is>
      </c>
      <c r="G361" t="inlineStr">
        <is>
          <t>Cost / Finances</t>
        </is>
      </c>
      <c r="H361" t="inlineStr"/>
      <c r="I361" t="inlineStr">
        <is>
          <t>HXP Can Directly Fix</t>
        </is>
      </c>
      <c r="J361" t="b">
        <v>0</v>
      </c>
      <c r="K361" t="n">
        <v>1</v>
      </c>
      <c r="L361" t="inlineStr"/>
      <c r="M361" t="inlineStr"/>
    </row>
    <row r="362">
      <c r="A362" t="inlineStr">
        <is>
          <t>No</t>
        </is>
      </c>
      <c r="B362" t="inlineStr"/>
      <c r="C362" t="inlineStr"/>
      <c r="D362" t="inlineStr"/>
      <c r="E362" t="inlineStr">
        <is>
          <t>Cost</t>
        </is>
      </c>
      <c r="F362" t="inlineStr">
        <is>
          <t>Cost / Finances</t>
        </is>
      </c>
      <c r="G362" t="inlineStr">
        <is>
          <t>Cost / Finances</t>
        </is>
      </c>
      <c r="H362" t="inlineStr"/>
      <c r="I362" t="inlineStr">
        <is>
          <t>HXP Can Directly Fix</t>
        </is>
      </c>
      <c r="J362" t="b">
        <v>0</v>
      </c>
      <c r="K362" t="n">
        <v>1</v>
      </c>
      <c r="L362" t="inlineStr"/>
      <c r="M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c r="I363" t="inlineStr">
        <is>
          <t>Family's Own Choice</t>
        </is>
      </c>
      <c r="J363" t="b">
        <v>0</v>
      </c>
      <c r="K363" t="n">
        <v>1</v>
      </c>
      <c r="L363" t="inlineStr"/>
      <c r="M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c r="I364" t="inlineStr">
        <is>
          <t>HXP Can Influence</t>
        </is>
      </c>
      <c r="J364" t="b">
        <v>0</v>
      </c>
      <c r="K364" t="n">
        <v>3</v>
      </c>
      <c r="L364" t="inlineStr"/>
      <c r="M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c r="I365" t="inlineStr">
        <is>
          <t>Family's Own Choice</t>
        </is>
      </c>
      <c r="J365" t="b">
        <v>0</v>
      </c>
      <c r="K365" t="n">
        <v>1</v>
      </c>
      <c r="L365" t="inlineStr"/>
      <c r="M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c r="I366" t="inlineStr">
        <is>
          <t>HXP Can Directly Fix</t>
        </is>
      </c>
      <c r="J366" t="b">
        <v>0</v>
      </c>
      <c r="K366" t="n">
        <v>1</v>
      </c>
      <c r="L366" t="inlineStr"/>
      <c r="M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c r="I367" t="inlineStr">
        <is>
          <t>HXP Can Directly Fix</t>
        </is>
      </c>
      <c r="J367" t="b">
        <v>0</v>
      </c>
      <c r="K367" t="n">
        <v>1</v>
      </c>
      <c r="L367" t="inlineStr"/>
      <c r="M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c r="I368" t="inlineStr">
        <is>
          <t>Unknown</t>
        </is>
      </c>
      <c r="J368" t="b">
        <v>1</v>
      </c>
      <c r="K368" t="n">
        <v>0</v>
      </c>
      <c r="L368" t="inlineStr"/>
      <c r="M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c r="I369" t="inlineStr"/>
      <c r="J369" t="b">
        <v>0</v>
      </c>
      <c r="K369" t="n">
        <v>0</v>
      </c>
      <c r="L369" t="inlineStr"/>
      <c r="M369" t="inlineStr"/>
    </row>
    <row r="370">
      <c r="A370" t="inlineStr">
        <is>
          <t>No</t>
        </is>
      </c>
      <c r="B370" t="inlineStr"/>
      <c r="C370" t="inlineStr"/>
      <c r="D370" t="inlineStr"/>
      <c r="E370" t="inlineStr"/>
      <c r="F370" t="inlineStr"/>
      <c r="G370" t="inlineStr"/>
      <c r="H370" t="inlineStr"/>
      <c r="I370" t="inlineStr"/>
      <c r="J370" t="b">
        <v>0</v>
      </c>
      <c r="K370" t="n">
        <v>0</v>
      </c>
      <c r="L370" t="inlineStr"/>
      <c r="M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c r="I371" t="inlineStr">
        <is>
          <t>HXP Can Influence</t>
        </is>
      </c>
      <c r="J371" t="b">
        <v>0</v>
      </c>
      <c r="K371" t="n">
        <v>2</v>
      </c>
      <c r="L371" t="inlineStr"/>
      <c r="M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c r="I372" t="inlineStr">
        <is>
          <t>Family's Own Choice</t>
        </is>
      </c>
      <c r="J372" t="b">
        <v>0</v>
      </c>
      <c r="K372" t="n">
        <v>2</v>
      </c>
      <c r="L372" t="inlineStr"/>
      <c r="M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c r="I373" t="inlineStr">
        <is>
          <t>Family's Own Choice</t>
        </is>
      </c>
      <c r="J373" t="b">
        <v>0</v>
      </c>
      <c r="K373" t="n">
        <v>1</v>
      </c>
      <c r="L373" t="inlineStr"/>
      <c r="M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c r="I374" t="inlineStr">
        <is>
          <t>Family's Own Choice</t>
        </is>
      </c>
      <c r="J374" t="b">
        <v>0</v>
      </c>
      <c r="K374" t="n">
        <v>1</v>
      </c>
      <c r="L374" t="inlineStr"/>
      <c r="M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c r="I375" t="inlineStr">
        <is>
          <t>HXP Can Influence</t>
        </is>
      </c>
      <c r="J375" t="b">
        <v>0</v>
      </c>
      <c r="K375" t="n">
        <v>1</v>
      </c>
      <c r="L375" t="inlineStr"/>
      <c r="M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c r="I376" t="inlineStr">
        <is>
          <t>HXP Can Directly Fix</t>
        </is>
      </c>
      <c r="J376" t="b">
        <v>0</v>
      </c>
      <c r="K376" t="n">
        <v>1</v>
      </c>
      <c r="L376" t="inlineStr"/>
      <c r="M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c r="I377" t="inlineStr"/>
      <c r="J377" t="b">
        <v>0</v>
      </c>
      <c r="K377" t="n">
        <v>0</v>
      </c>
      <c r="L377" t="inlineStr"/>
      <c r="M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c r="I378" t="inlineStr"/>
      <c r="J378" t="b">
        <v>0</v>
      </c>
      <c r="K378" t="n">
        <v>0</v>
      </c>
      <c r="L378" t="inlineStr"/>
      <c r="M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c r="I379" t="inlineStr">
        <is>
          <t>Family's Own Choice</t>
        </is>
      </c>
      <c r="J379" t="b">
        <v>0</v>
      </c>
      <c r="K379" t="n">
        <v>1</v>
      </c>
      <c r="L379" t="inlineStr"/>
      <c r="M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c r="I380" t="inlineStr">
        <is>
          <t>HXP Can Directly Fix</t>
        </is>
      </c>
      <c r="J380" t="b">
        <v>0</v>
      </c>
      <c r="K380" t="n">
        <v>2</v>
      </c>
      <c r="L380" t="inlineStr"/>
      <c r="M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c r="I381" t="inlineStr">
        <is>
          <t>Family's Own Choice</t>
        </is>
      </c>
      <c r="J381" t="b">
        <v>0</v>
      </c>
      <c r="K381" t="n">
        <v>1</v>
      </c>
      <c r="L381" t="inlineStr"/>
      <c r="M381" t="inlineStr"/>
    </row>
    <row r="382">
      <c r="A382" t="inlineStr">
        <is>
          <t>No</t>
        </is>
      </c>
      <c r="B382" t="inlineStr"/>
      <c r="C382" t="inlineStr"/>
      <c r="D382" t="inlineStr"/>
      <c r="E382" t="inlineStr">
        <is>
          <t>time</t>
        </is>
      </c>
      <c r="F382" t="inlineStr">
        <is>
          <t>Work Schedule / Time Off</t>
        </is>
      </c>
      <c r="G382" t="inlineStr">
        <is>
          <t>Work Schedule / Time Off</t>
        </is>
      </c>
      <c r="H382" t="inlineStr"/>
      <c r="I382" t="inlineStr">
        <is>
          <t>HXP Can Influence</t>
        </is>
      </c>
      <c r="J382" t="b">
        <v>0</v>
      </c>
      <c r="K382" t="n">
        <v>1</v>
      </c>
      <c r="L382" t="inlineStr"/>
      <c r="M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c r="I383" t="inlineStr">
        <is>
          <t>HXP Can Directly Fix</t>
        </is>
      </c>
      <c r="J383" t="b">
        <v>0</v>
      </c>
      <c r="K383" t="n">
        <v>1</v>
      </c>
      <c r="L383" t="inlineStr"/>
      <c r="M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c r="I384" t="inlineStr">
        <is>
          <t>Family's Own Choice</t>
        </is>
      </c>
      <c r="J384" t="b">
        <v>0</v>
      </c>
      <c r="K384" t="n">
        <v>1</v>
      </c>
      <c r="L384" t="inlineStr"/>
      <c r="M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c r="I385" t="inlineStr"/>
      <c r="J385" t="b">
        <v>0</v>
      </c>
      <c r="K385" t="n">
        <v>0</v>
      </c>
      <c r="L385" t="inlineStr"/>
      <c r="M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c r="I386" t="inlineStr">
        <is>
          <t>HXP Can Influence</t>
        </is>
      </c>
      <c r="J386" t="b">
        <v>0</v>
      </c>
      <c r="K386" t="n">
        <v>1</v>
      </c>
      <c r="L386" t="inlineStr"/>
      <c r="M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c r="I387" t="inlineStr">
        <is>
          <t>Family's Own Choice</t>
        </is>
      </c>
      <c r="J387" t="b">
        <v>0</v>
      </c>
      <c r="K387" t="n">
        <v>1</v>
      </c>
      <c r="L387" t="inlineStr"/>
      <c r="M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c r="I388" t="inlineStr">
        <is>
          <t>HXP Can Influence</t>
        </is>
      </c>
      <c r="J388" t="b">
        <v>0</v>
      </c>
      <c r="K388" t="n">
        <v>1</v>
      </c>
      <c r="L388" t="inlineStr"/>
      <c r="M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c r="I389" t="inlineStr">
        <is>
          <t>HXP Can Influence</t>
        </is>
      </c>
      <c r="J389" t="b">
        <v>0</v>
      </c>
      <c r="K389" t="n">
        <v>1</v>
      </c>
      <c r="L389" t="inlineStr"/>
      <c r="M389" t="inlineStr"/>
    </row>
    <row r="390">
      <c r="A390" t="inlineStr">
        <is>
          <t>No</t>
        </is>
      </c>
      <c r="B390" t="inlineStr"/>
      <c r="C390" t="inlineStr"/>
      <c r="D390" t="inlineStr"/>
      <c r="E390" t="inlineStr">
        <is>
          <t>Cost</t>
        </is>
      </c>
      <c r="F390" t="inlineStr">
        <is>
          <t>Cost / Finances</t>
        </is>
      </c>
      <c r="G390" t="inlineStr">
        <is>
          <t>Cost / Finances</t>
        </is>
      </c>
      <c r="H390" t="inlineStr"/>
      <c r="I390" t="inlineStr">
        <is>
          <t>HXP Can Directly Fix</t>
        </is>
      </c>
      <c r="J390" t="b">
        <v>0</v>
      </c>
      <c r="K390" t="n">
        <v>1</v>
      </c>
      <c r="L390" t="inlineStr"/>
      <c r="M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c r="I391" t="inlineStr"/>
      <c r="J391" t="b">
        <v>0</v>
      </c>
      <c r="K391" t="n">
        <v>0</v>
      </c>
      <c r="L391" t="inlineStr"/>
      <c r="M391" t="inlineStr"/>
    </row>
    <row r="392">
      <c r="A392" t="inlineStr">
        <is>
          <t>No</t>
        </is>
      </c>
      <c r="B392" t="inlineStr"/>
      <c r="C392" t="inlineStr"/>
      <c r="D392" t="inlineStr"/>
      <c r="E392" t="inlineStr"/>
      <c r="F392" t="inlineStr"/>
      <c r="G392" t="inlineStr"/>
      <c r="H392" t="inlineStr"/>
      <c r="I392" t="inlineStr"/>
      <c r="J392" t="b">
        <v>0</v>
      </c>
      <c r="K392" t="n">
        <v>0</v>
      </c>
      <c r="L392" t="inlineStr"/>
      <c r="M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c r="I393" t="inlineStr">
        <is>
          <t>Family's Own Choice</t>
        </is>
      </c>
      <c r="J393" t="b">
        <v>0</v>
      </c>
      <c r="K393" t="n">
        <v>1</v>
      </c>
      <c r="L393" t="inlineStr"/>
      <c r="M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c r="I394" t="inlineStr">
        <is>
          <t>Family's Own Choice</t>
        </is>
      </c>
      <c r="J394" t="b">
        <v>0</v>
      </c>
      <c r="K394" t="n">
        <v>1</v>
      </c>
      <c r="L394" t="inlineStr"/>
      <c r="M394" t="inlineStr"/>
    </row>
    <row r="395">
      <c r="A395" t="inlineStr">
        <is>
          <t>No</t>
        </is>
      </c>
      <c r="B395" t="inlineStr"/>
      <c r="C395" t="inlineStr"/>
      <c r="D395" t="inlineStr"/>
      <c r="E395" t="inlineStr">
        <is>
          <t>Previous builder t</t>
        </is>
      </c>
      <c r="F395" t="inlineStr">
        <is>
          <t>Other / Uncategorized</t>
        </is>
      </c>
      <c r="G395" t="inlineStr"/>
      <c r="H395" t="inlineStr"/>
      <c r="I395" t="inlineStr">
        <is>
          <t>Unknown</t>
        </is>
      </c>
      <c r="J395" t="b">
        <v>0</v>
      </c>
      <c r="K395" t="n">
        <v>0</v>
      </c>
      <c r="L395" t="inlineStr"/>
      <c r="M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c r="I396" t="inlineStr">
        <is>
          <t>HXP Can Directly Fix</t>
        </is>
      </c>
      <c r="J396" t="b">
        <v>0</v>
      </c>
      <c r="K396" t="n">
        <v>1</v>
      </c>
      <c r="L396" t="inlineStr"/>
      <c r="M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c r="I397" t="inlineStr">
        <is>
          <t>Family's Own Choice</t>
        </is>
      </c>
      <c r="J397" t="b">
        <v>0</v>
      </c>
      <c r="K397" t="n">
        <v>1</v>
      </c>
      <c r="L397" t="inlineStr"/>
      <c r="M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c r="I398" t="inlineStr">
        <is>
          <t>Family's Own Choice</t>
        </is>
      </c>
      <c r="J398" t="b">
        <v>0</v>
      </c>
      <c r="K398" t="n">
        <v>1</v>
      </c>
      <c r="L398" t="inlineStr"/>
      <c r="M398" t="inlineStr"/>
    </row>
    <row r="399">
      <c r="A399" t="inlineStr">
        <is>
          <t>No</t>
        </is>
      </c>
      <c r="B399" t="inlineStr"/>
      <c r="C399" t="inlineStr"/>
      <c r="D399" t="inlineStr"/>
      <c r="E399" t="inlineStr"/>
      <c r="F399" t="inlineStr"/>
      <c r="G399" t="inlineStr"/>
      <c r="H399" t="inlineStr"/>
      <c r="I399" t="inlineStr"/>
      <c r="J399" t="b">
        <v>0</v>
      </c>
      <c r="K399" t="n">
        <v>0</v>
      </c>
      <c r="L399" t="inlineStr"/>
      <c r="M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c r="I400" t="inlineStr">
        <is>
          <t>HXP Can Directly Fix</t>
        </is>
      </c>
      <c r="J400" t="b">
        <v>0</v>
      </c>
      <c r="K400" t="n">
        <v>2</v>
      </c>
      <c r="L400" t="inlineStr"/>
      <c r="M400" t="inlineStr"/>
    </row>
    <row r="401">
      <c r="A401" t="inlineStr">
        <is>
          <t>No</t>
        </is>
      </c>
      <c r="B401" t="inlineStr"/>
      <c r="C401" t="inlineStr"/>
      <c r="D401" t="inlineStr"/>
      <c r="E401" t="inlineStr"/>
      <c r="F401" t="inlineStr"/>
      <c r="G401" t="inlineStr"/>
      <c r="H401" t="inlineStr"/>
      <c r="I401" t="inlineStr"/>
      <c r="J401" t="b">
        <v>0</v>
      </c>
      <c r="K401" t="n">
        <v>0</v>
      </c>
      <c r="L401" t="inlineStr"/>
      <c r="M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c r="I402" t="inlineStr">
        <is>
          <t>Family's Own Choice</t>
        </is>
      </c>
      <c r="J402" t="b">
        <v>0</v>
      </c>
      <c r="K402" t="n">
        <v>1</v>
      </c>
      <c r="L402" t="inlineStr"/>
      <c r="M402" t="inlineStr"/>
    </row>
    <row r="403">
      <c r="A403" t="inlineStr">
        <is>
          <t>No</t>
        </is>
      </c>
      <c r="B403" t="inlineStr"/>
      <c r="C403" t="inlineStr"/>
      <c r="D403" t="inlineStr"/>
      <c r="E403" t="inlineStr">
        <is>
          <t>time</t>
        </is>
      </c>
      <c r="F403" t="inlineStr">
        <is>
          <t>Work Schedule / Time Off</t>
        </is>
      </c>
      <c r="G403" t="inlineStr">
        <is>
          <t>Work Schedule / Time Off</t>
        </is>
      </c>
      <c r="H403" t="inlineStr"/>
      <c r="I403" t="inlineStr">
        <is>
          <t>HXP Can Influence</t>
        </is>
      </c>
      <c r="J403" t="b">
        <v>0</v>
      </c>
      <c r="K403" t="n">
        <v>1</v>
      </c>
      <c r="L403" t="inlineStr"/>
      <c r="M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c r="I404" t="inlineStr">
        <is>
          <t>HXP Can Directly Fix</t>
        </is>
      </c>
      <c r="J404" t="b">
        <v>0</v>
      </c>
      <c r="K404" t="n">
        <v>2</v>
      </c>
      <c r="L404" t="inlineStr"/>
      <c r="M404" t="inlineStr"/>
    </row>
    <row r="405">
      <c r="A405" t="inlineStr">
        <is>
          <t>Maybe</t>
        </is>
      </c>
      <c r="B405" t="inlineStr"/>
      <c r="C405" t="inlineStr"/>
      <c r="D405" t="inlineStr"/>
      <c r="E405" t="inlineStr"/>
      <c r="F405" t="inlineStr"/>
      <c r="G405" t="inlineStr"/>
      <c r="H405" t="inlineStr">
        <is>
          <t>Finding childcare for my younger kids not on the trip</t>
        </is>
      </c>
      <c r="I405" t="inlineStr"/>
      <c r="J405" t="b">
        <v>0</v>
      </c>
      <c r="K405" t="n">
        <v>0</v>
      </c>
      <c r="L405" t="inlineStr">
        <is>
          <t>Childcare for Other Kids</t>
        </is>
      </c>
      <c r="M405" t="inlineStr">
        <is>
          <t>Childcare for Other Kids; Waiting for Right Timing (kids' ages)</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c r="I406" t="inlineStr">
        <is>
          <t>Family's Own Choice</t>
        </is>
      </c>
      <c r="J406" t="b">
        <v>1</v>
      </c>
      <c r="K406" t="n">
        <v>1</v>
      </c>
      <c r="L406" t="inlineStr"/>
      <c r="M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c r="I407" t="inlineStr">
        <is>
          <t>Family's Own Choice</t>
        </is>
      </c>
      <c r="J407" t="b">
        <v>0</v>
      </c>
      <c r="K407" t="n">
        <v>1</v>
      </c>
      <c r="L407" t="inlineStr"/>
      <c r="M407" t="inlineStr"/>
    </row>
    <row r="408">
      <c r="A408" t="inlineStr">
        <is>
          <t>No</t>
        </is>
      </c>
      <c r="B408" t="inlineStr"/>
      <c r="C408" t="inlineStr"/>
      <c r="D408" t="inlineStr"/>
      <c r="E408" t="inlineStr"/>
      <c r="F408" t="inlineStr"/>
      <c r="G408" t="inlineStr"/>
      <c r="H408" t="inlineStr"/>
      <c r="I408" t="inlineStr"/>
      <c r="J408" t="b">
        <v>0</v>
      </c>
      <c r="K408" t="n">
        <v>0</v>
      </c>
      <c r="L408" t="inlineStr"/>
      <c r="M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c r="I409" t="inlineStr">
        <is>
          <t>Family's Own Choice</t>
        </is>
      </c>
      <c r="J409" t="b">
        <v>0</v>
      </c>
      <c r="K409" t="n">
        <v>1</v>
      </c>
      <c r="L409" t="inlineStr"/>
      <c r="M409" t="inlineStr"/>
    </row>
    <row r="410">
      <c r="A410" t="inlineStr">
        <is>
          <t>Yes</t>
        </is>
      </c>
      <c r="B410" t="inlineStr">
        <is>
          <t>My daughter</t>
        </is>
      </c>
      <c r="C410" t="inlineStr">
        <is>
          <t>Family Member Asked or Influenced Them to Go</t>
        </is>
      </c>
      <c r="D410" t="inlineStr">
        <is>
          <t>Family Member Asked or Influenced Them to Go</t>
        </is>
      </c>
      <c r="E410" t="inlineStr"/>
      <c r="F410" t="inlineStr"/>
      <c r="G410" t="inlineStr"/>
      <c r="H410" t="inlineStr"/>
      <c r="I410" t="inlineStr"/>
      <c r="J410" t="b">
        <v>0</v>
      </c>
      <c r="K410" t="n">
        <v>0</v>
      </c>
      <c r="L410" t="inlineStr"/>
      <c r="M410" t="inlineStr"/>
    </row>
    <row r="411">
      <c r="A411" t="inlineStr">
        <is>
          <t>No</t>
        </is>
      </c>
      <c r="B411" t="inlineStr"/>
      <c r="C411" t="inlineStr"/>
      <c r="D411" t="inlineStr"/>
      <c r="E411" t="inlineStr"/>
      <c r="F411" t="inlineStr"/>
      <c r="G411" t="inlineStr"/>
      <c r="H411" t="inlineStr"/>
      <c r="I411" t="inlineStr"/>
      <c r="J411" t="b">
        <v>0</v>
      </c>
      <c r="K411" t="n">
        <v>0</v>
      </c>
      <c r="L411" t="inlineStr"/>
      <c r="M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c r="I412" t="inlineStr"/>
      <c r="J412" t="b">
        <v>0</v>
      </c>
      <c r="K412" t="n">
        <v>0</v>
      </c>
      <c r="L412" t="inlineStr"/>
      <c r="M412" t="inlineStr"/>
    </row>
    <row r="413">
      <c r="A413" t="inlineStr">
        <is>
          <t>No</t>
        </is>
      </c>
      <c r="B413" t="inlineStr"/>
      <c r="C413" t="inlineStr"/>
      <c r="D413" t="inlineStr"/>
      <c r="E413" t="inlineStr">
        <is>
          <t>My job</t>
        </is>
      </c>
      <c r="F413" t="inlineStr">
        <is>
          <t>Work Schedule / Time Off</t>
        </is>
      </c>
      <c r="G413" t="inlineStr">
        <is>
          <t>Work Schedule / Time Off</t>
        </is>
      </c>
      <c r="H413" t="inlineStr"/>
      <c r="I413" t="inlineStr">
        <is>
          <t>HXP Can Influence</t>
        </is>
      </c>
      <c r="J413" t="b">
        <v>0</v>
      </c>
      <c r="K413" t="n">
        <v>1</v>
      </c>
      <c r="L413" t="inlineStr"/>
      <c r="M413" t="inlineStr"/>
    </row>
    <row r="414">
      <c r="A414" t="inlineStr">
        <is>
          <t>No</t>
        </is>
      </c>
      <c r="B414" t="inlineStr"/>
      <c r="C414" t="inlineStr"/>
      <c r="D414" t="inlineStr"/>
      <c r="E414" t="inlineStr"/>
      <c r="F414" t="inlineStr"/>
      <c r="G414" t="inlineStr"/>
      <c r="H414" t="inlineStr"/>
      <c r="I414" t="inlineStr"/>
      <c r="J414" t="b">
        <v>0</v>
      </c>
      <c r="K414" t="n">
        <v>0</v>
      </c>
      <c r="L414" t="inlineStr"/>
      <c r="M414" t="inlineStr"/>
    </row>
    <row r="415">
      <c r="A415" t="inlineStr">
        <is>
          <t>Yes</t>
        </is>
      </c>
      <c r="B415" t="inlineStr"/>
      <c r="C415" t="inlineStr"/>
      <c r="D415" t="inlineStr"/>
      <c r="E415" t="inlineStr"/>
      <c r="F415" t="inlineStr"/>
      <c r="G415" t="inlineStr"/>
      <c r="H415" t="inlineStr"/>
      <c r="I415" t="inlineStr"/>
      <c r="J415" t="b">
        <v>0</v>
      </c>
      <c r="K415" t="n">
        <v>0</v>
      </c>
      <c r="L415" t="inlineStr"/>
      <c r="M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c r="I416" t="inlineStr">
        <is>
          <t>HXP Can Directly Fix</t>
        </is>
      </c>
      <c r="J416" t="b">
        <v>1</v>
      </c>
      <c r="K416" t="n">
        <v>2</v>
      </c>
      <c r="L416" t="inlineStr"/>
      <c r="M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c r="I417" t="inlineStr">
        <is>
          <t>Family's Own Choice</t>
        </is>
      </c>
      <c r="J417" t="b">
        <v>0</v>
      </c>
      <c r="K417" t="n">
        <v>1</v>
      </c>
      <c r="L417" t="inlineStr"/>
      <c r="M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c r="I418" t="inlineStr">
        <is>
          <t>HXP Can Directly Fix</t>
        </is>
      </c>
      <c r="J418" t="b">
        <v>0</v>
      </c>
      <c r="K418" t="n">
        <v>2</v>
      </c>
      <c r="L418" t="inlineStr"/>
      <c r="M418" t="inlineStr"/>
    </row>
    <row r="419">
      <c r="A419" t="inlineStr">
        <is>
          <t>No</t>
        </is>
      </c>
      <c r="B419" t="inlineStr"/>
      <c r="C419" t="inlineStr"/>
      <c r="D419" t="inlineStr"/>
      <c r="E419" t="inlineStr"/>
      <c r="F419" t="inlineStr"/>
      <c r="G419" t="inlineStr"/>
      <c r="H419" t="inlineStr"/>
      <c r="I419" t="inlineStr"/>
      <c r="J419" t="b">
        <v>0</v>
      </c>
      <c r="K419" t="n">
        <v>0</v>
      </c>
      <c r="L419" t="inlineStr"/>
      <c r="M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c r="I420" t="inlineStr">
        <is>
          <t>Family's Own Choice</t>
        </is>
      </c>
      <c r="J420" t="b">
        <v>0</v>
      </c>
      <c r="K420" t="n">
        <v>2</v>
      </c>
      <c r="L420" t="inlineStr"/>
      <c r="M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c r="I421" t="inlineStr">
        <is>
          <t>HXP Can Influence</t>
        </is>
      </c>
      <c r="J421" t="b">
        <v>0</v>
      </c>
      <c r="K421" t="n">
        <v>2</v>
      </c>
      <c r="L421" t="inlineStr"/>
      <c r="M421" t="inlineStr"/>
    </row>
    <row r="422">
      <c r="A422" t="inlineStr">
        <is>
          <t>No</t>
        </is>
      </c>
      <c r="B422" t="inlineStr"/>
      <c r="C422" t="inlineStr"/>
      <c r="D422" t="inlineStr"/>
      <c r="E422" t="inlineStr"/>
      <c r="F422" t="inlineStr"/>
      <c r="G422" t="inlineStr"/>
      <c r="H422" t="inlineStr"/>
      <c r="I422" t="inlineStr"/>
      <c r="J422" t="b">
        <v>0</v>
      </c>
      <c r="K422" t="n">
        <v>0</v>
      </c>
      <c r="L422" t="inlineStr"/>
      <c r="M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c r="I423" t="inlineStr">
        <is>
          <t>Family's Own Choice</t>
        </is>
      </c>
      <c r="J423" t="b">
        <v>0</v>
      </c>
      <c r="K423" t="n">
        <v>1</v>
      </c>
      <c r="L423" t="inlineStr"/>
      <c r="M423" t="inlineStr"/>
    </row>
    <row r="424">
      <c r="A424" t="inlineStr">
        <is>
          <t>No</t>
        </is>
      </c>
      <c r="B424" t="inlineStr"/>
      <c r="C424" t="inlineStr"/>
      <c r="D424" t="inlineStr"/>
      <c r="E424" t="inlineStr">
        <is>
          <t>Price</t>
        </is>
      </c>
      <c r="F424" t="inlineStr">
        <is>
          <t>Cost / Finances</t>
        </is>
      </c>
      <c r="G424" t="inlineStr">
        <is>
          <t>Cost / Finances</t>
        </is>
      </c>
      <c r="H424" t="inlineStr"/>
      <c r="I424" t="inlineStr">
        <is>
          <t>HXP Can Directly Fix</t>
        </is>
      </c>
      <c r="J424" t="b">
        <v>0</v>
      </c>
      <c r="K424" t="n">
        <v>1</v>
      </c>
      <c r="L424" t="inlineStr"/>
      <c r="M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c r="I425" t="inlineStr">
        <is>
          <t>Family's Own Choice</t>
        </is>
      </c>
      <c r="J425" t="b">
        <v>0</v>
      </c>
      <c r="K425" t="n">
        <v>1</v>
      </c>
      <c r="L425" t="inlineStr"/>
      <c r="M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c r="I426" t="inlineStr">
        <is>
          <t>HXP Can Directly Fix</t>
        </is>
      </c>
      <c r="J426" t="b">
        <v>0</v>
      </c>
      <c r="K426" t="n">
        <v>2</v>
      </c>
      <c r="L426" t="inlineStr"/>
      <c r="M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c r="I427" t="inlineStr">
        <is>
          <t>HXP Can Influence</t>
        </is>
      </c>
      <c r="J427" t="b">
        <v>0</v>
      </c>
      <c r="K427" t="n">
        <v>1</v>
      </c>
      <c r="L427" t="inlineStr"/>
      <c r="M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c r="I428" t="inlineStr">
        <is>
          <t>HXP Can Influence</t>
        </is>
      </c>
      <c r="J428" t="b">
        <v>0</v>
      </c>
      <c r="K428" t="n">
        <v>1</v>
      </c>
      <c r="L428" t="inlineStr"/>
      <c r="M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c r="I429" t="inlineStr">
        <is>
          <t>HXP Can Directly Fix</t>
        </is>
      </c>
      <c r="J429" t="b">
        <v>0</v>
      </c>
      <c r="K429" t="n">
        <v>2</v>
      </c>
      <c r="L429" t="inlineStr"/>
      <c r="M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c r="I430" t="inlineStr">
        <is>
          <t>HXP Can Influence</t>
        </is>
      </c>
      <c r="J430" t="b">
        <v>0</v>
      </c>
      <c r="K430" t="n">
        <v>1</v>
      </c>
      <c r="L430" t="inlineStr"/>
      <c r="M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c r="I431" t="inlineStr">
        <is>
          <t>Family's Own Choice</t>
        </is>
      </c>
      <c r="J431" t="b">
        <v>0</v>
      </c>
      <c r="K431" t="n">
        <v>1</v>
      </c>
      <c r="L431" t="inlineStr"/>
      <c r="M431" t="inlineStr"/>
    </row>
    <row r="432">
      <c r="A432" t="inlineStr">
        <is>
          <t>No</t>
        </is>
      </c>
      <c r="B432" t="inlineStr"/>
      <c r="C432" t="inlineStr"/>
      <c r="D432" t="inlineStr"/>
      <c r="E432" t="inlineStr"/>
      <c r="F432" t="inlineStr"/>
      <c r="G432" t="inlineStr"/>
      <c r="H432" t="inlineStr"/>
      <c r="I432" t="inlineStr"/>
      <c r="J432" t="b">
        <v>0</v>
      </c>
      <c r="K432" t="n">
        <v>0</v>
      </c>
      <c r="L432" t="inlineStr"/>
      <c r="M432" t="inlineStr"/>
    </row>
    <row r="433">
      <c r="A433" t="inlineStr">
        <is>
          <t>No</t>
        </is>
      </c>
      <c r="B433" t="inlineStr"/>
      <c r="C433" t="inlineStr"/>
      <c r="D433" t="inlineStr"/>
      <c r="E433" t="inlineStr"/>
      <c r="F433" t="inlineStr"/>
      <c r="G433" t="inlineStr"/>
      <c r="H433" t="inlineStr"/>
      <c r="I433" t="inlineStr"/>
      <c r="J433" t="b">
        <v>0</v>
      </c>
      <c r="K433" t="n">
        <v>0</v>
      </c>
      <c r="L433" t="inlineStr"/>
      <c r="M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c r="I434" t="inlineStr"/>
      <c r="J434" t="b">
        <v>0</v>
      </c>
      <c r="K434" t="n">
        <v>0</v>
      </c>
      <c r="L434" t="inlineStr"/>
      <c r="M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c r="I435" t="inlineStr">
        <is>
          <t>Family's Own Choice</t>
        </is>
      </c>
      <c r="J435" t="b">
        <v>0</v>
      </c>
      <c r="K435" t="n">
        <v>1</v>
      </c>
      <c r="L435" t="inlineStr"/>
      <c r="M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c r="I436" t="inlineStr">
        <is>
          <t>Family's Own Choice</t>
        </is>
      </c>
      <c r="J436" t="b">
        <v>0</v>
      </c>
      <c r="K436" t="n">
        <v>2</v>
      </c>
      <c r="L436" t="inlineStr"/>
      <c r="M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c r="I437" t="inlineStr">
        <is>
          <t>HXP Can Directly Fix</t>
        </is>
      </c>
      <c r="J437" t="b">
        <v>0</v>
      </c>
      <c r="K437" t="n">
        <v>2</v>
      </c>
      <c r="L437" t="inlineStr"/>
      <c r="M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c r="I438" t="inlineStr">
        <is>
          <t>HXP Can Influence</t>
        </is>
      </c>
      <c r="J438" t="b">
        <v>0</v>
      </c>
      <c r="K438" t="n">
        <v>1</v>
      </c>
      <c r="L438" t="inlineStr"/>
      <c r="M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c r="I439" t="inlineStr"/>
      <c r="J439" t="b">
        <v>0</v>
      </c>
      <c r="K439" t="n">
        <v>0</v>
      </c>
      <c r="L439" t="inlineStr"/>
      <c r="M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c r="I440" t="inlineStr">
        <is>
          <t>HXP Can Directly Fix</t>
        </is>
      </c>
      <c r="J440" t="b">
        <v>0</v>
      </c>
      <c r="K440" t="n">
        <v>3</v>
      </c>
      <c r="L440" t="inlineStr"/>
      <c r="M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c r="I441" t="inlineStr">
        <is>
          <t>HXP Can Directly Fix</t>
        </is>
      </c>
      <c r="J441" t="b">
        <v>0</v>
      </c>
      <c r="K441" t="n">
        <v>3</v>
      </c>
      <c r="L441" t="inlineStr"/>
      <c r="M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c r="I442" t="inlineStr">
        <is>
          <t>Family's Own Choice</t>
        </is>
      </c>
      <c r="J442" t="b">
        <v>0</v>
      </c>
      <c r="K442" t="n">
        <v>1</v>
      </c>
      <c r="L442" t="inlineStr"/>
      <c r="M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c r="I443" t="inlineStr">
        <is>
          <t>Family's Own Choice</t>
        </is>
      </c>
      <c r="J443" t="b">
        <v>0</v>
      </c>
      <c r="K443" t="n">
        <v>2</v>
      </c>
      <c r="L443" t="inlineStr"/>
      <c r="M443" t="inlineStr"/>
    </row>
    <row r="444">
      <c r="A444" t="inlineStr">
        <is>
          <t>Maybe</t>
        </is>
      </c>
      <c r="B444" t="inlineStr"/>
      <c r="C444" t="inlineStr"/>
      <c r="D444" t="inlineStr"/>
      <c r="E444" t="inlineStr"/>
      <c r="F444" t="inlineStr"/>
      <c r="G444" t="inlineStr"/>
      <c r="H444" t="inlineStr">
        <is>
          <t>Maybe with one of my next kids as the younger ones get older.</t>
        </is>
      </c>
      <c r="I444" t="inlineStr"/>
      <c r="J444" t="b">
        <v>0</v>
      </c>
      <c r="K444" t="n">
        <v>0</v>
      </c>
      <c r="L444" t="inlineStr">
        <is>
          <t>Waiting for Right Timing (kids' ages)</t>
        </is>
      </c>
      <c r="M444" t="inlineStr">
        <is>
          <t>Waiting for Right Timing (kids' ages)</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c r="I445" t="inlineStr">
        <is>
          <t>HXP Can Directly Fix</t>
        </is>
      </c>
      <c r="J445" t="b">
        <v>0</v>
      </c>
      <c r="K445" t="n">
        <v>3</v>
      </c>
      <c r="L445" t="inlineStr"/>
      <c r="M445" t="inlineStr"/>
    </row>
    <row r="446">
      <c r="A446" t="inlineStr">
        <is>
          <t>Yes</t>
        </is>
      </c>
      <c r="B446" t="inlineStr">
        <is>
          <t>My daughter</t>
        </is>
      </c>
      <c r="C446" t="inlineStr">
        <is>
          <t>Family Member Asked or Influenced Them to Go</t>
        </is>
      </c>
      <c r="D446" t="inlineStr">
        <is>
          <t>Family Member Asked or Influenced Them to Go</t>
        </is>
      </c>
      <c r="E446" t="inlineStr"/>
      <c r="F446" t="inlineStr"/>
      <c r="G446" t="inlineStr"/>
      <c r="H446" t="inlineStr"/>
      <c r="I446" t="inlineStr"/>
      <c r="J446" t="b">
        <v>0</v>
      </c>
      <c r="K446" t="n">
        <v>0</v>
      </c>
      <c r="L446" t="inlineStr"/>
      <c r="M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c r="I447" t="inlineStr">
        <is>
          <t>HXP Can Influence</t>
        </is>
      </c>
      <c r="J447" t="b">
        <v>0</v>
      </c>
      <c r="K447" t="n">
        <v>1</v>
      </c>
      <c r="L447" t="inlineStr"/>
      <c r="M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c r="I448" t="inlineStr">
        <is>
          <t>HXP Can Directly Fix</t>
        </is>
      </c>
      <c r="J448" t="b">
        <v>0</v>
      </c>
      <c r="K448" t="n">
        <v>2</v>
      </c>
      <c r="L448" t="inlineStr"/>
      <c r="M448" t="inlineStr"/>
    </row>
    <row r="449">
      <c r="A449" t="inlineStr">
        <is>
          <t>Maybe</t>
        </is>
      </c>
      <c r="B449" t="inlineStr"/>
      <c r="C449" t="inlineStr"/>
      <c r="D449" t="inlineStr"/>
      <c r="E449" t="inlineStr"/>
      <c r="F449" t="inlineStr"/>
      <c r="G449" t="inlineStr"/>
      <c r="H449" t="inlineStr">
        <is>
          <t>Not sure</t>
        </is>
      </c>
      <c r="I449" t="inlineStr"/>
      <c r="J449" t="b">
        <v>0</v>
      </c>
      <c r="K449" t="n">
        <v>0</v>
      </c>
      <c r="L449" t="inlineStr">
        <is>
          <t>No Specific Ask / Undecided</t>
        </is>
      </c>
      <c r="M449" t="inlineStr">
        <is>
          <t>No Specific Ask / Undecided</t>
        </is>
      </c>
    </row>
    <row r="450">
      <c r="A450" t="inlineStr">
        <is>
          <t>No</t>
        </is>
      </c>
      <c r="B450" t="inlineStr"/>
      <c r="C450" t="inlineStr"/>
      <c r="D450" t="inlineStr"/>
      <c r="E450" t="inlineStr"/>
      <c r="F450" t="inlineStr"/>
      <c r="G450" t="inlineStr"/>
      <c r="H450" t="inlineStr"/>
      <c r="I450" t="inlineStr"/>
      <c r="J450" t="b">
        <v>0</v>
      </c>
      <c r="K450" t="n">
        <v>0</v>
      </c>
      <c r="L450" t="inlineStr"/>
      <c r="M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c r="I451" t="inlineStr">
        <is>
          <t>Family's Own Choice</t>
        </is>
      </c>
      <c r="J451" t="b">
        <v>0</v>
      </c>
      <c r="K451" t="n">
        <v>1</v>
      </c>
      <c r="L451" t="inlineStr"/>
      <c r="M451" t="inlineStr"/>
    </row>
    <row r="452">
      <c r="A452" t="inlineStr">
        <is>
          <t>No</t>
        </is>
      </c>
      <c r="B452" t="inlineStr"/>
      <c r="C452" t="inlineStr"/>
      <c r="D452" t="inlineStr"/>
      <c r="E452" t="inlineStr"/>
      <c r="F452" t="inlineStr"/>
      <c r="G452" t="inlineStr"/>
      <c r="H452" t="inlineStr"/>
      <c r="I452" t="inlineStr"/>
      <c r="J452" t="b">
        <v>0</v>
      </c>
      <c r="K452" t="n">
        <v>0</v>
      </c>
      <c r="L452" t="inlineStr"/>
      <c r="M452" t="inlineStr"/>
    </row>
    <row r="453">
      <c r="A453" t="inlineStr">
        <is>
          <t>No</t>
        </is>
      </c>
      <c r="B453" t="inlineStr"/>
      <c r="C453" t="inlineStr"/>
      <c r="D453" t="inlineStr"/>
      <c r="E453" t="inlineStr">
        <is>
          <t>I couldn't afford it.</t>
        </is>
      </c>
      <c r="F453" t="inlineStr">
        <is>
          <t>Cost / Finances</t>
        </is>
      </c>
      <c r="G453" t="inlineStr">
        <is>
          <t>Cost / Finances</t>
        </is>
      </c>
      <c r="H453" t="inlineStr"/>
      <c r="I453" t="inlineStr">
        <is>
          <t>HXP Can Directly Fix</t>
        </is>
      </c>
      <c r="J453" t="b">
        <v>0</v>
      </c>
      <c r="K453" t="n">
        <v>1</v>
      </c>
      <c r="L453" t="inlineStr"/>
      <c r="M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c r="I454" t="inlineStr"/>
      <c r="J454" t="b">
        <v>0</v>
      </c>
      <c r="K454" t="n">
        <v>0</v>
      </c>
      <c r="L454" t="inlineStr"/>
      <c r="M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c r="I455" t="inlineStr">
        <is>
          <t>Family's Own Choice</t>
        </is>
      </c>
      <c r="J455" t="b">
        <v>0</v>
      </c>
      <c r="K455" t="n">
        <v>1</v>
      </c>
      <c r="L455" t="inlineStr"/>
      <c r="M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c r="I456" t="inlineStr"/>
      <c r="J456" t="b">
        <v>0</v>
      </c>
      <c r="K456" t="n">
        <v>0</v>
      </c>
      <c r="L456" t="inlineStr"/>
      <c r="M456" t="inlineStr"/>
    </row>
    <row r="457">
      <c r="A457" t="inlineStr">
        <is>
          <t>Maybe</t>
        </is>
      </c>
      <c r="B457" t="inlineStr"/>
      <c r="C457" t="inlineStr"/>
      <c r="D457" t="inlineStr"/>
      <c r="E457" t="inlineStr"/>
      <c r="F457" t="inlineStr"/>
      <c r="G457" t="inlineStr"/>
      <c r="H457" t="inlineStr">
        <is>
          <t>I don't know much about it. I would need more info</t>
        </is>
      </c>
      <c r="I457" t="inlineStr"/>
      <c r="J457" t="b">
        <v>0</v>
      </c>
      <c r="K457" t="n">
        <v>0</v>
      </c>
      <c r="L457" t="inlineStr">
        <is>
          <t>More Information / Awareness</t>
        </is>
      </c>
      <c r="M457" t="inlineStr">
        <is>
          <t>More Information / Awareness; No Specific Ask / Undecided</t>
        </is>
      </c>
    </row>
    <row r="458">
      <c r="A458" t="inlineStr">
        <is>
          <t>No</t>
        </is>
      </c>
      <c r="B458" t="inlineStr"/>
      <c r="C458" t="inlineStr"/>
      <c r="D458" t="inlineStr"/>
      <c r="E458" t="inlineStr">
        <is>
          <t>Price</t>
        </is>
      </c>
      <c r="F458" t="inlineStr">
        <is>
          <t>Cost / Finances</t>
        </is>
      </c>
      <c r="G458" t="inlineStr">
        <is>
          <t>Cost / Finances</t>
        </is>
      </c>
      <c r="H458" t="inlineStr"/>
      <c r="I458" t="inlineStr">
        <is>
          <t>HXP Can Directly Fix</t>
        </is>
      </c>
      <c r="J458" t="b">
        <v>0</v>
      </c>
      <c r="K458" t="n">
        <v>1</v>
      </c>
      <c r="L458" t="inlineStr"/>
      <c r="M458" t="inlineStr"/>
    </row>
    <row r="459">
      <c r="A459" t="inlineStr">
        <is>
          <t>No</t>
        </is>
      </c>
      <c r="B459" t="inlineStr"/>
      <c r="C459" t="inlineStr"/>
      <c r="D459" t="inlineStr"/>
      <c r="E459" t="inlineStr">
        <is>
          <t>Cost</t>
        </is>
      </c>
      <c r="F459" t="inlineStr">
        <is>
          <t>Cost / Finances</t>
        </is>
      </c>
      <c r="G459" t="inlineStr">
        <is>
          <t>Cost / Finances</t>
        </is>
      </c>
      <c r="H459" t="inlineStr"/>
      <c r="I459" t="inlineStr">
        <is>
          <t>HXP Can Directly Fix</t>
        </is>
      </c>
      <c r="J459" t="b">
        <v>0</v>
      </c>
      <c r="K459" t="n">
        <v>1</v>
      </c>
      <c r="L459" t="inlineStr"/>
      <c r="M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c r="I460" t="inlineStr">
        <is>
          <t>Family's Own Choice</t>
        </is>
      </c>
      <c r="J460" t="b">
        <v>0</v>
      </c>
      <c r="K460" t="n">
        <v>1</v>
      </c>
      <c r="L460" t="inlineStr"/>
      <c r="M460" t="inlineStr"/>
    </row>
    <row r="461">
      <c r="A461" t="inlineStr">
        <is>
          <t>No</t>
        </is>
      </c>
      <c r="B461" t="inlineStr"/>
      <c r="C461" t="inlineStr"/>
      <c r="D461" t="inlineStr"/>
      <c r="E461" t="inlineStr">
        <is>
          <t>My son :)</t>
        </is>
      </c>
      <c r="F461" t="inlineStr">
        <is>
          <t>Family's Own Choice (No Elaboration)</t>
        </is>
      </c>
      <c r="G461" t="inlineStr">
        <is>
          <t>Family's Own Choice (No Elaboration)</t>
        </is>
      </c>
      <c r="H461" t="inlineStr"/>
      <c r="I461" t="inlineStr">
        <is>
          <t>Family's Own Choice</t>
        </is>
      </c>
      <c r="J461" t="b">
        <v>0</v>
      </c>
      <c r="K461" t="n">
        <v>1</v>
      </c>
      <c r="L461" t="inlineStr"/>
      <c r="M461" t="inlineStr"/>
    </row>
    <row r="462">
      <c r="A462" t="inlineStr">
        <is>
          <t>No</t>
        </is>
      </c>
      <c r="B462" t="inlineStr"/>
      <c r="C462" t="inlineStr"/>
      <c r="D462" t="inlineStr"/>
      <c r="E462" t="inlineStr"/>
      <c r="F462" t="inlineStr"/>
      <c r="G462" t="inlineStr"/>
      <c r="H462" t="inlineStr"/>
      <c r="I462" t="inlineStr"/>
      <c r="J462" t="b">
        <v>0</v>
      </c>
      <c r="K462" t="n">
        <v>0</v>
      </c>
      <c r="L462" t="inlineStr"/>
      <c r="M462" t="inlineStr"/>
    </row>
    <row r="463">
      <c r="A463" t="inlineStr">
        <is>
          <t>No</t>
        </is>
      </c>
      <c r="B463" t="inlineStr"/>
      <c r="C463" t="inlineStr"/>
      <c r="D463" t="inlineStr"/>
      <c r="E463" t="inlineStr">
        <is>
          <t>work</t>
        </is>
      </c>
      <c r="F463" t="inlineStr">
        <is>
          <t>Work Schedule / Time Off</t>
        </is>
      </c>
      <c r="G463" t="inlineStr">
        <is>
          <t>Work Schedule / Time Off</t>
        </is>
      </c>
      <c r="H463" t="inlineStr"/>
      <c r="I463" t="inlineStr">
        <is>
          <t>HXP Can Influence</t>
        </is>
      </c>
      <c r="J463" t="b">
        <v>0</v>
      </c>
      <c r="K463" t="n">
        <v>1</v>
      </c>
      <c r="L463" t="inlineStr"/>
      <c r="M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c r="I464" t="inlineStr"/>
      <c r="J464" t="b">
        <v>0</v>
      </c>
      <c r="K464" t="n">
        <v>0</v>
      </c>
      <c r="L464" t="inlineStr"/>
      <c r="M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c r="I465" t="inlineStr">
        <is>
          <t>Family's Own Choice</t>
        </is>
      </c>
      <c r="J465" t="b">
        <v>0</v>
      </c>
      <c r="K465" t="n">
        <v>1</v>
      </c>
      <c r="L465" t="inlineStr"/>
      <c r="M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c r="I466" t="inlineStr">
        <is>
          <t>Family's Own Choice</t>
        </is>
      </c>
      <c r="J466" t="b">
        <v>0</v>
      </c>
      <c r="K466" t="n">
        <v>1</v>
      </c>
      <c r="L466" t="inlineStr"/>
      <c r="M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c r="I467" t="inlineStr">
        <is>
          <t>HXP Can Influence</t>
        </is>
      </c>
      <c r="J467" t="b">
        <v>0</v>
      </c>
      <c r="K467" t="n">
        <v>1</v>
      </c>
      <c r="L467" t="inlineStr"/>
      <c r="M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c r="I468" t="inlineStr">
        <is>
          <t>Family's Own Choice</t>
        </is>
      </c>
      <c r="J468" t="b">
        <v>0</v>
      </c>
      <c r="K468" t="n">
        <v>1</v>
      </c>
      <c r="L468" t="inlineStr"/>
      <c r="M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c r="I469" t="inlineStr">
        <is>
          <t>Family's Own Choice</t>
        </is>
      </c>
      <c r="J469" t="b">
        <v>0</v>
      </c>
      <c r="K469" t="n">
        <v>1</v>
      </c>
      <c r="L469" t="inlineStr"/>
      <c r="M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c r="I470" t="inlineStr">
        <is>
          <t>Family's Own Choice</t>
        </is>
      </c>
      <c r="J470" t="b">
        <v>0</v>
      </c>
      <c r="K470" t="n">
        <v>1</v>
      </c>
      <c r="L470" t="inlineStr"/>
      <c r="M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c r="I471" t="inlineStr"/>
      <c r="J471" t="b">
        <v>0</v>
      </c>
      <c r="K471" t="n">
        <v>0</v>
      </c>
      <c r="L471" t="inlineStr"/>
      <c r="M471" t="inlineStr"/>
    </row>
    <row r="472">
      <c r="A472" t="inlineStr">
        <is>
          <t>No</t>
        </is>
      </c>
      <c r="B472" t="inlineStr"/>
      <c r="C472" t="inlineStr"/>
      <c r="D472" t="inlineStr"/>
      <c r="E472" t="inlineStr">
        <is>
          <t>Cost</t>
        </is>
      </c>
      <c r="F472" t="inlineStr">
        <is>
          <t>Cost / Finances</t>
        </is>
      </c>
      <c r="G472" t="inlineStr">
        <is>
          <t>Cost / Finances</t>
        </is>
      </c>
      <c r="H472" t="inlineStr"/>
      <c r="I472" t="inlineStr">
        <is>
          <t>HXP Can Directly Fix</t>
        </is>
      </c>
      <c r="J472" t="b">
        <v>0</v>
      </c>
      <c r="K472" t="n">
        <v>1</v>
      </c>
      <c r="L472" t="inlineStr"/>
      <c r="M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c r="I473" t="inlineStr">
        <is>
          <t>HXP Can Influence</t>
        </is>
      </c>
      <c r="J473" t="b">
        <v>0</v>
      </c>
      <c r="K473" t="n">
        <v>1</v>
      </c>
      <c r="L473" t="inlineStr"/>
      <c r="M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c r="I474" t="inlineStr">
        <is>
          <t>HXP Can Influence</t>
        </is>
      </c>
      <c r="J474" t="b">
        <v>0</v>
      </c>
      <c r="K474" t="n">
        <v>1</v>
      </c>
      <c r="L474" t="inlineStr"/>
      <c r="M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c r="I475" t="inlineStr">
        <is>
          <t>HXP Can Directly Fix</t>
        </is>
      </c>
      <c r="J475" t="b">
        <v>1</v>
      </c>
      <c r="K475" t="n">
        <v>2</v>
      </c>
      <c r="L475" t="inlineStr"/>
      <c r="M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c r="I476" t="inlineStr">
        <is>
          <t>HXP Can Directly Fix</t>
        </is>
      </c>
      <c r="J476" t="b">
        <v>0</v>
      </c>
      <c r="K476" t="n">
        <v>2</v>
      </c>
      <c r="L476" t="inlineStr"/>
      <c r="M476" t="inlineStr"/>
    </row>
    <row r="477">
      <c r="A477" t="inlineStr">
        <is>
          <t>No</t>
        </is>
      </c>
      <c r="B477" t="inlineStr"/>
      <c r="C477" t="inlineStr"/>
      <c r="D477" t="inlineStr"/>
      <c r="E477" t="inlineStr"/>
      <c r="F477" t="inlineStr"/>
      <c r="G477" t="inlineStr"/>
      <c r="H477" t="inlineStr"/>
      <c r="I477" t="inlineStr"/>
      <c r="J477" t="b">
        <v>0</v>
      </c>
      <c r="K477" t="n">
        <v>0</v>
      </c>
      <c r="L477" t="inlineStr"/>
      <c r="M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c r="I478" t="inlineStr">
        <is>
          <t>Family's Own Choice</t>
        </is>
      </c>
      <c r="J478" t="b">
        <v>0</v>
      </c>
      <c r="K478" t="n">
        <v>1</v>
      </c>
      <c r="L478" t="inlineStr"/>
      <c r="M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c r="I479" t="inlineStr">
        <is>
          <t>Family's Own Choice</t>
        </is>
      </c>
      <c r="J479" t="b">
        <v>0</v>
      </c>
      <c r="K479" t="n">
        <v>1</v>
      </c>
      <c r="L479" t="inlineStr"/>
      <c r="M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c r="I480" t="inlineStr">
        <is>
          <t>Family's Own Choice</t>
        </is>
      </c>
      <c r="J480" t="b">
        <v>0</v>
      </c>
      <c r="K480" t="n">
        <v>1</v>
      </c>
      <c r="L480" t="inlineStr"/>
      <c r="M480" t="inlineStr"/>
    </row>
    <row r="481">
      <c r="A481" t="inlineStr">
        <is>
          <t>No</t>
        </is>
      </c>
      <c r="B481" t="inlineStr"/>
      <c r="C481" t="inlineStr"/>
      <c r="D481" t="inlineStr"/>
      <c r="E481" t="inlineStr">
        <is>
          <t>price</t>
        </is>
      </c>
      <c r="F481" t="inlineStr">
        <is>
          <t>Cost / Finances</t>
        </is>
      </c>
      <c r="G481" t="inlineStr">
        <is>
          <t>Cost / Finances</t>
        </is>
      </c>
      <c r="H481" t="inlineStr"/>
      <c r="I481" t="inlineStr">
        <is>
          <t>HXP Can Directly Fix</t>
        </is>
      </c>
      <c r="J481" t="b">
        <v>0</v>
      </c>
      <c r="K481" t="n">
        <v>1</v>
      </c>
      <c r="L481" t="inlineStr"/>
      <c r="M481" t="inlineStr"/>
    </row>
    <row r="482">
      <c r="A482" t="inlineStr">
        <is>
          <t>No</t>
        </is>
      </c>
      <c r="B482" t="inlineStr"/>
      <c r="C482" t="inlineStr"/>
      <c r="D482" t="inlineStr"/>
      <c r="E482" t="inlineStr">
        <is>
          <t>too much going on at home</t>
        </is>
      </c>
      <c r="F482" t="inlineStr">
        <is>
          <t>Work Schedule / Time Off</t>
        </is>
      </c>
      <c r="G482" t="inlineStr">
        <is>
          <t>Work Schedule / Time Off</t>
        </is>
      </c>
      <c r="H482" t="inlineStr"/>
      <c r="I482" t="inlineStr">
        <is>
          <t>HXP Can Influence</t>
        </is>
      </c>
      <c r="J482" t="b">
        <v>0</v>
      </c>
      <c r="K482" t="n">
        <v>1</v>
      </c>
      <c r="L482" t="inlineStr"/>
      <c r="M482" t="inlineStr"/>
    </row>
    <row r="483">
      <c r="A483" t="inlineStr">
        <is>
          <t>No</t>
        </is>
      </c>
      <c r="B483" t="inlineStr"/>
      <c r="C483" t="inlineStr"/>
      <c r="D483" t="inlineStr"/>
      <c r="E483" t="inlineStr"/>
      <c r="F483" t="inlineStr"/>
      <c r="G483" t="inlineStr"/>
      <c r="H483" t="inlineStr"/>
      <c r="I483" t="inlineStr"/>
      <c r="J483" t="b">
        <v>0</v>
      </c>
      <c r="K483" t="n">
        <v>0</v>
      </c>
      <c r="L483" t="inlineStr"/>
      <c r="M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c r="I484" t="inlineStr">
        <is>
          <t>HXP Can Influence</t>
        </is>
      </c>
      <c r="J484" t="b">
        <v>0</v>
      </c>
      <c r="K484" t="n">
        <v>2</v>
      </c>
      <c r="L484" t="inlineStr"/>
      <c r="M484" t="inlineStr"/>
    </row>
    <row r="485">
      <c r="A485" t="inlineStr">
        <is>
          <t>No</t>
        </is>
      </c>
      <c r="B485" t="inlineStr"/>
      <c r="C485" t="inlineStr"/>
      <c r="D485" t="inlineStr"/>
      <c r="E485" t="inlineStr">
        <is>
          <t>Cost</t>
        </is>
      </c>
      <c r="F485" t="inlineStr">
        <is>
          <t>Cost / Finances</t>
        </is>
      </c>
      <c r="G485" t="inlineStr">
        <is>
          <t>Cost / Finances</t>
        </is>
      </c>
      <c r="H485" t="inlineStr"/>
      <c r="I485" t="inlineStr">
        <is>
          <t>HXP Can Directly Fix</t>
        </is>
      </c>
      <c r="J485" t="b">
        <v>0</v>
      </c>
      <c r="K485" t="n">
        <v>1</v>
      </c>
      <c r="L485" t="inlineStr"/>
      <c r="M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c r="I486" t="inlineStr">
        <is>
          <t>HXP Can Directly Fix</t>
        </is>
      </c>
      <c r="J486" t="b">
        <v>0</v>
      </c>
      <c r="K486" t="n">
        <v>2</v>
      </c>
      <c r="L486" t="inlineStr"/>
      <c r="M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c r="I487" t="inlineStr">
        <is>
          <t>HXP Can Influence</t>
        </is>
      </c>
      <c r="J487" t="b">
        <v>0</v>
      </c>
      <c r="K487" t="n">
        <v>1</v>
      </c>
      <c r="L487" t="inlineStr"/>
      <c r="M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c r="I488" t="inlineStr">
        <is>
          <t>Family's Own Choice</t>
        </is>
      </c>
      <c r="J488" t="b">
        <v>0</v>
      </c>
      <c r="K488" t="n">
        <v>1</v>
      </c>
      <c r="L488" t="inlineStr"/>
      <c r="M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c r="I489" t="inlineStr"/>
      <c r="J489" t="b">
        <v>0</v>
      </c>
      <c r="K489" t="n">
        <v>0</v>
      </c>
      <c r="L489" t="inlineStr"/>
      <c r="M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c r="I490" t="inlineStr">
        <is>
          <t>HXP Can Influence</t>
        </is>
      </c>
      <c r="J490" t="b">
        <v>0</v>
      </c>
      <c r="K490" t="n">
        <v>2</v>
      </c>
      <c r="L490" t="inlineStr"/>
      <c r="M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c r="I491" t="inlineStr">
        <is>
          <t>Family's Own Choice</t>
        </is>
      </c>
      <c r="J491" t="b">
        <v>0</v>
      </c>
      <c r="K491" t="n">
        <v>1</v>
      </c>
      <c r="L491" t="inlineStr"/>
      <c r="M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c r="I492" t="inlineStr">
        <is>
          <t>Family's Own Choice</t>
        </is>
      </c>
      <c r="J492" t="b">
        <v>0</v>
      </c>
      <c r="K492" t="n">
        <v>2</v>
      </c>
      <c r="L492" t="inlineStr"/>
      <c r="M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c r="I493" t="inlineStr">
        <is>
          <t>Family's Own Choice</t>
        </is>
      </c>
      <c r="J493" t="b">
        <v>0</v>
      </c>
      <c r="K493" t="n">
        <v>1</v>
      </c>
      <c r="L493" t="inlineStr"/>
      <c r="M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c r="I494" t="inlineStr">
        <is>
          <t>Family's Own Choice</t>
        </is>
      </c>
      <c r="J494" t="b">
        <v>0</v>
      </c>
      <c r="K494" t="n">
        <v>1</v>
      </c>
      <c r="L494" t="inlineStr"/>
      <c r="M494" t="inlineStr"/>
    </row>
    <row r="495">
      <c r="A495" t="inlineStr">
        <is>
          <t>Yes</t>
        </is>
      </c>
      <c r="B495" t="inlineStr">
        <is>
          <t>My child invited me</t>
        </is>
      </c>
      <c r="C495" t="inlineStr">
        <is>
          <t>Family Member Asked or Influenced Them to Go</t>
        </is>
      </c>
      <c r="D495" t="inlineStr">
        <is>
          <t>Family Member Asked or Influenced Them to Go</t>
        </is>
      </c>
      <c r="E495" t="inlineStr"/>
      <c r="F495" t="inlineStr"/>
      <c r="G495" t="inlineStr"/>
      <c r="H495" t="inlineStr"/>
      <c r="I495" t="inlineStr"/>
      <c r="J495" t="b">
        <v>0</v>
      </c>
      <c r="K495" t="n">
        <v>0</v>
      </c>
      <c r="L495" t="inlineStr"/>
      <c r="M495" t="inlineStr"/>
    </row>
    <row r="496">
      <c r="A496" t="inlineStr">
        <is>
          <t>No</t>
        </is>
      </c>
      <c r="B496" t="inlineStr"/>
      <c r="C496" t="inlineStr"/>
      <c r="D496" t="inlineStr"/>
      <c r="E496" t="inlineStr"/>
      <c r="F496" t="inlineStr"/>
      <c r="G496" t="inlineStr"/>
      <c r="H496" t="inlineStr"/>
      <c r="I496" t="inlineStr"/>
      <c r="J496" t="b">
        <v>0</v>
      </c>
      <c r="K496" t="n">
        <v>0</v>
      </c>
      <c r="L496" t="inlineStr"/>
      <c r="M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c r="I497" t="inlineStr">
        <is>
          <t>Family's Own Choice</t>
        </is>
      </c>
      <c r="J497" t="b">
        <v>0</v>
      </c>
      <c r="K497" t="n">
        <v>1</v>
      </c>
      <c r="L497" t="inlineStr"/>
      <c r="M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c r="I498" t="inlineStr">
        <is>
          <t>HXP Can Influence</t>
        </is>
      </c>
      <c r="J498" t="b">
        <v>0</v>
      </c>
      <c r="K498" t="n">
        <v>2</v>
      </c>
      <c r="L498" t="inlineStr"/>
      <c r="M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c r="I499" t="inlineStr">
        <is>
          <t>HXP Can Influence</t>
        </is>
      </c>
      <c r="J499" t="b">
        <v>0</v>
      </c>
      <c r="K499" t="n">
        <v>1</v>
      </c>
      <c r="L499" t="inlineStr"/>
      <c r="M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c r="I500" t="inlineStr">
        <is>
          <t>Family's Own Choice</t>
        </is>
      </c>
      <c r="J500" t="b">
        <v>0</v>
      </c>
      <c r="K500" t="n">
        <v>1</v>
      </c>
      <c r="L500" t="inlineStr"/>
      <c r="M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c r="I501" t="inlineStr">
        <is>
          <t>Family's Own Choice</t>
        </is>
      </c>
      <c r="J501" t="b">
        <v>0</v>
      </c>
      <c r="K501" t="n">
        <v>1</v>
      </c>
      <c r="L501" t="inlineStr"/>
      <c r="M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c r="I502" t="inlineStr"/>
      <c r="J502" t="b">
        <v>0</v>
      </c>
      <c r="K502" t="n">
        <v>0</v>
      </c>
      <c r="L502" t="inlineStr"/>
      <c r="M502" t="inlineStr"/>
    </row>
    <row r="503">
      <c r="A503" t="inlineStr">
        <is>
          <t>No</t>
        </is>
      </c>
      <c r="B503" t="inlineStr"/>
      <c r="C503" t="inlineStr"/>
      <c r="D503" t="inlineStr"/>
      <c r="E503" t="inlineStr">
        <is>
          <t>Money</t>
        </is>
      </c>
      <c r="F503" t="inlineStr">
        <is>
          <t>Cost / Finances</t>
        </is>
      </c>
      <c r="G503" t="inlineStr">
        <is>
          <t>Cost / Finances</t>
        </is>
      </c>
      <c r="H503" t="inlineStr"/>
      <c r="I503" t="inlineStr">
        <is>
          <t>HXP Can Directly Fix</t>
        </is>
      </c>
      <c r="J503" t="b">
        <v>0</v>
      </c>
      <c r="K503" t="n">
        <v>1</v>
      </c>
      <c r="L503" t="inlineStr"/>
      <c r="M503" t="inlineStr"/>
    </row>
    <row r="504">
      <c r="A504" t="inlineStr">
        <is>
          <t>No</t>
        </is>
      </c>
      <c r="B504" t="inlineStr"/>
      <c r="C504" t="inlineStr"/>
      <c r="D504" t="inlineStr"/>
      <c r="E504" t="inlineStr">
        <is>
          <t>Money</t>
        </is>
      </c>
      <c r="F504" t="inlineStr">
        <is>
          <t>Cost / Finances</t>
        </is>
      </c>
      <c r="G504" t="inlineStr">
        <is>
          <t>Cost / Finances</t>
        </is>
      </c>
      <c r="H504" t="inlineStr"/>
      <c r="I504" t="inlineStr">
        <is>
          <t>HXP Can Directly Fix</t>
        </is>
      </c>
      <c r="J504" t="b">
        <v>0</v>
      </c>
      <c r="K504" t="n">
        <v>1</v>
      </c>
      <c r="L504" t="inlineStr"/>
      <c r="M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c r="I505" t="inlineStr">
        <is>
          <t>Family's Own Choice</t>
        </is>
      </c>
      <c r="J505" t="b">
        <v>0</v>
      </c>
      <c r="K505" t="n">
        <v>1</v>
      </c>
      <c r="L505" t="inlineStr"/>
      <c r="M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c r="I506" t="inlineStr">
        <is>
          <t>HXP Can Directly Fix</t>
        </is>
      </c>
      <c r="J506" t="b">
        <v>0</v>
      </c>
      <c r="K506" t="n">
        <v>2</v>
      </c>
      <c r="L506" t="inlineStr"/>
      <c r="M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c r="I507" t="inlineStr">
        <is>
          <t>Family's Own Choice</t>
        </is>
      </c>
      <c r="J507" t="b">
        <v>0</v>
      </c>
      <c r="K507" t="n">
        <v>1</v>
      </c>
      <c r="L507" t="inlineStr"/>
      <c r="M507" t="inlineStr"/>
    </row>
    <row r="508">
      <c r="A508" t="inlineStr">
        <is>
          <t>Yes</t>
        </is>
      </c>
      <c r="B508" t="inlineStr">
        <is>
          <t>My daughter</t>
        </is>
      </c>
      <c r="C508" t="inlineStr">
        <is>
          <t>Family Member Asked or Influenced Them to Go</t>
        </is>
      </c>
      <c r="D508" t="inlineStr">
        <is>
          <t>Family Member Asked or Influenced Them to Go</t>
        </is>
      </c>
      <c r="E508" t="inlineStr"/>
      <c r="F508" t="inlineStr"/>
      <c r="G508" t="inlineStr"/>
      <c r="H508" t="inlineStr"/>
      <c r="I508" t="inlineStr"/>
      <c r="J508" t="b">
        <v>0</v>
      </c>
      <c r="K508" t="n">
        <v>0</v>
      </c>
      <c r="L508" t="inlineStr"/>
      <c r="M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c r="I509" t="inlineStr">
        <is>
          <t>Family's Own Choice</t>
        </is>
      </c>
      <c r="J509" t="b">
        <v>0</v>
      </c>
      <c r="K509" t="n">
        <v>1</v>
      </c>
      <c r="L509" t="inlineStr"/>
      <c r="M509" t="inlineStr"/>
    </row>
    <row r="510">
      <c r="A510" t="inlineStr">
        <is>
          <t>No</t>
        </is>
      </c>
      <c r="B510" t="inlineStr"/>
      <c r="C510" t="inlineStr"/>
      <c r="D510" t="inlineStr"/>
      <c r="E510" t="inlineStr"/>
      <c r="F510" t="inlineStr"/>
      <c r="G510" t="inlineStr"/>
      <c r="H510" t="inlineStr"/>
      <c r="I510" t="inlineStr"/>
      <c r="J510" t="b">
        <v>0</v>
      </c>
      <c r="K510" t="n">
        <v>0</v>
      </c>
      <c r="L510" t="inlineStr"/>
      <c r="M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c r="I511" t="inlineStr">
        <is>
          <t>HXP Can Influence</t>
        </is>
      </c>
      <c r="J511" t="b">
        <v>0</v>
      </c>
      <c r="K511" t="n">
        <v>2</v>
      </c>
      <c r="L511" t="inlineStr"/>
      <c r="M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c r="I512" t="inlineStr">
        <is>
          <t>HXP Can Influence</t>
        </is>
      </c>
      <c r="J512" t="b">
        <v>0</v>
      </c>
      <c r="K512" t="n">
        <v>2</v>
      </c>
      <c r="L512" t="inlineStr"/>
      <c r="M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c r="I513" t="inlineStr">
        <is>
          <t>Family's Own Choice</t>
        </is>
      </c>
      <c r="J513" t="b">
        <v>0</v>
      </c>
      <c r="K513" t="n">
        <v>1</v>
      </c>
      <c r="L513" t="inlineStr"/>
      <c r="M513" t="inlineStr"/>
    </row>
    <row r="514">
      <c r="A514" t="inlineStr">
        <is>
          <t>No</t>
        </is>
      </c>
      <c r="B514" t="inlineStr"/>
      <c r="C514" t="inlineStr"/>
      <c r="D514" t="inlineStr"/>
      <c r="E514" t="inlineStr"/>
      <c r="F514" t="inlineStr"/>
      <c r="G514" t="inlineStr"/>
      <c r="H514" t="inlineStr"/>
      <c r="I514" t="inlineStr"/>
      <c r="J514" t="b">
        <v>0</v>
      </c>
      <c r="K514" t="n">
        <v>0</v>
      </c>
      <c r="L514" t="inlineStr"/>
      <c r="M514" t="inlineStr"/>
    </row>
    <row r="515">
      <c r="A515" t="inlineStr">
        <is>
          <t>No</t>
        </is>
      </c>
      <c r="B515" t="inlineStr"/>
      <c r="C515" t="inlineStr"/>
      <c r="D515" t="inlineStr"/>
      <c r="E515" t="inlineStr"/>
      <c r="F515" t="inlineStr"/>
      <c r="G515" t="inlineStr"/>
      <c r="H515" t="inlineStr"/>
      <c r="I515" t="inlineStr"/>
      <c r="J515" t="b">
        <v>0</v>
      </c>
      <c r="K515" t="n">
        <v>0</v>
      </c>
      <c r="L515" t="inlineStr"/>
      <c r="M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c r="I516" t="inlineStr">
        <is>
          <t>HXP Can Influence</t>
        </is>
      </c>
      <c r="J516" t="b">
        <v>0</v>
      </c>
      <c r="K516" t="n">
        <v>1</v>
      </c>
      <c r="L516" t="inlineStr"/>
      <c r="M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c r="I517" t="inlineStr">
        <is>
          <t>Family's Own Choice</t>
        </is>
      </c>
      <c r="J517" t="b">
        <v>0</v>
      </c>
      <c r="K517" t="n">
        <v>1</v>
      </c>
      <c r="L517" t="inlineStr"/>
      <c r="M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c r="I518" t="inlineStr">
        <is>
          <t>Family's Own Choice</t>
        </is>
      </c>
      <c r="J518" t="b">
        <v>0</v>
      </c>
      <c r="K518" t="n">
        <v>1</v>
      </c>
      <c r="L518" t="inlineStr"/>
      <c r="M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c r="I519" t="inlineStr">
        <is>
          <t>Family's Own Choice</t>
        </is>
      </c>
      <c r="J519" t="b">
        <v>0</v>
      </c>
      <c r="K519" t="n">
        <v>1</v>
      </c>
      <c r="L519" t="inlineStr"/>
      <c r="M519" t="inlineStr"/>
    </row>
    <row r="520">
      <c r="A520" t="inlineStr">
        <is>
          <t>No</t>
        </is>
      </c>
      <c r="B520" t="inlineStr"/>
      <c r="C520" t="inlineStr"/>
      <c r="D520" t="inlineStr"/>
      <c r="E520" t="inlineStr">
        <is>
          <t>Past Experiences</t>
        </is>
      </c>
      <c r="F520" t="inlineStr">
        <is>
          <t>Other / Uncategorized</t>
        </is>
      </c>
      <c r="G520" t="inlineStr"/>
      <c r="H520" t="inlineStr"/>
      <c r="I520" t="inlineStr">
        <is>
          <t>Unknown</t>
        </is>
      </c>
      <c r="J520" t="b">
        <v>0</v>
      </c>
      <c r="K520" t="n">
        <v>0</v>
      </c>
      <c r="L520" t="inlineStr"/>
      <c r="M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c r="I521" t="inlineStr">
        <is>
          <t>Family's Own Choice</t>
        </is>
      </c>
      <c r="J521" t="b">
        <v>1</v>
      </c>
      <c r="K521" t="n">
        <v>1</v>
      </c>
      <c r="L521" t="inlineStr"/>
      <c r="M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c r="I522" t="inlineStr">
        <is>
          <t>HXP Can Influence</t>
        </is>
      </c>
      <c r="J522" t="b">
        <v>0</v>
      </c>
      <c r="K522" t="n">
        <v>2</v>
      </c>
      <c r="L522" t="inlineStr"/>
      <c r="M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c r="I523" t="inlineStr">
        <is>
          <t>Family's Own Choice</t>
        </is>
      </c>
      <c r="J523" t="b">
        <v>0</v>
      </c>
      <c r="K523" t="n">
        <v>1</v>
      </c>
      <c r="L523" t="inlineStr"/>
      <c r="M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c r="I524" t="inlineStr">
        <is>
          <t>Family's Own Choice</t>
        </is>
      </c>
      <c r="J524" t="b">
        <v>0</v>
      </c>
      <c r="K524" t="n">
        <v>1</v>
      </c>
      <c r="L524" t="inlineStr"/>
      <c r="M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c r="I525" t="inlineStr">
        <is>
          <t>HXP Can Directly Fix</t>
        </is>
      </c>
      <c r="J525" t="b">
        <v>0</v>
      </c>
      <c r="K525" t="n">
        <v>1</v>
      </c>
      <c r="L525" t="inlineStr"/>
      <c r="M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c r="I526" t="inlineStr">
        <is>
          <t>HXP Can Influence</t>
        </is>
      </c>
      <c r="J526" t="b">
        <v>0</v>
      </c>
      <c r="K526" t="n">
        <v>4</v>
      </c>
      <c r="L526" t="inlineStr"/>
      <c r="M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c r="I527" t="inlineStr"/>
      <c r="J527" t="b">
        <v>0</v>
      </c>
      <c r="K527" t="n">
        <v>0</v>
      </c>
      <c r="L527" t="inlineStr"/>
      <c r="M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c r="I528" t="inlineStr">
        <is>
          <t>Family's Own Choice</t>
        </is>
      </c>
      <c r="J528" t="b">
        <v>0</v>
      </c>
      <c r="K528" t="n">
        <v>1</v>
      </c>
      <c r="L528" t="inlineStr"/>
      <c r="M528" t="inlineStr"/>
    </row>
    <row r="529">
      <c r="A529" t="inlineStr">
        <is>
          <t>No</t>
        </is>
      </c>
      <c r="B529" t="inlineStr"/>
      <c r="C529" t="inlineStr"/>
      <c r="D529" t="inlineStr"/>
      <c r="E529" t="inlineStr"/>
      <c r="F529" t="inlineStr"/>
      <c r="G529" t="inlineStr"/>
      <c r="H529" t="inlineStr"/>
      <c r="I529" t="inlineStr"/>
      <c r="J529" t="b">
        <v>0</v>
      </c>
      <c r="K529" t="n">
        <v>0</v>
      </c>
      <c r="L529" t="inlineStr"/>
      <c r="M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c r="I530" t="inlineStr">
        <is>
          <t>Family's Own Choice</t>
        </is>
      </c>
      <c r="J530" t="b">
        <v>0</v>
      </c>
      <c r="K530" t="n">
        <v>1</v>
      </c>
      <c r="L530" t="inlineStr"/>
      <c r="M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c r="I531" t="inlineStr">
        <is>
          <t>Family's Own Choice</t>
        </is>
      </c>
      <c r="J531" t="b">
        <v>0</v>
      </c>
      <c r="K531" t="n">
        <v>1</v>
      </c>
      <c r="L531" t="inlineStr"/>
      <c r="M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c r="I532" t="inlineStr">
        <is>
          <t>Family's Own Choice</t>
        </is>
      </c>
      <c r="J532" t="b">
        <v>0</v>
      </c>
      <c r="K532" t="n">
        <v>1</v>
      </c>
      <c r="L532" t="inlineStr"/>
      <c r="M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c r="I533" t="inlineStr">
        <is>
          <t>HXP Can Influence</t>
        </is>
      </c>
      <c r="J533" t="b">
        <v>0</v>
      </c>
      <c r="K533" t="n">
        <v>1</v>
      </c>
      <c r="L533" t="inlineStr"/>
      <c r="M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c r="I534" t="inlineStr">
        <is>
          <t>Family's Own Choice</t>
        </is>
      </c>
      <c r="J534" t="b">
        <v>0</v>
      </c>
      <c r="K534" t="n">
        <v>2</v>
      </c>
      <c r="L534" t="inlineStr"/>
      <c r="M534" t="inlineStr"/>
    </row>
    <row r="535">
      <c r="A535" t="inlineStr">
        <is>
          <t>No</t>
        </is>
      </c>
      <c r="B535" t="inlineStr"/>
      <c r="C535" t="inlineStr"/>
      <c r="D535" t="inlineStr"/>
      <c r="E535" t="inlineStr">
        <is>
          <t>Cost</t>
        </is>
      </c>
      <c r="F535" t="inlineStr">
        <is>
          <t>Cost / Finances</t>
        </is>
      </c>
      <c r="G535" t="inlineStr">
        <is>
          <t>Cost / Finances</t>
        </is>
      </c>
      <c r="H535" t="inlineStr"/>
      <c r="I535" t="inlineStr">
        <is>
          <t>HXP Can Directly Fix</t>
        </is>
      </c>
      <c r="J535" t="b">
        <v>0</v>
      </c>
      <c r="K535" t="n">
        <v>1</v>
      </c>
      <c r="L535" t="inlineStr"/>
      <c r="M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c r="I536" t="inlineStr">
        <is>
          <t>Family's Own Choice</t>
        </is>
      </c>
      <c r="J536" t="b">
        <v>0</v>
      </c>
      <c r="K536" t="n">
        <v>1</v>
      </c>
      <c r="L536" t="inlineStr"/>
      <c r="M536" t="inlineStr"/>
    </row>
    <row r="537">
      <c r="A537" t="inlineStr">
        <is>
          <t>No</t>
        </is>
      </c>
      <c r="B537" t="inlineStr"/>
      <c r="C537" t="inlineStr"/>
      <c r="D537" t="inlineStr"/>
      <c r="E537" t="inlineStr"/>
      <c r="F537" t="inlineStr"/>
      <c r="G537" t="inlineStr"/>
      <c r="H537" t="inlineStr"/>
      <c r="I537" t="inlineStr"/>
      <c r="J537" t="b">
        <v>0</v>
      </c>
      <c r="K537" t="n">
        <v>0</v>
      </c>
      <c r="L537" t="inlineStr"/>
      <c r="M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c r="I538" t="inlineStr">
        <is>
          <t>Family's Own Choice</t>
        </is>
      </c>
      <c r="J538" t="b">
        <v>0</v>
      </c>
      <c r="K538" t="n">
        <v>1</v>
      </c>
      <c r="L538" t="inlineStr"/>
      <c r="M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c r="I539" t="inlineStr">
        <is>
          <t>Family's Own Choice</t>
        </is>
      </c>
      <c r="J539" t="b">
        <v>0</v>
      </c>
      <c r="K539" t="n">
        <v>1</v>
      </c>
      <c r="L539" t="inlineStr"/>
      <c r="M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c r="I540" t="inlineStr"/>
      <c r="J540" t="b">
        <v>0</v>
      </c>
      <c r="K540" t="n">
        <v>0</v>
      </c>
      <c r="L540" t="inlineStr"/>
      <c r="M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c r="I541" t="inlineStr">
        <is>
          <t>Family's Own Choice</t>
        </is>
      </c>
      <c r="J541" t="b">
        <v>0</v>
      </c>
      <c r="K541" t="n">
        <v>1</v>
      </c>
      <c r="L541" t="inlineStr"/>
      <c r="M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c r="I542" t="inlineStr">
        <is>
          <t>Family's Own Choice</t>
        </is>
      </c>
      <c r="J542" t="b">
        <v>0</v>
      </c>
      <c r="K542" t="n">
        <v>1</v>
      </c>
      <c r="L542" t="inlineStr"/>
      <c r="M542" t="inlineStr"/>
    </row>
    <row r="543">
      <c r="A543" t="inlineStr">
        <is>
          <t>Maybe</t>
        </is>
      </c>
      <c r="B543" t="inlineStr"/>
      <c r="C543" t="inlineStr"/>
      <c r="D543" t="inlineStr"/>
      <c r="E543" t="inlineStr"/>
      <c r="F543" t="inlineStr"/>
      <c r="G543" t="inlineStr"/>
      <c r="H543" t="inlineStr">
        <is>
          <t>Free time</t>
        </is>
      </c>
      <c r="I543" t="inlineStr"/>
      <c r="J543" t="b">
        <v>0</v>
      </c>
      <c r="K543" t="n">
        <v>0</v>
      </c>
      <c r="L543" t="inlineStr">
        <is>
          <t>Time / Scheduling</t>
        </is>
      </c>
      <c r="M543" t="inlineStr">
        <is>
          <t>Time / Scheduling</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c r="I544" t="inlineStr"/>
      <c r="J544" t="b">
        <v>0</v>
      </c>
      <c r="K544" t="n">
        <v>0</v>
      </c>
      <c r="L544" t="inlineStr"/>
      <c r="M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c r="I545" t="inlineStr">
        <is>
          <t>Family's Own Choice</t>
        </is>
      </c>
      <c r="J545" t="b">
        <v>0</v>
      </c>
      <c r="K545" t="n">
        <v>1</v>
      </c>
      <c r="L545" t="inlineStr"/>
      <c r="M545" t="inlineStr"/>
    </row>
    <row r="546">
      <c r="A546" t="inlineStr">
        <is>
          <t>No</t>
        </is>
      </c>
      <c r="B546" t="inlineStr"/>
      <c r="C546" t="inlineStr"/>
      <c r="D546" t="inlineStr"/>
      <c r="E546" t="inlineStr">
        <is>
          <t>Daughter wanted to have her own adventure</t>
        </is>
      </c>
      <c r="F546" t="inlineStr">
        <is>
          <t>Child Didn't Want Parent to Come</t>
        </is>
      </c>
      <c r="G546" t="inlineStr">
        <is>
          <t>Child Didn't Want Parent to Come</t>
        </is>
      </c>
      <c r="H546" t="inlineStr"/>
      <c r="I546" t="inlineStr">
        <is>
          <t>Family's Own Choice</t>
        </is>
      </c>
      <c r="J546" t="b">
        <v>0</v>
      </c>
      <c r="K546" t="n">
        <v>1</v>
      </c>
      <c r="L546" t="inlineStr"/>
      <c r="M546" t="inlineStr"/>
    </row>
    <row r="547">
      <c r="A547" t="inlineStr">
        <is>
          <t>Maybe</t>
        </is>
      </c>
      <c r="B547" t="inlineStr"/>
      <c r="C547" t="inlineStr"/>
      <c r="D547" t="inlineStr"/>
      <c r="E547" t="inlineStr"/>
      <c r="F547" t="inlineStr"/>
      <c r="G547" t="inlineStr"/>
      <c r="H547" t="inlineStr">
        <is>
          <t>Finances and logistics with other children/husband.</t>
        </is>
      </c>
      <c r="I547" t="inlineStr"/>
      <c r="J547" t="b">
        <v>0</v>
      </c>
      <c r="K547" t="n">
        <v>0</v>
      </c>
      <c r="L547" t="inlineStr">
        <is>
          <t>Cost / Financial Assistance</t>
        </is>
      </c>
      <c r="M547" t="inlineStr">
        <is>
          <t>Cost / Financial Assistance; Childcare for Other Kids</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c r="I548" t="inlineStr">
        <is>
          <t>HXP Can Influence</t>
        </is>
      </c>
      <c r="J548" t="b">
        <v>0</v>
      </c>
      <c r="K548" t="n">
        <v>2</v>
      </c>
      <c r="L548" t="inlineStr"/>
      <c r="M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c r="I549" t="inlineStr">
        <is>
          <t>Family's Own Choice</t>
        </is>
      </c>
      <c r="J549" t="b">
        <v>1</v>
      </c>
      <c r="K549" t="n">
        <v>1</v>
      </c>
      <c r="L549" t="inlineStr"/>
      <c r="M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c r="I550" t="inlineStr">
        <is>
          <t>Unknown</t>
        </is>
      </c>
      <c r="J550" t="b">
        <v>0</v>
      </c>
      <c r="K550" t="n">
        <v>0</v>
      </c>
      <c r="L550" t="inlineStr"/>
      <c r="M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c r="I551" t="inlineStr">
        <is>
          <t>HXP Can Directly Fix</t>
        </is>
      </c>
      <c r="J551" t="b">
        <v>0</v>
      </c>
      <c r="K551" t="n">
        <v>1</v>
      </c>
      <c r="L551" t="inlineStr"/>
      <c r="M551" t="inlineStr"/>
    </row>
    <row r="552">
      <c r="A552" t="inlineStr">
        <is>
          <t>No</t>
        </is>
      </c>
      <c r="B552" t="inlineStr"/>
      <c r="C552" t="inlineStr"/>
      <c r="D552" t="inlineStr"/>
      <c r="E552" t="inlineStr">
        <is>
          <t>Time</t>
        </is>
      </c>
      <c r="F552" t="inlineStr">
        <is>
          <t>Work Schedule / Time Off</t>
        </is>
      </c>
      <c r="G552" t="inlineStr">
        <is>
          <t>Work Schedule / Time Off</t>
        </is>
      </c>
      <c r="H552" t="inlineStr"/>
      <c r="I552" t="inlineStr">
        <is>
          <t>HXP Can Influence</t>
        </is>
      </c>
      <c r="J552" t="b">
        <v>0</v>
      </c>
      <c r="K552" t="n">
        <v>1</v>
      </c>
      <c r="L552" t="inlineStr"/>
      <c r="M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c r="I553" t="inlineStr">
        <is>
          <t>HXP Can Influence</t>
        </is>
      </c>
      <c r="J553" t="b">
        <v>0</v>
      </c>
      <c r="K553" t="n">
        <v>2</v>
      </c>
      <c r="L553" t="inlineStr"/>
      <c r="M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c r="I554" t="inlineStr">
        <is>
          <t>Family's Own Choice</t>
        </is>
      </c>
      <c r="J554" t="b">
        <v>0</v>
      </c>
      <c r="K554" t="n">
        <v>1</v>
      </c>
      <c r="L554" t="inlineStr"/>
      <c r="M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c r="I555" t="inlineStr">
        <is>
          <t>HXP Can Directly Fix</t>
        </is>
      </c>
      <c r="J555" t="b">
        <v>0</v>
      </c>
      <c r="K555" t="n">
        <v>2</v>
      </c>
      <c r="L555" t="inlineStr"/>
      <c r="M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c r="I556" t="inlineStr">
        <is>
          <t>Family's Own Choice</t>
        </is>
      </c>
      <c r="J556" t="b">
        <v>0</v>
      </c>
      <c r="K556" t="n">
        <v>2</v>
      </c>
      <c r="L556" t="inlineStr"/>
      <c r="M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c r="I557" t="inlineStr">
        <is>
          <t>HXP Can Directly Fix</t>
        </is>
      </c>
      <c r="J557" t="b">
        <v>0</v>
      </c>
      <c r="K557" t="n">
        <v>2</v>
      </c>
      <c r="L557" t="inlineStr"/>
      <c r="M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c r="I558" t="inlineStr">
        <is>
          <t>HXP Can Influence</t>
        </is>
      </c>
      <c r="J558" t="b">
        <v>0</v>
      </c>
      <c r="K558" t="n">
        <v>1</v>
      </c>
      <c r="L558" t="inlineStr"/>
      <c r="M558" t="inlineStr"/>
    </row>
    <row r="559">
      <c r="A559" t="inlineStr">
        <is>
          <t>No</t>
        </is>
      </c>
      <c r="B559" t="inlineStr"/>
      <c r="C559" t="inlineStr"/>
      <c r="D559" t="inlineStr"/>
      <c r="E559" t="inlineStr">
        <is>
          <t>Norhing</t>
        </is>
      </c>
      <c r="F559" t="inlineStr">
        <is>
          <t>Not Aware It Was an Option</t>
        </is>
      </c>
      <c r="G559" t="inlineStr">
        <is>
          <t>Not Aware It Was an Option</t>
        </is>
      </c>
      <c r="H559" t="inlineStr"/>
      <c r="I559" t="inlineStr">
        <is>
          <t>HXP Can Directly Fix</t>
        </is>
      </c>
      <c r="J559" t="b">
        <v>0</v>
      </c>
      <c r="K559" t="n">
        <v>1</v>
      </c>
      <c r="L559" t="inlineStr"/>
      <c r="M559" t="inlineStr"/>
    </row>
    <row r="560">
      <c r="A560" t="inlineStr">
        <is>
          <t>No</t>
        </is>
      </c>
      <c r="B560" t="inlineStr"/>
      <c r="C560" t="inlineStr"/>
      <c r="D560" t="inlineStr"/>
      <c r="E560" t="inlineStr">
        <is>
          <t>The cost</t>
        </is>
      </c>
      <c r="F560" t="inlineStr">
        <is>
          <t>Cost / Finances</t>
        </is>
      </c>
      <c r="G560" t="inlineStr">
        <is>
          <t>Cost / Finances</t>
        </is>
      </c>
      <c r="H560" t="inlineStr"/>
      <c r="I560" t="inlineStr">
        <is>
          <t>HXP Can Directly Fix</t>
        </is>
      </c>
      <c r="J560" t="b">
        <v>0</v>
      </c>
      <c r="K560" t="n">
        <v>1</v>
      </c>
      <c r="L560" t="inlineStr"/>
      <c r="M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c r="I561" t="inlineStr">
        <is>
          <t>Family's Own Choice</t>
        </is>
      </c>
      <c r="J561" t="b">
        <v>0</v>
      </c>
      <c r="K561" t="n">
        <v>1</v>
      </c>
      <c r="L561" t="inlineStr"/>
      <c r="M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c r="I562" t="inlineStr">
        <is>
          <t>HXP Can Influence</t>
        </is>
      </c>
      <c r="J562" t="b">
        <v>0</v>
      </c>
      <c r="K562" t="n">
        <v>3</v>
      </c>
      <c r="L562" t="inlineStr"/>
      <c r="M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c r="I563" t="inlineStr">
        <is>
          <t>HXP Can Influence</t>
        </is>
      </c>
      <c r="J563" t="b">
        <v>0</v>
      </c>
      <c r="K563" t="n">
        <v>2</v>
      </c>
      <c r="L563" t="inlineStr"/>
      <c r="M563" t="inlineStr"/>
    </row>
    <row r="564">
      <c r="A564" t="inlineStr">
        <is>
          <t>No</t>
        </is>
      </c>
      <c r="B564" t="inlineStr"/>
      <c r="C564" t="inlineStr"/>
      <c r="D564" t="inlineStr"/>
      <c r="E564" t="inlineStr"/>
      <c r="F564" t="inlineStr"/>
      <c r="G564" t="inlineStr"/>
      <c r="H564" t="inlineStr"/>
      <c r="I564" t="inlineStr"/>
      <c r="J564" t="b">
        <v>0</v>
      </c>
      <c r="K564" t="n">
        <v>0</v>
      </c>
      <c r="L564" t="inlineStr"/>
      <c r="M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c r="I565" t="inlineStr">
        <is>
          <t>HXP Can Influence</t>
        </is>
      </c>
      <c r="J565" t="b">
        <v>0</v>
      </c>
      <c r="K565" t="n">
        <v>2</v>
      </c>
      <c r="L565" t="inlineStr"/>
      <c r="M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c r="I566" t="inlineStr">
        <is>
          <t>Family's Own Choice</t>
        </is>
      </c>
      <c r="J566" t="b">
        <v>0</v>
      </c>
      <c r="K566" t="n">
        <v>1</v>
      </c>
      <c r="L566" t="inlineStr"/>
      <c r="M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c r="I567" t="inlineStr">
        <is>
          <t>Family's Own Choice</t>
        </is>
      </c>
      <c r="J567" t="b">
        <v>0</v>
      </c>
      <c r="K567" t="n">
        <v>1</v>
      </c>
      <c r="L567" t="inlineStr"/>
      <c r="M567" t="inlineStr"/>
    </row>
    <row r="568">
      <c r="A568" t="inlineStr">
        <is>
          <t>No</t>
        </is>
      </c>
      <c r="B568" t="inlineStr"/>
      <c r="C568" t="inlineStr"/>
      <c r="D568" t="inlineStr"/>
      <c r="E568" t="inlineStr">
        <is>
          <t>Money</t>
        </is>
      </c>
      <c r="F568" t="inlineStr">
        <is>
          <t>Cost / Finances</t>
        </is>
      </c>
      <c r="G568" t="inlineStr">
        <is>
          <t>Cost / Finances</t>
        </is>
      </c>
      <c r="H568" t="inlineStr"/>
      <c r="I568" t="inlineStr">
        <is>
          <t>HXP Can Directly Fix</t>
        </is>
      </c>
      <c r="J568" t="b">
        <v>0</v>
      </c>
      <c r="K568" t="n">
        <v>1</v>
      </c>
      <c r="L568" t="inlineStr"/>
      <c r="M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c r="I569" t="inlineStr"/>
      <c r="J569" t="b">
        <v>0</v>
      </c>
      <c r="K569" t="n">
        <v>0</v>
      </c>
      <c r="L569" t="inlineStr"/>
      <c r="M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c r="I570" t="inlineStr">
        <is>
          <t>HXP Can Influence</t>
        </is>
      </c>
      <c r="J570" t="b">
        <v>0</v>
      </c>
      <c r="K570" t="n">
        <v>2</v>
      </c>
      <c r="L570" t="inlineStr"/>
      <c r="M570" t="inlineStr"/>
    </row>
    <row r="571">
      <c r="A571" t="inlineStr">
        <is>
          <t>No</t>
        </is>
      </c>
      <c r="B571" t="inlineStr"/>
      <c r="C571" t="inlineStr"/>
      <c r="D571" t="inlineStr"/>
      <c r="E571" t="inlineStr">
        <is>
          <t>Not able for many reasons</t>
        </is>
      </c>
      <c r="F571" t="inlineStr">
        <is>
          <t>Other / Uncategorized</t>
        </is>
      </c>
      <c r="G571" t="inlineStr"/>
      <c r="H571" t="inlineStr"/>
      <c r="I571" t="inlineStr">
        <is>
          <t>Unknown</t>
        </is>
      </c>
      <c r="J571" t="b">
        <v>0</v>
      </c>
      <c r="K571" t="n">
        <v>0</v>
      </c>
      <c r="L571" t="inlineStr"/>
      <c r="M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c r="I572" t="inlineStr">
        <is>
          <t>HXP Can Influence</t>
        </is>
      </c>
      <c r="J572" t="b">
        <v>0</v>
      </c>
      <c r="K572" t="n">
        <v>1</v>
      </c>
      <c r="L572" t="inlineStr"/>
      <c r="M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c r="I573" t="inlineStr">
        <is>
          <t>HXP Can Directly Fix</t>
        </is>
      </c>
      <c r="J573" t="b">
        <v>0</v>
      </c>
      <c r="K573" t="n">
        <v>3</v>
      </c>
      <c r="L573" t="inlineStr"/>
      <c r="M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c r="I574" t="inlineStr">
        <is>
          <t>HXP Can Directly Fix</t>
        </is>
      </c>
      <c r="J574" t="b">
        <v>0</v>
      </c>
      <c r="K574" t="n">
        <v>2</v>
      </c>
      <c r="L574" t="inlineStr"/>
      <c r="M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c r="I575" t="inlineStr">
        <is>
          <t>Family's Own Choice</t>
        </is>
      </c>
      <c r="J575" t="b">
        <v>0</v>
      </c>
      <c r="K575" t="n">
        <v>1</v>
      </c>
      <c r="L575" t="inlineStr"/>
      <c r="M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c r="I576" t="inlineStr">
        <is>
          <t>HXP Can Influence</t>
        </is>
      </c>
      <c r="J576" t="b">
        <v>0</v>
      </c>
      <c r="K576" t="n">
        <v>2</v>
      </c>
      <c r="L576" t="inlineStr"/>
      <c r="M576" t="inlineStr"/>
    </row>
    <row r="577">
      <c r="A577" t="inlineStr">
        <is>
          <t>No</t>
        </is>
      </c>
      <c r="B577" t="inlineStr"/>
      <c r="C577" t="inlineStr"/>
      <c r="D577" t="inlineStr"/>
      <c r="E577" t="inlineStr">
        <is>
          <t>money</t>
        </is>
      </c>
      <c r="F577" t="inlineStr">
        <is>
          <t>Cost / Finances</t>
        </is>
      </c>
      <c r="G577" t="inlineStr">
        <is>
          <t>Cost / Finances</t>
        </is>
      </c>
      <c r="H577" t="inlineStr"/>
      <c r="I577" t="inlineStr">
        <is>
          <t>HXP Can Directly Fix</t>
        </is>
      </c>
      <c r="J577" t="b">
        <v>0</v>
      </c>
      <c r="K577" t="n">
        <v>1</v>
      </c>
      <c r="L577" t="inlineStr"/>
      <c r="M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c r="I578" t="inlineStr">
        <is>
          <t>Family's Own Choice</t>
        </is>
      </c>
      <c r="J578" t="b">
        <v>0</v>
      </c>
      <c r="K578" t="n">
        <v>1</v>
      </c>
      <c r="L578" t="inlineStr"/>
      <c r="M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c r="I579" t="inlineStr">
        <is>
          <t>Family's Own Choice</t>
        </is>
      </c>
      <c r="J579" t="b">
        <v>0</v>
      </c>
      <c r="K579" t="n">
        <v>1</v>
      </c>
      <c r="L579" t="inlineStr"/>
      <c r="M579" t="inlineStr"/>
    </row>
    <row r="580">
      <c r="A580" t="inlineStr">
        <is>
          <t>No</t>
        </is>
      </c>
      <c r="B580" t="inlineStr"/>
      <c r="C580" t="inlineStr"/>
      <c r="D580" t="inlineStr"/>
      <c r="E580" t="inlineStr">
        <is>
          <t>$$$</t>
        </is>
      </c>
      <c r="F580" t="inlineStr">
        <is>
          <t>Cost / Finances</t>
        </is>
      </c>
      <c r="G580" t="inlineStr">
        <is>
          <t>Cost / Finances</t>
        </is>
      </c>
      <c r="H580" t="inlineStr"/>
      <c r="I580" t="inlineStr">
        <is>
          <t>HXP Can Directly Fix</t>
        </is>
      </c>
      <c r="J580" t="b">
        <v>0</v>
      </c>
      <c r="K580" t="n">
        <v>1</v>
      </c>
      <c r="L580" t="inlineStr"/>
      <c r="M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c r="I581" t="inlineStr">
        <is>
          <t>Family's Own Choice</t>
        </is>
      </c>
      <c r="J581" t="b">
        <v>0</v>
      </c>
      <c r="K581" t="n">
        <v>1</v>
      </c>
      <c r="L581" t="inlineStr"/>
      <c r="M581" t="inlineStr"/>
    </row>
    <row r="582">
      <c r="A582" t="inlineStr">
        <is>
          <t>No</t>
        </is>
      </c>
      <c r="B582" t="inlineStr"/>
      <c r="C582" t="inlineStr"/>
      <c r="D582" t="inlineStr"/>
      <c r="E582" t="inlineStr">
        <is>
          <t>Expense</t>
        </is>
      </c>
      <c r="F582" t="inlineStr">
        <is>
          <t>Cost / Finances</t>
        </is>
      </c>
      <c r="G582" t="inlineStr">
        <is>
          <t>Cost / Finances</t>
        </is>
      </c>
      <c r="H582" t="inlineStr"/>
      <c r="I582" t="inlineStr">
        <is>
          <t>HXP Can Directly Fix</t>
        </is>
      </c>
      <c r="J582" t="b">
        <v>0</v>
      </c>
      <c r="K582" t="n">
        <v>1</v>
      </c>
      <c r="L582" t="inlineStr"/>
      <c r="M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c r="I583" t="inlineStr">
        <is>
          <t>Family's Own Choice</t>
        </is>
      </c>
      <c r="J583" t="b">
        <v>0</v>
      </c>
      <c r="K583" t="n">
        <v>2</v>
      </c>
      <c r="L583" t="inlineStr"/>
      <c r="M583" t="inlineStr"/>
    </row>
    <row r="584">
      <c r="A584" t="inlineStr">
        <is>
          <t>No</t>
        </is>
      </c>
      <c r="B584" t="inlineStr"/>
      <c r="C584" t="inlineStr"/>
      <c r="D584" t="inlineStr"/>
      <c r="E584" t="inlineStr">
        <is>
          <t>Money</t>
        </is>
      </c>
      <c r="F584" t="inlineStr">
        <is>
          <t>Cost / Finances</t>
        </is>
      </c>
      <c r="G584" t="inlineStr">
        <is>
          <t>Cost / Finances</t>
        </is>
      </c>
      <c r="H584" t="inlineStr"/>
      <c r="I584" t="inlineStr">
        <is>
          <t>HXP Can Directly Fix</t>
        </is>
      </c>
      <c r="J584" t="b">
        <v>0</v>
      </c>
      <c r="K584" t="n">
        <v>1</v>
      </c>
      <c r="L584" t="inlineStr"/>
      <c r="M584" t="inlineStr"/>
    </row>
    <row r="585">
      <c r="A585" t="inlineStr">
        <is>
          <t>No</t>
        </is>
      </c>
      <c r="B585" t="inlineStr"/>
      <c r="C585" t="inlineStr"/>
      <c r="D585" t="inlineStr"/>
      <c r="E585" t="inlineStr">
        <is>
          <t>Timing</t>
        </is>
      </c>
      <c r="F585" t="inlineStr">
        <is>
          <t>Work Schedule / Time Off</t>
        </is>
      </c>
      <c r="G585" t="inlineStr">
        <is>
          <t>Work Schedule / Time Off</t>
        </is>
      </c>
      <c r="H585" t="inlineStr"/>
      <c r="I585" t="inlineStr">
        <is>
          <t>HXP Can Influence</t>
        </is>
      </c>
      <c r="J585" t="b">
        <v>0</v>
      </c>
      <c r="K585" t="n">
        <v>1</v>
      </c>
      <c r="L585" t="inlineStr"/>
      <c r="M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c r="I586" t="inlineStr">
        <is>
          <t>Family's Own Choice</t>
        </is>
      </c>
      <c r="J586" t="b">
        <v>0</v>
      </c>
      <c r="K586" t="n">
        <v>1</v>
      </c>
      <c r="L586" t="inlineStr"/>
      <c r="M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c r="I587" t="inlineStr">
        <is>
          <t>HXP Can Influence</t>
        </is>
      </c>
      <c r="J587" t="b">
        <v>1</v>
      </c>
      <c r="K587" t="n">
        <v>1</v>
      </c>
      <c r="L587" t="inlineStr"/>
      <c r="M587" t="inlineStr"/>
    </row>
    <row r="588">
      <c r="A588" t="inlineStr">
        <is>
          <t>No</t>
        </is>
      </c>
      <c r="B588" t="inlineStr"/>
      <c r="C588" t="inlineStr"/>
      <c r="D588" t="inlineStr"/>
      <c r="E588" t="inlineStr"/>
      <c r="F588" t="inlineStr"/>
      <c r="G588" t="inlineStr"/>
      <c r="H588" t="inlineStr"/>
      <c r="I588" t="inlineStr"/>
      <c r="J588" t="b">
        <v>0</v>
      </c>
      <c r="K588" t="n">
        <v>0</v>
      </c>
      <c r="L588" t="inlineStr"/>
      <c r="M588" t="inlineStr"/>
    </row>
    <row r="589">
      <c r="A589" t="inlineStr">
        <is>
          <t>Yes</t>
        </is>
      </c>
      <c r="B589" t="inlineStr">
        <is>
          <t>Need and my daughter said it was okay</t>
        </is>
      </c>
      <c r="C589" t="inlineStr">
        <is>
          <t>Family Member Asked or Influenced Them to Go</t>
        </is>
      </c>
      <c r="D589" t="inlineStr">
        <is>
          <t>Family Member Asked or Influenced Them to Go</t>
        </is>
      </c>
      <c r="E589" t="inlineStr"/>
      <c r="F589" t="inlineStr"/>
      <c r="G589" t="inlineStr"/>
      <c r="H589" t="inlineStr"/>
      <c r="I589" t="inlineStr"/>
      <c r="J589" t="b">
        <v>0</v>
      </c>
      <c r="K589" t="n">
        <v>0</v>
      </c>
      <c r="L589" t="inlineStr"/>
      <c r="M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c r="I590" t="inlineStr">
        <is>
          <t>HXP Can Influence</t>
        </is>
      </c>
      <c r="J590" t="b">
        <v>0</v>
      </c>
      <c r="K590" t="n">
        <v>1</v>
      </c>
      <c r="L590" t="inlineStr"/>
      <c r="M590" t="inlineStr"/>
    </row>
    <row r="591">
      <c r="A591" t="inlineStr">
        <is>
          <t>No</t>
        </is>
      </c>
      <c r="B591" t="inlineStr"/>
      <c r="C591" t="inlineStr"/>
      <c r="D591" t="inlineStr"/>
      <c r="E591" t="inlineStr"/>
      <c r="F591" t="inlineStr"/>
      <c r="G591" t="inlineStr"/>
      <c r="H591" t="inlineStr"/>
      <c r="I591" t="inlineStr"/>
      <c r="J591" t="b">
        <v>0</v>
      </c>
      <c r="K591" t="n">
        <v>0</v>
      </c>
      <c r="L591" t="inlineStr"/>
      <c r="M591" t="inlineStr"/>
    </row>
    <row r="592">
      <c r="A592" t="inlineStr">
        <is>
          <t>No</t>
        </is>
      </c>
      <c r="B592" t="inlineStr"/>
      <c r="C592" t="inlineStr"/>
      <c r="D592" t="inlineStr"/>
      <c r="E592" t="inlineStr">
        <is>
          <t>Cost</t>
        </is>
      </c>
      <c r="F592" t="inlineStr">
        <is>
          <t>Cost / Finances</t>
        </is>
      </c>
      <c r="G592" t="inlineStr">
        <is>
          <t>Cost / Finances</t>
        </is>
      </c>
      <c r="H592" t="inlineStr"/>
      <c r="I592" t="inlineStr">
        <is>
          <t>HXP Can Directly Fix</t>
        </is>
      </c>
      <c r="J592" t="b">
        <v>0</v>
      </c>
      <c r="K592" t="n">
        <v>1</v>
      </c>
      <c r="L592" t="inlineStr"/>
      <c r="M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c r="I593" t="inlineStr">
        <is>
          <t>HXP Can Influence</t>
        </is>
      </c>
      <c r="J593" t="b">
        <v>0</v>
      </c>
      <c r="K593" t="n">
        <v>2</v>
      </c>
      <c r="L593" t="inlineStr"/>
      <c r="M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c r="I594" t="inlineStr">
        <is>
          <t>HXP Can Influence</t>
        </is>
      </c>
      <c r="J594" t="b">
        <v>0</v>
      </c>
      <c r="K594" t="n">
        <v>1</v>
      </c>
      <c r="L594" t="inlineStr"/>
      <c r="M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c r="I595" t="inlineStr">
        <is>
          <t>Family's Own Choice</t>
        </is>
      </c>
      <c r="J595" t="b">
        <v>0</v>
      </c>
      <c r="K595" t="n">
        <v>1</v>
      </c>
      <c r="L595" t="inlineStr"/>
      <c r="M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c r="I596" t="inlineStr">
        <is>
          <t>HXP Can Influence</t>
        </is>
      </c>
      <c r="J596" t="b">
        <v>0</v>
      </c>
      <c r="K596" t="n">
        <v>2</v>
      </c>
      <c r="L596" t="inlineStr"/>
      <c r="M596" t="inlineStr"/>
    </row>
    <row r="597">
      <c r="A597" t="inlineStr">
        <is>
          <t>No</t>
        </is>
      </c>
      <c r="B597" t="inlineStr"/>
      <c r="C597" t="inlineStr"/>
      <c r="D597" t="inlineStr"/>
      <c r="E597" t="inlineStr"/>
      <c r="F597" t="inlineStr"/>
      <c r="G597" t="inlineStr"/>
      <c r="H597" t="inlineStr"/>
      <c r="I597" t="inlineStr"/>
      <c r="J597" t="b">
        <v>0</v>
      </c>
      <c r="K597" t="n">
        <v>0</v>
      </c>
      <c r="L597" t="inlineStr"/>
      <c r="M597" t="inlineStr"/>
    </row>
    <row r="598">
      <c r="A598" t="inlineStr">
        <is>
          <t>Yes</t>
        </is>
      </c>
      <c r="B598" t="inlineStr"/>
      <c r="C598" t="inlineStr"/>
      <c r="D598" t="inlineStr"/>
      <c r="E598" t="inlineStr"/>
      <c r="F598" t="inlineStr"/>
      <c r="G598" t="inlineStr"/>
      <c r="H598" t="inlineStr"/>
      <c r="I598" t="inlineStr"/>
      <c r="J598" t="b">
        <v>0</v>
      </c>
      <c r="K598" t="n">
        <v>0</v>
      </c>
      <c r="L598" t="inlineStr"/>
      <c r="M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c r="I599" t="inlineStr"/>
      <c r="J599" t="b">
        <v>0</v>
      </c>
      <c r="K599" t="n">
        <v>0</v>
      </c>
      <c r="L599" t="inlineStr"/>
      <c r="M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c r="I600" t="inlineStr">
        <is>
          <t>Family's Own Choice</t>
        </is>
      </c>
      <c r="J600" t="b">
        <v>0</v>
      </c>
      <c r="K600" t="n">
        <v>2</v>
      </c>
      <c r="L600" t="inlineStr"/>
      <c r="M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c r="I601" t="inlineStr">
        <is>
          <t>HXP Can Directly Fix</t>
        </is>
      </c>
      <c r="J601" t="b">
        <v>1</v>
      </c>
      <c r="K601" t="n">
        <v>1</v>
      </c>
      <c r="L601" t="inlineStr"/>
      <c r="M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c r="I602" t="inlineStr"/>
      <c r="J602" t="b">
        <v>0</v>
      </c>
      <c r="K602" t="n">
        <v>0</v>
      </c>
      <c r="L602" t="inlineStr"/>
      <c r="M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c r="I603" t="inlineStr">
        <is>
          <t>HXP Can Directly Fix</t>
        </is>
      </c>
      <c r="J603" t="b">
        <v>1</v>
      </c>
      <c r="K603" t="n">
        <v>2</v>
      </c>
      <c r="L603" t="inlineStr"/>
      <c r="M603" t="inlineStr"/>
    </row>
    <row r="604">
      <c r="A604" t="inlineStr">
        <is>
          <t>No</t>
        </is>
      </c>
      <c r="B604" t="inlineStr"/>
      <c r="C604" t="inlineStr"/>
      <c r="D604" t="inlineStr"/>
      <c r="E604" t="inlineStr"/>
      <c r="F604" t="inlineStr"/>
      <c r="G604" t="inlineStr"/>
      <c r="H604" t="inlineStr"/>
      <c r="I604" t="inlineStr"/>
      <c r="J604" t="b">
        <v>0</v>
      </c>
      <c r="K604" t="n">
        <v>0</v>
      </c>
      <c r="L604" t="inlineStr"/>
      <c r="M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c r="I605" t="inlineStr">
        <is>
          <t>Family's Own Choice</t>
        </is>
      </c>
      <c r="J605" t="b">
        <v>0</v>
      </c>
      <c r="K605" t="n">
        <v>1</v>
      </c>
      <c r="L605" t="inlineStr"/>
      <c r="M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c r="I606" t="inlineStr">
        <is>
          <t>HXP Can Influence</t>
        </is>
      </c>
      <c r="J606" t="b">
        <v>0</v>
      </c>
      <c r="K606" t="n">
        <v>2</v>
      </c>
      <c r="L606" t="inlineStr"/>
      <c r="M606" t="inlineStr"/>
    </row>
    <row r="607">
      <c r="A607" t="inlineStr">
        <is>
          <t>No</t>
        </is>
      </c>
      <c r="B607" t="inlineStr"/>
      <c r="C607" t="inlineStr"/>
      <c r="D607" t="inlineStr"/>
      <c r="E607" t="inlineStr"/>
      <c r="F607" t="inlineStr"/>
      <c r="G607" t="inlineStr"/>
      <c r="H607" t="inlineStr"/>
      <c r="I607" t="inlineStr"/>
      <c r="J607" t="b">
        <v>0</v>
      </c>
      <c r="K607" t="n">
        <v>0</v>
      </c>
      <c r="L607" t="inlineStr"/>
      <c r="M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c r="I608" t="inlineStr">
        <is>
          <t>Family's Own Choice</t>
        </is>
      </c>
      <c r="J608" t="b">
        <v>0</v>
      </c>
      <c r="K608" t="n">
        <v>1</v>
      </c>
      <c r="L608" t="inlineStr"/>
      <c r="M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c r="I609" t="inlineStr">
        <is>
          <t>Family's Own Choice</t>
        </is>
      </c>
      <c r="J609" t="b">
        <v>0</v>
      </c>
      <c r="K609" t="n">
        <v>1</v>
      </c>
      <c r="L609" t="inlineStr"/>
      <c r="M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c r="I610" t="inlineStr">
        <is>
          <t>Family's Own Choice</t>
        </is>
      </c>
      <c r="J610" t="b">
        <v>0</v>
      </c>
      <c r="K610" t="n">
        <v>1</v>
      </c>
      <c r="L610" t="inlineStr"/>
      <c r="M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c r="I611" t="inlineStr">
        <is>
          <t>Family's Own Choice</t>
        </is>
      </c>
      <c r="J611" t="b">
        <v>0</v>
      </c>
      <c r="K611" t="n">
        <v>1</v>
      </c>
      <c r="L611" t="inlineStr"/>
      <c r="M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c r="I612" t="inlineStr">
        <is>
          <t>Family's Own Choice</t>
        </is>
      </c>
      <c r="J612" t="b">
        <v>0</v>
      </c>
      <c r="K612" t="n">
        <v>1</v>
      </c>
      <c r="L612" t="inlineStr"/>
      <c r="M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c r="I613" t="inlineStr"/>
      <c r="J613" t="b">
        <v>0</v>
      </c>
      <c r="K613" t="n">
        <v>0</v>
      </c>
      <c r="L613" t="inlineStr">
        <is>
          <t>Other / Uncategorized</t>
        </is>
      </c>
      <c r="M613" t="inlineStr"/>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c r="I614" t="inlineStr">
        <is>
          <t>HXP Can Influence</t>
        </is>
      </c>
      <c r="J614" t="b">
        <v>0</v>
      </c>
      <c r="K614" t="n">
        <v>1</v>
      </c>
      <c r="L614" t="inlineStr"/>
      <c r="M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c r="I615" t="inlineStr">
        <is>
          <t>Family's Own Choice</t>
        </is>
      </c>
      <c r="J615" t="b">
        <v>0</v>
      </c>
      <c r="K615" t="n">
        <v>1</v>
      </c>
      <c r="L615" t="inlineStr"/>
      <c r="M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c r="I616" t="inlineStr"/>
      <c r="J616" t="b">
        <v>0</v>
      </c>
      <c r="K616" t="n">
        <v>0</v>
      </c>
      <c r="L616" t="inlineStr"/>
      <c r="M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c r="I617" t="inlineStr"/>
      <c r="J617" t="b">
        <v>0</v>
      </c>
      <c r="K617" t="n">
        <v>0</v>
      </c>
      <c r="L617" t="inlineStr"/>
      <c r="M617" t="inlineStr"/>
    </row>
    <row r="618">
      <c r="A618" t="inlineStr">
        <is>
          <t>No</t>
        </is>
      </c>
      <c r="B618" t="inlineStr"/>
      <c r="C618" t="inlineStr"/>
      <c r="D618" t="inlineStr"/>
      <c r="E618" t="inlineStr"/>
      <c r="F618" t="inlineStr"/>
      <c r="G618" t="inlineStr"/>
      <c r="H618" t="inlineStr"/>
      <c r="I618" t="inlineStr"/>
      <c r="J618" t="b">
        <v>0</v>
      </c>
      <c r="K618" t="n">
        <v>0</v>
      </c>
      <c r="L618" t="inlineStr"/>
      <c r="M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c r="I619" t="inlineStr">
        <is>
          <t>HXP Can Influence</t>
        </is>
      </c>
      <c r="J619" t="b">
        <v>0</v>
      </c>
      <c r="K619" t="n">
        <v>2</v>
      </c>
      <c r="L619" t="inlineStr"/>
      <c r="M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c r="I620" t="inlineStr">
        <is>
          <t>HXP Can Directly Fix</t>
        </is>
      </c>
      <c r="J620" t="b">
        <v>0</v>
      </c>
      <c r="K620" t="n">
        <v>1</v>
      </c>
      <c r="L620" t="inlineStr"/>
      <c r="M620" t="inlineStr"/>
    </row>
    <row r="621">
      <c r="A621" t="inlineStr">
        <is>
          <t>No</t>
        </is>
      </c>
      <c r="B621" t="inlineStr"/>
      <c r="C621" t="inlineStr"/>
      <c r="D621" t="inlineStr"/>
      <c r="E621" t="inlineStr">
        <is>
          <t>Cost</t>
        </is>
      </c>
      <c r="F621" t="inlineStr">
        <is>
          <t>Cost / Finances</t>
        </is>
      </c>
      <c r="G621" t="inlineStr">
        <is>
          <t>Cost / Finances</t>
        </is>
      </c>
      <c r="H621" t="inlineStr"/>
      <c r="I621" t="inlineStr">
        <is>
          <t>HXP Can Directly Fix</t>
        </is>
      </c>
      <c r="J621" t="b">
        <v>0</v>
      </c>
      <c r="K621" t="n">
        <v>1</v>
      </c>
      <c r="L621" t="inlineStr"/>
      <c r="M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c r="I622" t="inlineStr"/>
      <c r="J622" t="b">
        <v>0</v>
      </c>
      <c r="K622" t="n">
        <v>0</v>
      </c>
      <c r="L622" t="inlineStr"/>
      <c r="M622" t="inlineStr"/>
    </row>
    <row r="623">
      <c r="A623" t="inlineStr">
        <is>
          <t>No</t>
        </is>
      </c>
      <c r="B623" t="inlineStr"/>
      <c r="C623" t="inlineStr"/>
      <c r="D623" t="inlineStr"/>
      <c r="E623" t="inlineStr"/>
      <c r="F623" t="inlineStr"/>
      <c r="G623" t="inlineStr"/>
      <c r="H623" t="inlineStr"/>
      <c r="I623" t="inlineStr"/>
      <c r="J623" t="b">
        <v>0</v>
      </c>
      <c r="K623" t="n">
        <v>0</v>
      </c>
      <c r="L623" t="inlineStr"/>
      <c r="M623" t="inlineStr"/>
    </row>
    <row r="624">
      <c r="A624" t="inlineStr">
        <is>
          <t>No</t>
        </is>
      </c>
      <c r="B624" t="inlineStr"/>
      <c r="C624" t="inlineStr"/>
      <c r="D624" t="inlineStr"/>
      <c r="E624" t="inlineStr">
        <is>
          <t>Financial</t>
        </is>
      </c>
      <c r="F624" t="inlineStr">
        <is>
          <t>Cost / Finances</t>
        </is>
      </c>
      <c r="G624" t="inlineStr">
        <is>
          <t>Cost / Finances</t>
        </is>
      </c>
      <c r="H624" t="inlineStr"/>
      <c r="I624" t="inlineStr">
        <is>
          <t>HXP Can Directly Fix</t>
        </is>
      </c>
      <c r="J624" t="b">
        <v>0</v>
      </c>
      <c r="K624" t="n">
        <v>1</v>
      </c>
      <c r="L624" t="inlineStr"/>
      <c r="M624" t="inlineStr"/>
    </row>
    <row r="625">
      <c r="A625" t="inlineStr">
        <is>
          <t>No</t>
        </is>
      </c>
      <c r="B625" t="inlineStr"/>
      <c r="C625" t="inlineStr"/>
      <c r="D625" t="inlineStr"/>
      <c r="E625" t="inlineStr"/>
      <c r="F625" t="inlineStr"/>
      <c r="G625" t="inlineStr"/>
      <c r="H625" t="inlineStr"/>
      <c r="I625" t="inlineStr"/>
      <c r="J625" t="b">
        <v>0</v>
      </c>
      <c r="K625" t="n">
        <v>0</v>
      </c>
      <c r="L625" t="inlineStr"/>
      <c r="M625" t="inlineStr"/>
    </row>
    <row r="626">
      <c r="A626" t="inlineStr">
        <is>
          <t>Maybe</t>
        </is>
      </c>
      <c r="B626" t="inlineStr"/>
      <c r="C626" t="inlineStr"/>
      <c r="D626" t="inlineStr"/>
      <c r="E626" t="inlineStr"/>
      <c r="F626" t="inlineStr"/>
      <c r="G626" t="inlineStr"/>
      <c r="H626" t="inlineStr">
        <is>
          <t>Not sure</t>
        </is>
      </c>
      <c r="I626" t="inlineStr"/>
      <c r="J626" t="b">
        <v>0</v>
      </c>
      <c r="K626" t="n">
        <v>0</v>
      </c>
      <c r="L626" t="inlineStr">
        <is>
          <t>No Specific Ask / Undecided</t>
        </is>
      </c>
      <c r="M626" t="inlineStr">
        <is>
          <t>No Specific Ask / Undecided</t>
        </is>
      </c>
    </row>
    <row r="627">
      <c r="A627" t="inlineStr">
        <is>
          <t>Maybe</t>
        </is>
      </c>
      <c r="B627" t="inlineStr"/>
      <c r="C627" t="inlineStr"/>
      <c r="D627" t="inlineStr"/>
      <c r="E627" t="inlineStr"/>
      <c r="F627" t="inlineStr"/>
      <c r="G627" t="inlineStr"/>
      <c r="H627" t="inlineStr"/>
      <c r="I627" t="inlineStr"/>
      <c r="J627" t="b">
        <v>0</v>
      </c>
      <c r="K627" t="n">
        <v>0</v>
      </c>
      <c r="L627" t="inlineStr"/>
      <c r="M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c r="I628" t="inlineStr">
        <is>
          <t>Family's Own Choice</t>
        </is>
      </c>
      <c r="J628" t="b">
        <v>0</v>
      </c>
      <c r="K628" t="n">
        <v>1</v>
      </c>
      <c r="L628" t="inlineStr"/>
      <c r="M628" t="inlineStr"/>
    </row>
    <row r="629">
      <c r="A629" t="inlineStr">
        <is>
          <t>Yes</t>
        </is>
      </c>
      <c r="B629" t="inlineStr">
        <is>
          <t>My builder.</t>
        </is>
      </c>
      <c r="C629" t="inlineStr">
        <is>
          <t>Family Member Asked or Influenced Them to Go</t>
        </is>
      </c>
      <c r="D629" t="inlineStr">
        <is>
          <t>Family Member Asked or Influenced Them to Go</t>
        </is>
      </c>
      <c r="E629" t="inlineStr"/>
      <c r="F629" t="inlineStr"/>
      <c r="G629" t="inlineStr"/>
      <c r="H629" t="inlineStr"/>
      <c r="I629" t="inlineStr"/>
      <c r="J629" t="b">
        <v>0</v>
      </c>
      <c r="K629" t="n">
        <v>0</v>
      </c>
      <c r="L629" t="inlineStr"/>
      <c r="M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c r="I630" t="inlineStr"/>
      <c r="J630" t="b">
        <v>0</v>
      </c>
      <c r="K630" t="n">
        <v>0</v>
      </c>
      <c r="L630" t="inlineStr"/>
      <c r="M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c r="I631" t="inlineStr"/>
      <c r="J631" t="b">
        <v>0</v>
      </c>
      <c r="K631" t="n">
        <v>0</v>
      </c>
      <c r="L631" t="inlineStr"/>
      <c r="M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c r="I632" t="inlineStr">
        <is>
          <t>Family's Own Choice</t>
        </is>
      </c>
      <c r="J632" t="b">
        <v>0</v>
      </c>
      <c r="K632" t="n">
        <v>1</v>
      </c>
      <c r="L632" t="inlineStr"/>
      <c r="M632" t="inlineStr"/>
    </row>
    <row r="633">
      <c r="A633" t="inlineStr">
        <is>
          <t>Maybe</t>
        </is>
      </c>
      <c r="B633" t="inlineStr"/>
      <c r="C633" t="inlineStr"/>
      <c r="D633" t="inlineStr"/>
      <c r="E633" t="inlineStr"/>
      <c r="F633" t="inlineStr"/>
      <c r="G633" t="inlineStr"/>
      <c r="H633" t="inlineStr">
        <is>
          <t>My kids grew out of the age range for builders</t>
        </is>
      </c>
      <c r="I633" t="inlineStr"/>
      <c r="J633" t="b">
        <v>0</v>
      </c>
      <c r="K633" t="n">
        <v>0</v>
      </c>
      <c r="L633" t="inlineStr">
        <is>
          <t>Waiting for Right Timing (kids' ages)</t>
        </is>
      </c>
      <c r="M633" t="inlineStr">
        <is>
          <t>Waiting for Right Timing (kids' ages)</t>
        </is>
      </c>
    </row>
    <row r="634">
      <c r="A634" t="inlineStr">
        <is>
          <t>No</t>
        </is>
      </c>
      <c r="B634" t="inlineStr"/>
      <c r="C634" t="inlineStr"/>
      <c r="D634" t="inlineStr"/>
      <c r="E634" t="inlineStr">
        <is>
          <t>I have been twice as a parent builder. My husband called "dibs" for this trip.</t>
        </is>
      </c>
      <c r="F634" t="inlineStr">
        <is>
          <t>Another Family Member Going Instead</t>
        </is>
      </c>
      <c r="G634" t="inlineStr">
        <is>
          <t>Another Family Member Going Instead</t>
        </is>
      </c>
      <c r="H634" t="inlineStr"/>
      <c r="I634" t="inlineStr">
        <is>
          <t>Family's Own Choice</t>
        </is>
      </c>
      <c r="J634" t="b">
        <v>0</v>
      </c>
      <c r="K634" t="n">
        <v>1</v>
      </c>
      <c r="L634" t="inlineStr"/>
      <c r="M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c r="I635" t="inlineStr">
        <is>
          <t>Family's Own Choice</t>
        </is>
      </c>
      <c r="J635" t="b">
        <v>0</v>
      </c>
      <c r="K635" t="n">
        <v>1</v>
      </c>
      <c r="L635" t="inlineStr"/>
      <c r="M635" t="inlineStr"/>
    </row>
    <row r="636">
      <c r="A636" t="inlineStr">
        <is>
          <t>No</t>
        </is>
      </c>
      <c r="B636" t="inlineStr"/>
      <c r="C636" t="inlineStr"/>
      <c r="D636" t="inlineStr"/>
      <c r="E636" t="inlineStr"/>
      <c r="F636" t="inlineStr"/>
      <c r="G636" t="inlineStr"/>
      <c r="H636" t="inlineStr"/>
      <c r="I636" t="inlineStr"/>
      <c r="J636" t="b">
        <v>0</v>
      </c>
      <c r="K636" t="n">
        <v>0</v>
      </c>
      <c r="L636" t="inlineStr"/>
      <c r="M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c r="I637" t="inlineStr">
        <is>
          <t>Family's Own Choice</t>
        </is>
      </c>
      <c r="J637" t="b">
        <v>0</v>
      </c>
      <c r="K637" t="n">
        <v>1</v>
      </c>
      <c r="L637" t="inlineStr"/>
      <c r="M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c r="I638" t="inlineStr">
        <is>
          <t>Family's Own Choice</t>
        </is>
      </c>
      <c r="J638" t="b">
        <v>0</v>
      </c>
      <c r="K638" t="n">
        <v>1</v>
      </c>
      <c r="L638" t="inlineStr"/>
      <c r="M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c r="I639" t="inlineStr">
        <is>
          <t>HXP Can Influence</t>
        </is>
      </c>
      <c r="J639" t="b">
        <v>0</v>
      </c>
      <c r="K639" t="n">
        <v>2</v>
      </c>
      <c r="L639" t="inlineStr"/>
      <c r="M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c r="I640" t="inlineStr">
        <is>
          <t>Family's Own Choice</t>
        </is>
      </c>
      <c r="J640" t="b">
        <v>0</v>
      </c>
      <c r="K640" t="n">
        <v>1</v>
      </c>
      <c r="L640" t="inlineStr"/>
      <c r="M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c r="I641" t="inlineStr">
        <is>
          <t>Family's Own Choice</t>
        </is>
      </c>
      <c r="J641" t="b">
        <v>0</v>
      </c>
      <c r="K641" t="n">
        <v>1</v>
      </c>
      <c r="L641" t="inlineStr"/>
      <c r="M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c r="I642" t="inlineStr">
        <is>
          <t>HXP Can Influence</t>
        </is>
      </c>
      <c r="J642" t="b">
        <v>0</v>
      </c>
      <c r="K642" t="n">
        <v>1</v>
      </c>
      <c r="L642" t="inlineStr"/>
      <c r="M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c r="I643" t="inlineStr">
        <is>
          <t>Family's Own Choice</t>
        </is>
      </c>
      <c r="J643" t="b">
        <v>0</v>
      </c>
      <c r="K643" t="n">
        <v>3</v>
      </c>
      <c r="L643" t="inlineStr"/>
      <c r="M643" t="inlineStr"/>
    </row>
    <row r="644">
      <c r="A644" t="inlineStr">
        <is>
          <t>No</t>
        </is>
      </c>
      <c r="B644" t="inlineStr"/>
      <c r="C644" t="inlineStr"/>
      <c r="D644" t="inlineStr"/>
      <c r="E644" t="inlineStr"/>
      <c r="F644" t="inlineStr"/>
      <c r="G644" t="inlineStr"/>
      <c r="H644" t="inlineStr"/>
      <c r="I644" t="inlineStr"/>
      <c r="J644" t="b">
        <v>0</v>
      </c>
      <c r="K644" t="n">
        <v>0</v>
      </c>
      <c r="L644" t="inlineStr"/>
      <c r="M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c r="I645" t="inlineStr"/>
      <c r="J645" t="b">
        <v>0</v>
      </c>
      <c r="K645" t="n">
        <v>0</v>
      </c>
      <c r="L645" t="inlineStr"/>
      <c r="M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c r="I646" t="inlineStr">
        <is>
          <t>HXP Can Influence</t>
        </is>
      </c>
      <c r="J646" t="b">
        <v>0</v>
      </c>
      <c r="K646" t="n">
        <v>1</v>
      </c>
      <c r="L646" t="inlineStr"/>
      <c r="M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c r="I647" t="inlineStr">
        <is>
          <t>HXP Can Directly Fix</t>
        </is>
      </c>
      <c r="J647" t="b">
        <v>0</v>
      </c>
      <c r="K647" t="n">
        <v>2</v>
      </c>
      <c r="L647" t="inlineStr"/>
      <c r="M647" t="inlineStr"/>
    </row>
    <row r="648">
      <c r="A648" t="inlineStr">
        <is>
          <t>No</t>
        </is>
      </c>
      <c r="B648" t="inlineStr"/>
      <c r="C648" t="inlineStr"/>
      <c r="D648" t="inlineStr"/>
      <c r="E648" t="inlineStr"/>
      <c r="F648" t="inlineStr"/>
      <c r="G648" t="inlineStr"/>
      <c r="H648" t="inlineStr"/>
      <c r="I648" t="inlineStr"/>
      <c r="J648" t="b">
        <v>0</v>
      </c>
      <c r="K648" t="n">
        <v>0</v>
      </c>
      <c r="L648" t="inlineStr"/>
      <c r="M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c r="I649" t="inlineStr">
        <is>
          <t>HXP Can Influence</t>
        </is>
      </c>
      <c r="J649" t="b">
        <v>0</v>
      </c>
      <c r="K649" t="n">
        <v>1</v>
      </c>
      <c r="L649" t="inlineStr"/>
      <c r="M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c r="I650" t="inlineStr">
        <is>
          <t>HXP Can Directly Fix</t>
        </is>
      </c>
      <c r="J650" t="b">
        <v>0</v>
      </c>
      <c r="K650" t="n">
        <v>2</v>
      </c>
      <c r="L650" t="inlineStr"/>
      <c r="M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c r="I651" t="inlineStr">
        <is>
          <t>HXP Can Influence</t>
        </is>
      </c>
      <c r="J651" t="b">
        <v>0</v>
      </c>
      <c r="K651" t="n">
        <v>2</v>
      </c>
      <c r="L651" t="inlineStr"/>
      <c r="M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c r="I652" t="inlineStr">
        <is>
          <t>HXP Can Influence</t>
        </is>
      </c>
      <c r="J652" t="b">
        <v>0</v>
      </c>
      <c r="K652" t="n">
        <v>1</v>
      </c>
      <c r="L652" t="inlineStr"/>
      <c r="M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c r="I653" t="inlineStr">
        <is>
          <t>Family's Own Choice</t>
        </is>
      </c>
      <c r="J653" t="b">
        <v>0</v>
      </c>
      <c r="K653" t="n">
        <v>1</v>
      </c>
      <c r="L653" t="inlineStr"/>
      <c r="M653" t="inlineStr"/>
    </row>
    <row r="654">
      <c r="A654" t="inlineStr">
        <is>
          <t>No</t>
        </is>
      </c>
      <c r="B654" t="inlineStr"/>
      <c r="C654" t="inlineStr"/>
      <c r="D654" t="inlineStr"/>
      <c r="E654" t="inlineStr">
        <is>
          <t>Time</t>
        </is>
      </c>
      <c r="F654" t="inlineStr">
        <is>
          <t>Work Schedule / Time Off</t>
        </is>
      </c>
      <c r="G654" t="inlineStr">
        <is>
          <t>Work Schedule / Time Off</t>
        </is>
      </c>
      <c r="H654" t="inlineStr"/>
      <c r="I654" t="inlineStr">
        <is>
          <t>HXP Can Influence</t>
        </is>
      </c>
      <c r="J654" t="b">
        <v>0</v>
      </c>
      <c r="K654" t="n">
        <v>1</v>
      </c>
      <c r="L654" t="inlineStr"/>
      <c r="M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c r="I655" t="inlineStr">
        <is>
          <t>Family's Own Choice</t>
        </is>
      </c>
      <c r="J655" t="b">
        <v>0</v>
      </c>
      <c r="K655" t="n">
        <v>1</v>
      </c>
      <c r="L655" t="inlineStr"/>
      <c r="M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c r="I656" t="inlineStr">
        <is>
          <t>HXP Can Directly Fix</t>
        </is>
      </c>
      <c r="J656" t="b">
        <v>0</v>
      </c>
      <c r="K656" t="n">
        <v>2</v>
      </c>
      <c r="L656" t="inlineStr"/>
      <c r="M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c r="I657" t="inlineStr">
        <is>
          <t>HXP Can Directly Fix</t>
        </is>
      </c>
      <c r="J657" t="b">
        <v>0</v>
      </c>
      <c r="K657" t="n">
        <v>2</v>
      </c>
      <c r="L657" t="inlineStr"/>
      <c r="M657" t="inlineStr"/>
    </row>
    <row r="658">
      <c r="A658" t="inlineStr">
        <is>
          <t>No</t>
        </is>
      </c>
      <c r="B658" t="inlineStr"/>
      <c r="C658" t="inlineStr"/>
      <c r="D658" t="inlineStr"/>
      <c r="E658" t="inlineStr">
        <is>
          <t>Work</t>
        </is>
      </c>
      <c r="F658" t="inlineStr">
        <is>
          <t>Work Schedule / Time Off</t>
        </is>
      </c>
      <c r="G658" t="inlineStr">
        <is>
          <t>Work Schedule / Time Off</t>
        </is>
      </c>
      <c r="H658" t="inlineStr"/>
      <c r="I658" t="inlineStr">
        <is>
          <t>HXP Can Influence</t>
        </is>
      </c>
      <c r="J658" t="b">
        <v>0</v>
      </c>
      <c r="K658" t="n">
        <v>1</v>
      </c>
      <c r="L658" t="inlineStr"/>
      <c r="M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c r="I659" t="inlineStr">
        <is>
          <t>Family's Own Choice</t>
        </is>
      </c>
      <c r="J659" t="b">
        <v>0</v>
      </c>
      <c r="K659" t="n">
        <v>1</v>
      </c>
      <c r="L659" t="inlineStr"/>
      <c r="M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c r="I660" t="inlineStr">
        <is>
          <t>Family's Own Choice</t>
        </is>
      </c>
      <c r="J660" t="b">
        <v>0</v>
      </c>
      <c r="K660" t="n">
        <v>1</v>
      </c>
      <c r="L660" t="inlineStr"/>
      <c r="M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c r="I661" t="inlineStr">
        <is>
          <t>Family's Own Choice</t>
        </is>
      </c>
      <c r="J661" t="b">
        <v>0</v>
      </c>
      <c r="K661" t="n">
        <v>1</v>
      </c>
      <c r="L661" t="inlineStr"/>
      <c r="M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c r="I662" t="inlineStr">
        <is>
          <t>Family's Own Choice</t>
        </is>
      </c>
      <c r="J662" t="b">
        <v>0</v>
      </c>
      <c r="K662" t="n">
        <v>1</v>
      </c>
      <c r="L662" t="inlineStr"/>
      <c r="M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c r="I663" t="inlineStr">
        <is>
          <t>HXP Can Influence</t>
        </is>
      </c>
      <c r="J663" t="b">
        <v>0</v>
      </c>
      <c r="K663" t="n">
        <v>2</v>
      </c>
      <c r="L663" t="inlineStr"/>
      <c r="M663" t="inlineStr"/>
    </row>
    <row r="664">
      <c r="A664" t="inlineStr">
        <is>
          <t>No</t>
        </is>
      </c>
      <c r="B664" t="inlineStr"/>
      <c r="C664" t="inlineStr"/>
      <c r="D664" t="inlineStr"/>
      <c r="E664" t="inlineStr">
        <is>
          <t>My Job</t>
        </is>
      </c>
      <c r="F664" t="inlineStr">
        <is>
          <t>Work Schedule / Time Off</t>
        </is>
      </c>
      <c r="G664" t="inlineStr">
        <is>
          <t>Work Schedule / Time Off</t>
        </is>
      </c>
      <c r="H664" t="inlineStr"/>
      <c r="I664" t="inlineStr">
        <is>
          <t>HXP Can Influence</t>
        </is>
      </c>
      <c r="J664" t="b">
        <v>0</v>
      </c>
      <c r="K664" t="n">
        <v>1</v>
      </c>
      <c r="L664" t="inlineStr"/>
      <c r="M664" t="inlineStr"/>
    </row>
    <row r="665">
      <c r="A665" t="inlineStr">
        <is>
          <t>No</t>
        </is>
      </c>
      <c r="B665" t="inlineStr"/>
      <c r="C665" t="inlineStr"/>
      <c r="D665" t="inlineStr"/>
      <c r="E665" t="inlineStr">
        <is>
          <t>Cost</t>
        </is>
      </c>
      <c r="F665" t="inlineStr">
        <is>
          <t>Cost / Finances</t>
        </is>
      </c>
      <c r="G665" t="inlineStr">
        <is>
          <t>Cost / Finances</t>
        </is>
      </c>
      <c r="H665" t="inlineStr"/>
      <c r="I665" t="inlineStr">
        <is>
          <t>HXP Can Directly Fix</t>
        </is>
      </c>
      <c r="J665" t="b">
        <v>0</v>
      </c>
      <c r="K665" t="n">
        <v>1</v>
      </c>
      <c r="L665" t="inlineStr"/>
      <c r="M665" t="inlineStr"/>
    </row>
    <row r="666">
      <c r="A666" t="inlineStr">
        <is>
          <t>Maybe</t>
        </is>
      </c>
      <c r="B666" t="inlineStr"/>
      <c r="C666" t="inlineStr"/>
      <c r="D666" t="inlineStr"/>
      <c r="E666" t="inlineStr"/>
      <c r="F666" t="inlineStr"/>
      <c r="G666" t="inlineStr"/>
      <c r="H666" t="inlineStr">
        <is>
          <t>Care for my children I leave at home. :)</t>
        </is>
      </c>
      <c r="I666" t="inlineStr"/>
      <c r="J666" t="b">
        <v>0</v>
      </c>
      <c r="K666" t="n">
        <v>0</v>
      </c>
      <c r="L666" t="inlineStr">
        <is>
          <t>Childcare for Other Kids</t>
        </is>
      </c>
      <c r="M666" t="inlineStr">
        <is>
          <t>Childcare for Other Kids</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c r="I667" t="inlineStr">
        <is>
          <t>HXP Can Directly Fix</t>
        </is>
      </c>
      <c r="J667" t="b">
        <v>0</v>
      </c>
      <c r="K667" t="n">
        <v>2</v>
      </c>
      <c r="L667" t="inlineStr"/>
      <c r="M667" t="inlineStr"/>
    </row>
    <row r="668">
      <c r="A668" t="inlineStr">
        <is>
          <t>No</t>
        </is>
      </c>
      <c r="B668" t="inlineStr"/>
      <c r="C668" t="inlineStr"/>
      <c r="D668" t="inlineStr"/>
      <c r="E668" t="inlineStr">
        <is>
          <t>seeing friends go</t>
        </is>
      </c>
      <c r="F668" t="inlineStr">
        <is>
          <t>Other / Uncategorized</t>
        </is>
      </c>
      <c r="G668" t="inlineStr"/>
      <c r="H668" t="inlineStr"/>
      <c r="I668" t="inlineStr">
        <is>
          <t>Unknown</t>
        </is>
      </c>
      <c r="J668" t="b">
        <v>0</v>
      </c>
      <c r="K668" t="n">
        <v>0</v>
      </c>
      <c r="L668" t="inlineStr"/>
      <c r="M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c r="I669" t="inlineStr">
        <is>
          <t>HXP Can Directly Fix</t>
        </is>
      </c>
      <c r="J669" t="b">
        <v>0</v>
      </c>
      <c r="K669" t="n">
        <v>1</v>
      </c>
      <c r="L669" t="inlineStr"/>
      <c r="M669" t="inlineStr"/>
    </row>
    <row r="670">
      <c r="A670" t="inlineStr">
        <is>
          <t>Maybe</t>
        </is>
      </c>
      <c r="B670" t="inlineStr"/>
      <c r="C670" t="inlineStr"/>
      <c r="D670" t="inlineStr"/>
      <c r="E670" t="inlineStr"/>
      <c r="F670" t="inlineStr"/>
      <c r="G670" t="inlineStr"/>
      <c r="H670" t="inlineStr">
        <is>
          <t>Knowing the dates you need help so I can get work off</t>
        </is>
      </c>
      <c r="I670" t="inlineStr"/>
      <c r="J670" t="b">
        <v>0</v>
      </c>
      <c r="K670" t="n">
        <v>0</v>
      </c>
      <c r="L670" t="inlineStr">
        <is>
          <t>Time / Scheduling</t>
        </is>
      </c>
      <c r="M670" t="inlineStr">
        <is>
          <t>Time / Scheduling</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c r="I671" t="inlineStr">
        <is>
          <t>Family's Own Choice</t>
        </is>
      </c>
      <c r="J671" t="b">
        <v>0</v>
      </c>
      <c r="K671" t="n">
        <v>2</v>
      </c>
      <c r="L671" t="inlineStr"/>
      <c r="M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Family Member Asked or Influenced Them to Go</t>
        </is>
      </c>
      <c r="E672" t="inlineStr"/>
      <c r="F672" t="inlineStr"/>
      <c r="G672" t="inlineStr"/>
      <c r="H672" t="inlineStr"/>
      <c r="I672" t="inlineStr"/>
      <c r="J672" t="b">
        <v>0</v>
      </c>
      <c r="K672" t="n">
        <v>0</v>
      </c>
      <c r="L672" t="inlineStr"/>
      <c r="M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c r="I673" t="inlineStr">
        <is>
          <t>HXP Can Directly Fix</t>
        </is>
      </c>
      <c r="J673" t="b">
        <v>0</v>
      </c>
      <c r="K673" t="n">
        <v>2</v>
      </c>
      <c r="L673" t="inlineStr"/>
      <c r="M673" t="inlineStr"/>
    </row>
    <row r="674">
      <c r="A674" t="inlineStr">
        <is>
          <t>Maybe</t>
        </is>
      </c>
      <c r="B674" t="inlineStr"/>
      <c r="C674" t="inlineStr"/>
      <c r="D674" t="inlineStr"/>
      <c r="E674" t="inlineStr"/>
      <c r="F674" t="inlineStr"/>
      <c r="G674" t="inlineStr"/>
      <c r="H674" t="inlineStr">
        <is>
          <t>Cost</t>
        </is>
      </c>
      <c r="I674" t="inlineStr"/>
      <c r="J674" t="b">
        <v>0</v>
      </c>
      <c r="K674" t="n">
        <v>0</v>
      </c>
      <c r="L674" t="inlineStr">
        <is>
          <t>Cost / Financial Assistance</t>
        </is>
      </c>
      <c r="M674" t="inlineStr">
        <is>
          <t>Cost / Financial Assistance</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c r="I675" t="inlineStr">
        <is>
          <t>Family's Own Choice</t>
        </is>
      </c>
      <c r="J675" t="b">
        <v>0</v>
      </c>
      <c r="K675" t="n">
        <v>1</v>
      </c>
      <c r="L675" t="inlineStr"/>
      <c r="M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c r="I676" t="inlineStr">
        <is>
          <t>HXP Can Influence</t>
        </is>
      </c>
      <c r="J676" t="b">
        <v>0</v>
      </c>
      <c r="K676" t="n">
        <v>1</v>
      </c>
      <c r="L676" t="inlineStr"/>
      <c r="M676" t="inlineStr"/>
    </row>
    <row r="677">
      <c r="A677" t="inlineStr">
        <is>
          <t>No</t>
        </is>
      </c>
      <c r="B677" t="inlineStr"/>
      <c r="C677" t="inlineStr"/>
      <c r="D677" t="inlineStr"/>
      <c r="E677" t="inlineStr">
        <is>
          <t>Money!</t>
        </is>
      </c>
      <c r="F677" t="inlineStr">
        <is>
          <t>Cost / Finances</t>
        </is>
      </c>
      <c r="G677" t="inlineStr">
        <is>
          <t>Cost / Finances</t>
        </is>
      </c>
      <c r="H677" t="inlineStr"/>
      <c r="I677" t="inlineStr">
        <is>
          <t>HXP Can Directly Fix</t>
        </is>
      </c>
      <c r="J677" t="b">
        <v>0</v>
      </c>
      <c r="K677" t="n">
        <v>1</v>
      </c>
      <c r="L677" t="inlineStr"/>
      <c r="M677" t="inlineStr"/>
    </row>
    <row r="678">
      <c r="A678" t="inlineStr">
        <is>
          <t>No</t>
        </is>
      </c>
      <c r="B678" t="inlineStr"/>
      <c r="C678" t="inlineStr"/>
      <c r="D678" t="inlineStr"/>
      <c r="E678" t="inlineStr">
        <is>
          <t>Cost</t>
        </is>
      </c>
      <c r="F678" t="inlineStr">
        <is>
          <t>Cost / Finances</t>
        </is>
      </c>
      <c r="G678" t="inlineStr">
        <is>
          <t>Cost / Finances</t>
        </is>
      </c>
      <c r="H678" t="inlineStr"/>
      <c r="I678" t="inlineStr">
        <is>
          <t>HXP Can Directly Fix</t>
        </is>
      </c>
      <c r="J678" t="b">
        <v>0</v>
      </c>
      <c r="K678" t="n">
        <v>1</v>
      </c>
      <c r="L678" t="inlineStr"/>
      <c r="M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c r="I679" t="inlineStr">
        <is>
          <t>HXP Can Influence</t>
        </is>
      </c>
      <c r="J679" t="b">
        <v>0</v>
      </c>
      <c r="K679" t="n">
        <v>1</v>
      </c>
      <c r="L679" t="inlineStr"/>
      <c r="M679" t="inlineStr"/>
    </row>
    <row r="680">
      <c r="A680" t="inlineStr">
        <is>
          <t>No</t>
        </is>
      </c>
      <c r="B680" t="inlineStr"/>
      <c r="C680" t="inlineStr"/>
      <c r="D680" t="inlineStr"/>
      <c r="E680" t="inlineStr">
        <is>
          <t>Work</t>
        </is>
      </c>
      <c r="F680" t="inlineStr">
        <is>
          <t>Work Schedule / Time Off</t>
        </is>
      </c>
      <c r="G680" t="inlineStr">
        <is>
          <t>Work Schedule / Time Off</t>
        </is>
      </c>
      <c r="H680" t="inlineStr"/>
      <c r="I680" t="inlineStr">
        <is>
          <t>HXP Can Influence</t>
        </is>
      </c>
      <c r="J680" t="b">
        <v>0</v>
      </c>
      <c r="K680" t="n">
        <v>1</v>
      </c>
      <c r="L680" t="inlineStr"/>
      <c r="M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c r="I681" t="inlineStr">
        <is>
          <t>Family's Own Choice</t>
        </is>
      </c>
      <c r="J681" t="b">
        <v>0</v>
      </c>
      <c r="K681" t="n">
        <v>2</v>
      </c>
      <c r="L681" t="inlineStr"/>
      <c r="M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c r="I682" t="inlineStr">
        <is>
          <t>Family's Own Choice</t>
        </is>
      </c>
      <c r="J682" t="b">
        <v>0</v>
      </c>
      <c r="K682" t="n">
        <v>1</v>
      </c>
      <c r="L682" t="inlineStr"/>
      <c r="M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c r="I683" t="inlineStr">
        <is>
          <t>HXP Can Influence</t>
        </is>
      </c>
      <c r="J683" t="b">
        <v>0</v>
      </c>
      <c r="K683" t="n">
        <v>2</v>
      </c>
      <c r="L683" t="inlineStr"/>
      <c r="M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c r="I684" t="inlineStr">
        <is>
          <t>Family's Own Choice</t>
        </is>
      </c>
      <c r="J684" t="b">
        <v>0</v>
      </c>
      <c r="K684" t="n">
        <v>1</v>
      </c>
      <c r="L684" t="inlineStr"/>
      <c r="M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c r="I685" t="inlineStr">
        <is>
          <t>Family's Own Choice</t>
        </is>
      </c>
      <c r="J685" t="b">
        <v>0</v>
      </c>
      <c r="K685" t="n">
        <v>2</v>
      </c>
      <c r="L685" t="inlineStr"/>
      <c r="M685" t="inlineStr"/>
    </row>
    <row r="686">
      <c r="A686" t="inlineStr">
        <is>
          <t>Maybe</t>
        </is>
      </c>
      <c r="B686" t="inlineStr"/>
      <c r="C686" t="inlineStr"/>
      <c r="D686" t="inlineStr"/>
      <c r="E686" t="inlineStr"/>
      <c r="F686" t="inlineStr"/>
      <c r="G686" t="inlineStr"/>
      <c r="H686" t="inlineStr">
        <is>
          <t>Funds and next child's desire to go</t>
        </is>
      </c>
      <c r="I686" t="inlineStr"/>
      <c r="J686" t="b">
        <v>0</v>
      </c>
      <c r="K686" t="n">
        <v>0</v>
      </c>
      <c r="L686" t="inlineStr">
        <is>
          <t>Cost / Financial Assistance</t>
        </is>
      </c>
      <c r="M686" t="inlineStr">
        <is>
          <t>Cost / Financial Assistance</t>
        </is>
      </c>
    </row>
    <row r="687">
      <c r="A687" t="inlineStr">
        <is>
          <t>No</t>
        </is>
      </c>
      <c r="B687" t="inlineStr"/>
      <c r="C687" t="inlineStr"/>
      <c r="D687" t="inlineStr"/>
      <c r="E687" t="inlineStr">
        <is>
          <t>Funds</t>
        </is>
      </c>
      <c r="F687" t="inlineStr">
        <is>
          <t>Cost / Finances</t>
        </is>
      </c>
      <c r="G687" t="inlineStr">
        <is>
          <t>Cost / Finances</t>
        </is>
      </c>
      <c r="H687" t="inlineStr"/>
      <c r="I687" t="inlineStr">
        <is>
          <t>HXP Can Directly Fix</t>
        </is>
      </c>
      <c r="J687" t="b">
        <v>0</v>
      </c>
      <c r="K687" t="n">
        <v>1</v>
      </c>
      <c r="L687" t="inlineStr"/>
      <c r="M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c r="I688" t="inlineStr">
        <is>
          <t>HXP Can Directly Fix</t>
        </is>
      </c>
      <c r="J688" t="b">
        <v>0</v>
      </c>
      <c r="K688" t="n">
        <v>2</v>
      </c>
      <c r="L688" t="inlineStr"/>
      <c r="M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c r="I689" t="inlineStr">
        <is>
          <t>Family's Own Choice</t>
        </is>
      </c>
      <c r="J689" t="b">
        <v>0</v>
      </c>
      <c r="K689" t="n">
        <v>1</v>
      </c>
      <c r="L689" t="inlineStr"/>
      <c r="M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c r="I690" t="inlineStr">
        <is>
          <t>HXP Can Directly Fix</t>
        </is>
      </c>
      <c r="J690" t="b">
        <v>0</v>
      </c>
      <c r="K690" t="n">
        <v>1</v>
      </c>
      <c r="L690" t="inlineStr"/>
      <c r="M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c r="I691" t="inlineStr">
        <is>
          <t>Family's Own Choice</t>
        </is>
      </c>
      <c r="J691" t="b">
        <v>0</v>
      </c>
      <c r="K691" t="n">
        <v>1</v>
      </c>
      <c r="L691" t="inlineStr"/>
      <c r="M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c r="I692" t="inlineStr">
        <is>
          <t>Family's Own Choice</t>
        </is>
      </c>
      <c r="J692" t="b">
        <v>0</v>
      </c>
      <c r="K692" t="n">
        <v>1</v>
      </c>
      <c r="L692" t="inlineStr"/>
      <c r="M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c r="I693" t="inlineStr">
        <is>
          <t>HXP Can Influence</t>
        </is>
      </c>
      <c r="J693" t="b">
        <v>0</v>
      </c>
      <c r="K693" t="n">
        <v>1</v>
      </c>
      <c r="L693" t="inlineStr"/>
      <c r="M693" t="inlineStr"/>
    </row>
    <row r="694">
      <c r="A694" t="inlineStr">
        <is>
          <t>No</t>
        </is>
      </c>
      <c r="B694" t="inlineStr"/>
      <c r="C694" t="inlineStr"/>
      <c r="D694" t="inlineStr"/>
      <c r="E694" t="inlineStr">
        <is>
          <t>Time</t>
        </is>
      </c>
      <c r="F694" t="inlineStr">
        <is>
          <t>Work Schedule / Time Off</t>
        </is>
      </c>
      <c r="G694" t="inlineStr">
        <is>
          <t>Work Schedule / Time Off</t>
        </is>
      </c>
      <c r="H694" t="inlineStr"/>
      <c r="I694" t="inlineStr">
        <is>
          <t>HXP Can Influence</t>
        </is>
      </c>
      <c r="J694" t="b">
        <v>0</v>
      </c>
      <c r="K694" t="n">
        <v>1</v>
      </c>
      <c r="L694" t="inlineStr"/>
      <c r="M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c r="I695" t="inlineStr">
        <is>
          <t>Family's Own Choice</t>
        </is>
      </c>
      <c r="J695" t="b">
        <v>0</v>
      </c>
      <c r="K695" t="n">
        <v>1</v>
      </c>
      <c r="L695" t="inlineStr"/>
      <c r="M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c r="I696" t="inlineStr">
        <is>
          <t>Family's Own Choice</t>
        </is>
      </c>
      <c r="J696" t="b">
        <v>0</v>
      </c>
      <c r="K696" t="n">
        <v>1</v>
      </c>
      <c r="L696" t="inlineStr"/>
      <c r="M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c r="I697" t="inlineStr"/>
      <c r="J697" t="b">
        <v>0</v>
      </c>
      <c r="K697" t="n">
        <v>0</v>
      </c>
      <c r="L697" t="inlineStr"/>
      <c r="M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c r="I698" t="inlineStr"/>
      <c r="J698" t="b">
        <v>0</v>
      </c>
      <c r="K698" t="n">
        <v>0</v>
      </c>
      <c r="L698" t="inlineStr"/>
      <c r="M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c r="I699" t="inlineStr">
        <is>
          <t>Family's Own Choice</t>
        </is>
      </c>
      <c r="J699" t="b">
        <v>1</v>
      </c>
      <c r="K699" t="n">
        <v>1</v>
      </c>
      <c r="L699" t="inlineStr"/>
      <c r="M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c r="I700" t="inlineStr">
        <is>
          <t>Family's Own Choice</t>
        </is>
      </c>
      <c r="J700" t="b">
        <v>0</v>
      </c>
      <c r="K700" t="n">
        <v>1</v>
      </c>
      <c r="L700" t="inlineStr"/>
      <c r="M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c r="I701" t="inlineStr">
        <is>
          <t>Family's Own Choice</t>
        </is>
      </c>
      <c r="J701" t="b">
        <v>0</v>
      </c>
      <c r="K701" t="n">
        <v>1</v>
      </c>
      <c r="L701" t="inlineStr"/>
      <c r="M701" t="inlineStr"/>
    </row>
    <row r="702">
      <c r="A702" t="inlineStr">
        <is>
          <t>No</t>
        </is>
      </c>
      <c r="B702" t="inlineStr"/>
      <c r="C702" t="inlineStr"/>
      <c r="D702" t="inlineStr"/>
      <c r="E702" t="inlineStr">
        <is>
          <t>cost</t>
        </is>
      </c>
      <c r="F702" t="inlineStr">
        <is>
          <t>Cost / Finances</t>
        </is>
      </c>
      <c r="G702" t="inlineStr">
        <is>
          <t>Cost / Finances</t>
        </is>
      </c>
      <c r="H702" t="inlineStr"/>
      <c r="I702" t="inlineStr">
        <is>
          <t>HXP Can Directly Fix</t>
        </is>
      </c>
      <c r="J702" t="b">
        <v>0</v>
      </c>
      <c r="K702" t="n">
        <v>1</v>
      </c>
      <c r="L702" t="inlineStr"/>
      <c r="M702" t="inlineStr"/>
    </row>
    <row r="703">
      <c r="A703" t="inlineStr">
        <is>
          <t>No</t>
        </is>
      </c>
      <c r="B703" t="inlineStr"/>
      <c r="C703" t="inlineStr"/>
      <c r="D703" t="inlineStr"/>
      <c r="E703" t="inlineStr">
        <is>
          <t>Money</t>
        </is>
      </c>
      <c r="F703" t="inlineStr">
        <is>
          <t>Cost / Finances</t>
        </is>
      </c>
      <c r="G703" t="inlineStr">
        <is>
          <t>Cost / Finances</t>
        </is>
      </c>
      <c r="H703" t="inlineStr"/>
      <c r="I703" t="inlineStr">
        <is>
          <t>HXP Can Directly Fix</t>
        </is>
      </c>
      <c r="J703" t="b">
        <v>0</v>
      </c>
      <c r="K703" t="n">
        <v>1</v>
      </c>
      <c r="L703" t="inlineStr"/>
      <c r="M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c r="I704" t="inlineStr">
        <is>
          <t>Family's Own Choice</t>
        </is>
      </c>
      <c r="J704" t="b">
        <v>0</v>
      </c>
      <c r="K704" t="n">
        <v>1</v>
      </c>
      <c r="L704" t="inlineStr"/>
      <c r="M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c r="I705" t="inlineStr">
        <is>
          <t>HXP Can Directly Fix</t>
        </is>
      </c>
      <c r="J705" t="b">
        <v>0</v>
      </c>
      <c r="K705" t="n">
        <v>3</v>
      </c>
      <c r="L705" t="inlineStr"/>
      <c r="M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c r="I706" t="inlineStr">
        <is>
          <t>HXP Can Directly Fix</t>
        </is>
      </c>
      <c r="J706" t="b">
        <v>0</v>
      </c>
      <c r="K706" t="n">
        <v>1</v>
      </c>
      <c r="L706" t="inlineStr"/>
      <c r="M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c r="I707" t="inlineStr">
        <is>
          <t>HXP Can Influence</t>
        </is>
      </c>
      <c r="J707" t="b">
        <v>0</v>
      </c>
      <c r="K707" t="n">
        <v>1</v>
      </c>
      <c r="L707" t="inlineStr"/>
      <c r="M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c r="I708" t="inlineStr"/>
      <c r="J708" t="b">
        <v>0</v>
      </c>
      <c r="K708" t="n">
        <v>0</v>
      </c>
      <c r="L708" t="inlineStr"/>
      <c r="M708" t="inlineStr"/>
    </row>
    <row r="709">
      <c r="A709" t="inlineStr">
        <is>
          <t>No</t>
        </is>
      </c>
      <c r="B709" t="inlineStr"/>
      <c r="C709" t="inlineStr"/>
      <c r="D709" t="inlineStr"/>
      <c r="E709" t="inlineStr">
        <is>
          <t>The cost.</t>
        </is>
      </c>
      <c r="F709" t="inlineStr">
        <is>
          <t>Cost / Finances</t>
        </is>
      </c>
      <c r="G709" t="inlineStr">
        <is>
          <t>Cost / Finances</t>
        </is>
      </c>
      <c r="H709" t="inlineStr"/>
      <c r="I709" t="inlineStr">
        <is>
          <t>HXP Can Directly Fix</t>
        </is>
      </c>
      <c r="J709" t="b">
        <v>0</v>
      </c>
      <c r="K709" t="n">
        <v>1</v>
      </c>
      <c r="L709" t="inlineStr"/>
      <c r="M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c r="I710" t="inlineStr">
        <is>
          <t>Family's Own Choice</t>
        </is>
      </c>
      <c r="J710" t="b">
        <v>0</v>
      </c>
      <c r="K710" t="n">
        <v>1</v>
      </c>
      <c r="L710" t="inlineStr"/>
      <c r="M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c r="I711" t="inlineStr">
        <is>
          <t>Family's Own Choice</t>
        </is>
      </c>
      <c r="J711" t="b">
        <v>0</v>
      </c>
      <c r="K711" t="n">
        <v>1</v>
      </c>
      <c r="L711" t="inlineStr"/>
      <c r="M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c r="I712" t="inlineStr">
        <is>
          <t>Family's Own Choice</t>
        </is>
      </c>
      <c r="J712" t="b">
        <v>0</v>
      </c>
      <c r="K712" t="n">
        <v>1</v>
      </c>
      <c r="L712" t="inlineStr"/>
      <c r="M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c r="I713" t="inlineStr"/>
      <c r="J713" t="b">
        <v>0</v>
      </c>
      <c r="K713" t="n">
        <v>0</v>
      </c>
      <c r="L713" t="inlineStr"/>
      <c r="M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c r="I714" t="inlineStr">
        <is>
          <t>HXP Can Influence</t>
        </is>
      </c>
      <c r="J714" t="b">
        <v>0</v>
      </c>
      <c r="K714" t="n">
        <v>1</v>
      </c>
      <c r="L714" t="inlineStr"/>
      <c r="M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c r="I715" t="inlineStr"/>
      <c r="J715" t="b">
        <v>0</v>
      </c>
      <c r="K715" t="n">
        <v>0</v>
      </c>
      <c r="L715" t="inlineStr"/>
      <c r="M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c r="I716" t="inlineStr">
        <is>
          <t>HXP Can Influence</t>
        </is>
      </c>
      <c r="J716" t="b">
        <v>0</v>
      </c>
      <c r="K716" t="n">
        <v>1</v>
      </c>
      <c r="L716" t="inlineStr"/>
      <c r="M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c r="I717" t="inlineStr">
        <is>
          <t>HXP Can Directly Fix</t>
        </is>
      </c>
      <c r="J717" t="b">
        <v>0</v>
      </c>
      <c r="K717" t="n">
        <v>2</v>
      </c>
      <c r="L717" t="inlineStr"/>
      <c r="M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c r="I718" t="inlineStr">
        <is>
          <t>HXP Can Directly Fix</t>
        </is>
      </c>
      <c r="J718" t="b">
        <v>0</v>
      </c>
      <c r="K718" t="n">
        <v>2</v>
      </c>
      <c r="L718" t="inlineStr"/>
      <c r="M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c r="I719" t="inlineStr">
        <is>
          <t>HXP Can Directly Fix</t>
        </is>
      </c>
      <c r="J719" t="b">
        <v>0</v>
      </c>
      <c r="K719" t="n">
        <v>2</v>
      </c>
      <c r="L719" t="inlineStr"/>
      <c r="M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c r="I720" t="inlineStr">
        <is>
          <t>Family's Own Choice</t>
        </is>
      </c>
      <c r="J720" t="b">
        <v>0</v>
      </c>
      <c r="K720" t="n">
        <v>1</v>
      </c>
      <c r="L720" t="inlineStr"/>
      <c r="M720" t="inlineStr"/>
    </row>
    <row r="721">
      <c r="A721" t="inlineStr">
        <is>
          <t>No</t>
        </is>
      </c>
      <c r="B721" t="inlineStr"/>
      <c r="C721" t="inlineStr"/>
      <c r="D721" t="inlineStr"/>
      <c r="E721" t="inlineStr"/>
      <c r="F721" t="inlineStr"/>
      <c r="G721" t="inlineStr"/>
      <c r="H721" t="inlineStr"/>
      <c r="I721" t="inlineStr"/>
      <c r="J721" t="b">
        <v>0</v>
      </c>
      <c r="K721" t="n">
        <v>0</v>
      </c>
      <c r="L721" t="inlineStr"/>
      <c r="M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c r="I722" t="inlineStr">
        <is>
          <t>Family's Own Choice</t>
        </is>
      </c>
      <c r="J722" t="b">
        <v>0</v>
      </c>
      <c r="K722" t="n">
        <v>1</v>
      </c>
      <c r="L722" t="inlineStr"/>
      <c r="M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c r="I723" t="inlineStr">
        <is>
          <t>HXP Can Directly Fix</t>
        </is>
      </c>
      <c r="J723" t="b">
        <v>0</v>
      </c>
      <c r="K723" t="n">
        <v>1</v>
      </c>
      <c r="L723" t="inlineStr"/>
      <c r="M723" t="inlineStr"/>
    </row>
    <row r="724">
      <c r="A724" t="inlineStr">
        <is>
          <t>No</t>
        </is>
      </c>
      <c r="B724" t="inlineStr"/>
      <c r="C724" t="inlineStr"/>
      <c r="D724" t="inlineStr"/>
      <c r="E724" t="inlineStr">
        <is>
          <t>Finances</t>
        </is>
      </c>
      <c r="F724" t="inlineStr">
        <is>
          <t>Cost / Finances</t>
        </is>
      </c>
      <c r="G724" t="inlineStr">
        <is>
          <t>Cost / Finances</t>
        </is>
      </c>
      <c r="H724" t="inlineStr"/>
      <c r="I724" t="inlineStr">
        <is>
          <t>HXP Can Directly Fix</t>
        </is>
      </c>
      <c r="J724" t="b">
        <v>0</v>
      </c>
      <c r="K724" t="n">
        <v>1</v>
      </c>
      <c r="L724" t="inlineStr"/>
      <c r="M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c r="I725" t="inlineStr">
        <is>
          <t>HXP Can Influence</t>
        </is>
      </c>
      <c r="J725" t="b">
        <v>0</v>
      </c>
      <c r="K725" t="n">
        <v>1</v>
      </c>
      <c r="L725" t="inlineStr"/>
      <c r="M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c r="I726" t="inlineStr">
        <is>
          <t>HXP Can Influence</t>
        </is>
      </c>
      <c r="J726" t="b">
        <v>0</v>
      </c>
      <c r="K726" t="n">
        <v>1</v>
      </c>
      <c r="L726" t="inlineStr"/>
      <c r="M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c r="I727" t="inlineStr">
        <is>
          <t>HXP Can Influence</t>
        </is>
      </c>
      <c r="J727" t="b">
        <v>0</v>
      </c>
      <c r="K727" t="n">
        <v>1</v>
      </c>
      <c r="L727" t="inlineStr"/>
      <c r="M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c r="I728" t="inlineStr">
        <is>
          <t>HXP Can Directly Fix</t>
        </is>
      </c>
      <c r="J728" t="b">
        <v>0</v>
      </c>
      <c r="K728" t="n">
        <v>2</v>
      </c>
      <c r="L728" t="inlineStr"/>
      <c r="M728" t="inlineStr"/>
    </row>
    <row r="729">
      <c r="A729" t="inlineStr">
        <is>
          <t>No</t>
        </is>
      </c>
      <c r="B729" t="inlineStr"/>
      <c r="C729" t="inlineStr"/>
      <c r="D729" t="inlineStr"/>
      <c r="E729" t="inlineStr">
        <is>
          <t>Price</t>
        </is>
      </c>
      <c r="F729" t="inlineStr">
        <is>
          <t>Cost / Finances</t>
        </is>
      </c>
      <c r="G729" t="inlineStr">
        <is>
          <t>Cost / Finances</t>
        </is>
      </c>
      <c r="H729" t="inlineStr"/>
      <c r="I729" t="inlineStr">
        <is>
          <t>HXP Can Directly Fix</t>
        </is>
      </c>
      <c r="J729" t="b">
        <v>0</v>
      </c>
      <c r="K729" t="n">
        <v>1</v>
      </c>
      <c r="L729" t="inlineStr"/>
      <c r="M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c r="I730" t="inlineStr">
        <is>
          <t>Family's Own Choice</t>
        </is>
      </c>
      <c r="J730" t="b">
        <v>0</v>
      </c>
      <c r="K730" t="n">
        <v>1</v>
      </c>
      <c r="L730" t="inlineStr"/>
      <c r="M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c r="I731" t="inlineStr">
        <is>
          <t>HXP Can Directly Fix</t>
        </is>
      </c>
      <c r="J731" t="b">
        <v>0</v>
      </c>
      <c r="K731" t="n">
        <v>2</v>
      </c>
      <c r="L731" t="inlineStr"/>
      <c r="M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c r="I732" t="inlineStr">
        <is>
          <t>HXP Can Directly Fix</t>
        </is>
      </c>
      <c r="J732" t="b">
        <v>1</v>
      </c>
      <c r="K732" t="n">
        <v>1</v>
      </c>
      <c r="L732" t="inlineStr"/>
      <c r="M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c r="I733" t="inlineStr"/>
      <c r="J733" t="b">
        <v>0</v>
      </c>
      <c r="K733" t="n">
        <v>0</v>
      </c>
      <c r="L733" t="inlineStr"/>
      <c r="M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c r="I734" t="inlineStr">
        <is>
          <t>HXP Can Directly Fix</t>
        </is>
      </c>
      <c r="J734" t="b">
        <v>0</v>
      </c>
      <c r="K734" t="n">
        <v>2</v>
      </c>
      <c r="L734" t="inlineStr"/>
      <c r="M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c r="I735" t="inlineStr">
        <is>
          <t>Family's Own Choice</t>
        </is>
      </c>
      <c r="J735" t="b">
        <v>0</v>
      </c>
      <c r="K735" t="n">
        <v>1</v>
      </c>
      <c r="L735" t="inlineStr"/>
      <c r="M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c r="I736" t="inlineStr"/>
      <c r="J736" t="b">
        <v>0</v>
      </c>
      <c r="K736" t="n">
        <v>0</v>
      </c>
      <c r="L736" t="inlineStr"/>
      <c r="M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c r="I737" t="inlineStr">
        <is>
          <t>Family's Own Choice</t>
        </is>
      </c>
      <c r="J737" t="b">
        <v>0</v>
      </c>
      <c r="K737" t="n">
        <v>1</v>
      </c>
      <c r="L737" t="inlineStr"/>
      <c r="M737" t="inlineStr"/>
    </row>
    <row r="738">
      <c r="A738" t="inlineStr">
        <is>
          <t>No</t>
        </is>
      </c>
      <c r="B738" t="inlineStr"/>
      <c r="C738" t="inlineStr"/>
      <c r="D738" t="inlineStr"/>
      <c r="E738" t="inlineStr">
        <is>
          <t>Work</t>
        </is>
      </c>
      <c r="F738" t="inlineStr">
        <is>
          <t>Work Schedule / Time Off</t>
        </is>
      </c>
      <c r="G738" t="inlineStr">
        <is>
          <t>Work Schedule / Time Off</t>
        </is>
      </c>
      <c r="H738" t="inlineStr"/>
      <c r="I738" t="inlineStr">
        <is>
          <t>HXP Can Influence</t>
        </is>
      </c>
      <c r="J738" t="b">
        <v>0</v>
      </c>
      <c r="K738" t="n">
        <v>1</v>
      </c>
      <c r="L738" t="inlineStr"/>
      <c r="M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c r="I739" t="inlineStr">
        <is>
          <t>HXP Can Influence</t>
        </is>
      </c>
      <c r="J739" t="b">
        <v>0</v>
      </c>
      <c r="K739" t="n">
        <v>2</v>
      </c>
      <c r="L739" t="inlineStr"/>
      <c r="M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c r="I740" t="inlineStr">
        <is>
          <t>HXP Can Influence</t>
        </is>
      </c>
      <c r="J740" t="b">
        <v>0</v>
      </c>
      <c r="K740" t="n">
        <v>1</v>
      </c>
      <c r="L740" t="inlineStr"/>
      <c r="M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c r="I741" t="inlineStr">
        <is>
          <t>Family's Own Choice</t>
        </is>
      </c>
      <c r="J741" t="b">
        <v>0</v>
      </c>
      <c r="K741" t="n">
        <v>1</v>
      </c>
      <c r="L741" t="inlineStr"/>
      <c r="M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c r="I742" t="inlineStr">
        <is>
          <t>HXP Can Directly Fix</t>
        </is>
      </c>
      <c r="J742" t="b">
        <v>0</v>
      </c>
      <c r="K742" t="n">
        <v>3</v>
      </c>
      <c r="L742" t="inlineStr"/>
      <c r="M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c r="I743" t="inlineStr">
        <is>
          <t>Family's Own Choice</t>
        </is>
      </c>
      <c r="J743" t="b">
        <v>0</v>
      </c>
      <c r="K743" t="n">
        <v>1</v>
      </c>
      <c r="L743" t="inlineStr"/>
      <c r="M743" t="inlineStr"/>
    </row>
    <row r="744">
      <c r="A744" t="inlineStr">
        <is>
          <t>Yes</t>
        </is>
      </c>
      <c r="B744" t="inlineStr">
        <is>
          <t>My daughter asked me to accompany her on her first international trip.</t>
        </is>
      </c>
      <c r="C744" t="inlineStr">
        <is>
          <t>Family Member Asked or Influenced Them to Go</t>
        </is>
      </c>
      <c r="D744" t="inlineStr">
        <is>
          <t>Family Member Asked or Influenced Them to Go</t>
        </is>
      </c>
      <c r="E744" t="inlineStr"/>
      <c r="F744" t="inlineStr"/>
      <c r="G744" t="inlineStr"/>
      <c r="H744" t="inlineStr"/>
      <c r="I744" t="inlineStr"/>
      <c r="J744" t="b">
        <v>0</v>
      </c>
      <c r="K744" t="n">
        <v>0</v>
      </c>
      <c r="L744" t="inlineStr"/>
      <c r="M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c r="I745" t="inlineStr">
        <is>
          <t>Family's Own Choice</t>
        </is>
      </c>
      <c r="J745" t="b">
        <v>0</v>
      </c>
      <c r="K745" t="n">
        <v>1</v>
      </c>
      <c r="L745" t="inlineStr"/>
      <c r="M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c r="I746" t="inlineStr">
        <is>
          <t>Family's Own Choice</t>
        </is>
      </c>
      <c r="J746" t="b">
        <v>0</v>
      </c>
      <c r="K746" t="n">
        <v>1</v>
      </c>
      <c r="L746" t="inlineStr"/>
      <c r="M746" t="inlineStr"/>
    </row>
    <row r="747">
      <c r="A747" t="inlineStr">
        <is>
          <t>No</t>
        </is>
      </c>
      <c r="B747" t="inlineStr"/>
      <c r="C747" t="inlineStr"/>
      <c r="D747" t="inlineStr"/>
      <c r="E747" t="inlineStr"/>
      <c r="F747" t="inlineStr"/>
      <c r="G747" t="inlineStr"/>
      <c r="H747" t="inlineStr"/>
      <c r="I747" t="inlineStr"/>
      <c r="J747" t="b">
        <v>0</v>
      </c>
      <c r="K747" t="n">
        <v>0</v>
      </c>
      <c r="L747" t="inlineStr"/>
      <c r="M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c r="I748" t="inlineStr">
        <is>
          <t>Family's Own Choice</t>
        </is>
      </c>
      <c r="J748" t="b">
        <v>0</v>
      </c>
      <c r="K748" t="n">
        <v>1</v>
      </c>
      <c r="L748" t="inlineStr"/>
      <c r="M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c r="I749" t="inlineStr">
        <is>
          <t>HXP Can Directly Fix</t>
        </is>
      </c>
      <c r="J749" t="b">
        <v>0</v>
      </c>
      <c r="K749" t="n">
        <v>2</v>
      </c>
      <c r="L749" t="inlineStr"/>
      <c r="M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c r="I750" t="inlineStr"/>
      <c r="J750" t="b">
        <v>0</v>
      </c>
      <c r="K750" t="n">
        <v>0</v>
      </c>
      <c r="L750" t="inlineStr"/>
      <c r="M750" t="inlineStr"/>
    </row>
    <row r="751">
      <c r="A751" t="inlineStr">
        <is>
          <t>No</t>
        </is>
      </c>
      <c r="B751" t="inlineStr"/>
      <c r="C751" t="inlineStr"/>
      <c r="D751" t="inlineStr"/>
      <c r="E751" t="inlineStr">
        <is>
          <t>Money</t>
        </is>
      </c>
      <c r="F751" t="inlineStr">
        <is>
          <t>Cost / Finances</t>
        </is>
      </c>
      <c r="G751" t="inlineStr">
        <is>
          <t>Cost / Finances</t>
        </is>
      </c>
      <c r="H751" t="inlineStr"/>
      <c r="I751" t="inlineStr">
        <is>
          <t>HXP Can Directly Fix</t>
        </is>
      </c>
      <c r="J751" t="b">
        <v>0</v>
      </c>
      <c r="K751" t="n">
        <v>1</v>
      </c>
      <c r="L751" t="inlineStr"/>
      <c r="M751" t="inlineStr"/>
    </row>
    <row r="752">
      <c r="A752" t="inlineStr">
        <is>
          <t>No</t>
        </is>
      </c>
      <c r="B752" t="inlineStr"/>
      <c r="C752" t="inlineStr"/>
      <c r="D752" t="inlineStr"/>
      <c r="E752" t="inlineStr"/>
      <c r="F752" t="inlineStr"/>
      <c r="G752" t="inlineStr"/>
      <c r="H752" t="inlineStr"/>
      <c r="I752" t="inlineStr"/>
      <c r="J752" t="b">
        <v>0</v>
      </c>
      <c r="K752" t="n">
        <v>0</v>
      </c>
      <c r="L752" t="inlineStr"/>
      <c r="M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c r="I753" t="inlineStr">
        <is>
          <t>Family's Own Choice</t>
        </is>
      </c>
      <c r="J753" t="b">
        <v>0</v>
      </c>
      <c r="K753" t="n">
        <v>1</v>
      </c>
      <c r="L753" t="inlineStr"/>
      <c r="M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c r="I754" t="inlineStr">
        <is>
          <t>HXP Can Influence</t>
        </is>
      </c>
      <c r="J754" t="b">
        <v>0</v>
      </c>
      <c r="K754" t="n">
        <v>1</v>
      </c>
      <c r="L754" t="inlineStr"/>
      <c r="M754" t="inlineStr"/>
    </row>
    <row r="755">
      <c r="A755" t="inlineStr">
        <is>
          <t>Maybe</t>
        </is>
      </c>
      <c r="B755" t="inlineStr"/>
      <c r="C755" t="inlineStr"/>
      <c r="D755" t="inlineStr"/>
      <c r="E755" t="inlineStr"/>
      <c r="F755" t="inlineStr"/>
      <c r="G755" t="inlineStr"/>
      <c r="H755" t="inlineStr">
        <is>
          <t>Cost timing</t>
        </is>
      </c>
      <c r="I755" t="inlineStr"/>
      <c r="J755" t="b">
        <v>0</v>
      </c>
      <c r="K755" t="n">
        <v>0</v>
      </c>
      <c r="L755" t="inlineStr">
        <is>
          <t>Cost / Financial Assistance</t>
        </is>
      </c>
      <c r="M755" t="inlineStr">
        <is>
          <t>Cost / Financial Assistance</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c r="I756" t="inlineStr">
        <is>
          <t>Family's Own Choice</t>
        </is>
      </c>
      <c r="J756" t="b">
        <v>0</v>
      </c>
      <c r="K756" t="n">
        <v>1</v>
      </c>
      <c r="L756" t="inlineStr"/>
      <c r="M756" t="inlineStr"/>
    </row>
    <row r="757">
      <c r="A757" t="inlineStr">
        <is>
          <t>No</t>
        </is>
      </c>
      <c r="B757" t="inlineStr"/>
      <c r="C757" t="inlineStr"/>
      <c r="D757" t="inlineStr"/>
      <c r="E757" t="inlineStr"/>
      <c r="F757" t="inlineStr"/>
      <c r="G757" t="inlineStr"/>
      <c r="H757" t="inlineStr"/>
      <c r="I757" t="inlineStr"/>
      <c r="J757" t="b">
        <v>0</v>
      </c>
      <c r="K757" t="n">
        <v>0</v>
      </c>
      <c r="L757" t="inlineStr"/>
      <c r="M757" t="inlineStr"/>
    </row>
    <row r="758">
      <c r="A758" t="inlineStr">
        <is>
          <t>No</t>
        </is>
      </c>
      <c r="B758" t="inlineStr"/>
      <c r="C758" t="inlineStr"/>
      <c r="D758" t="inlineStr"/>
      <c r="E758" t="inlineStr">
        <is>
          <t>Work</t>
        </is>
      </c>
      <c r="F758" t="inlineStr">
        <is>
          <t>Work Schedule / Time Off</t>
        </is>
      </c>
      <c r="G758" t="inlineStr">
        <is>
          <t>Work Schedule / Time Off</t>
        </is>
      </c>
      <c r="H758" t="inlineStr"/>
      <c r="I758" t="inlineStr">
        <is>
          <t>HXP Can Influence</t>
        </is>
      </c>
      <c r="J758" t="b">
        <v>0</v>
      </c>
      <c r="K758" t="n">
        <v>1</v>
      </c>
      <c r="L758" t="inlineStr"/>
      <c r="M758" t="inlineStr"/>
    </row>
    <row r="759">
      <c r="A759" t="inlineStr">
        <is>
          <t>No</t>
        </is>
      </c>
      <c r="B759" t="inlineStr"/>
      <c r="C759" t="inlineStr"/>
      <c r="D759" t="inlineStr"/>
      <c r="E759" t="inlineStr">
        <is>
          <t>My daughter said I couldn't</t>
        </is>
      </c>
      <c r="F759" t="inlineStr">
        <is>
          <t>Child Didn't Want Parent to Come</t>
        </is>
      </c>
      <c r="G759" t="inlineStr">
        <is>
          <t>Child Didn't Want Parent to Come</t>
        </is>
      </c>
      <c r="H759" t="inlineStr"/>
      <c r="I759" t="inlineStr">
        <is>
          <t>Family's Own Choice</t>
        </is>
      </c>
      <c r="J759" t="b">
        <v>0</v>
      </c>
      <c r="K759" t="n">
        <v>1</v>
      </c>
      <c r="L759" t="inlineStr"/>
      <c r="M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c r="I760" t="inlineStr">
        <is>
          <t>Family's Own Choice</t>
        </is>
      </c>
      <c r="J760" t="b">
        <v>0</v>
      </c>
      <c r="K760" t="n">
        <v>1</v>
      </c>
      <c r="L760" t="inlineStr"/>
      <c r="M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c r="I761" t="inlineStr">
        <is>
          <t>Family's Own Choice</t>
        </is>
      </c>
      <c r="J761" t="b">
        <v>0</v>
      </c>
      <c r="K761" t="n">
        <v>1</v>
      </c>
      <c r="L761" t="inlineStr"/>
      <c r="M761" t="inlineStr"/>
    </row>
    <row r="762">
      <c r="A762" t="inlineStr">
        <is>
          <t>No</t>
        </is>
      </c>
      <c r="B762" t="inlineStr"/>
      <c r="C762" t="inlineStr"/>
      <c r="D762" t="inlineStr"/>
      <c r="E762" t="inlineStr">
        <is>
          <t>To busy</t>
        </is>
      </c>
      <c r="F762" t="inlineStr">
        <is>
          <t>Work Schedule / Time Off</t>
        </is>
      </c>
      <c r="G762" t="inlineStr">
        <is>
          <t>Work Schedule / Time Off</t>
        </is>
      </c>
      <c r="H762" t="inlineStr"/>
      <c r="I762" t="inlineStr">
        <is>
          <t>HXP Can Influence</t>
        </is>
      </c>
      <c r="J762" t="b">
        <v>0</v>
      </c>
      <c r="K762" t="n">
        <v>1</v>
      </c>
      <c r="L762" t="inlineStr"/>
      <c r="M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c r="I763" t="inlineStr">
        <is>
          <t>HXP Can Influence</t>
        </is>
      </c>
      <c r="J763" t="b">
        <v>0</v>
      </c>
      <c r="K763" t="n">
        <v>3</v>
      </c>
      <c r="L763" t="inlineStr"/>
      <c r="M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c r="I764" t="inlineStr">
        <is>
          <t>Family's Own Choice</t>
        </is>
      </c>
      <c r="J764" t="b">
        <v>0</v>
      </c>
      <c r="K764" t="n">
        <v>1</v>
      </c>
      <c r="L764" t="inlineStr"/>
      <c r="M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c r="I765" t="inlineStr">
        <is>
          <t>Family's Own Choice</t>
        </is>
      </c>
      <c r="J765" t="b">
        <v>0</v>
      </c>
      <c r="K765" t="n">
        <v>1</v>
      </c>
      <c r="L765" t="inlineStr"/>
      <c r="M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c r="I766" t="inlineStr">
        <is>
          <t>Family's Own Choice</t>
        </is>
      </c>
      <c r="J766" t="b">
        <v>0</v>
      </c>
      <c r="K766" t="n">
        <v>2</v>
      </c>
      <c r="L766" t="inlineStr"/>
      <c r="M766" t="inlineStr"/>
    </row>
    <row r="767">
      <c r="A767" t="inlineStr">
        <is>
          <t>No</t>
        </is>
      </c>
      <c r="B767" t="inlineStr"/>
      <c r="C767" t="inlineStr"/>
      <c r="D767" t="inlineStr"/>
      <c r="E767" t="inlineStr"/>
      <c r="F767" t="inlineStr"/>
      <c r="G767" t="inlineStr"/>
      <c r="H767" t="inlineStr"/>
      <c r="I767" t="inlineStr"/>
      <c r="J767" t="b">
        <v>0</v>
      </c>
      <c r="K767" t="n">
        <v>0</v>
      </c>
      <c r="L767" t="inlineStr"/>
      <c r="M767" t="inlineStr"/>
    </row>
    <row r="768">
      <c r="A768" t="inlineStr">
        <is>
          <t>No</t>
        </is>
      </c>
      <c r="B768" t="inlineStr"/>
      <c r="C768" t="inlineStr"/>
      <c r="D768" t="inlineStr"/>
      <c r="E768" t="inlineStr">
        <is>
          <t>The desire to serve</t>
        </is>
      </c>
      <c r="F768" t="inlineStr">
        <is>
          <t>Other / Uncategorized</t>
        </is>
      </c>
      <c r="G768" t="inlineStr"/>
      <c r="H768" t="inlineStr"/>
      <c r="I768" t="inlineStr">
        <is>
          <t>Unknown</t>
        </is>
      </c>
      <c r="J768" t="b">
        <v>0</v>
      </c>
      <c r="K768" t="n">
        <v>0</v>
      </c>
      <c r="L768" t="inlineStr"/>
      <c r="M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c r="I769" t="inlineStr">
        <is>
          <t>HXP Can Influence</t>
        </is>
      </c>
      <c r="J769" t="b">
        <v>0</v>
      </c>
      <c r="K769" t="n">
        <v>1</v>
      </c>
      <c r="L769" t="inlineStr"/>
      <c r="M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c r="I770" t="inlineStr">
        <is>
          <t>HXP Can Influence</t>
        </is>
      </c>
      <c r="J770" t="b">
        <v>0</v>
      </c>
      <c r="K770" t="n">
        <v>2</v>
      </c>
      <c r="L770" t="inlineStr"/>
      <c r="M770" t="inlineStr"/>
    </row>
    <row r="771">
      <c r="A771" t="inlineStr">
        <is>
          <t>No</t>
        </is>
      </c>
      <c r="B771" t="inlineStr"/>
      <c r="C771" t="inlineStr"/>
      <c r="D771" t="inlineStr"/>
      <c r="E771" t="inlineStr">
        <is>
          <t>I might go when my you gear son goes.</t>
        </is>
      </c>
      <c r="F771" t="inlineStr">
        <is>
          <t>Other / Uncategorized</t>
        </is>
      </c>
      <c r="G771" t="inlineStr"/>
      <c r="H771" t="inlineStr"/>
      <c r="I771" t="inlineStr">
        <is>
          <t>Unknown</t>
        </is>
      </c>
      <c r="J771" t="b">
        <v>1</v>
      </c>
      <c r="K771" t="n">
        <v>0</v>
      </c>
      <c r="L771" t="inlineStr"/>
      <c r="M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c r="I772" t="inlineStr">
        <is>
          <t>Family's Own Choice</t>
        </is>
      </c>
      <c r="J772" t="b">
        <v>0</v>
      </c>
      <c r="K772" t="n">
        <v>1</v>
      </c>
      <c r="L772" t="inlineStr"/>
      <c r="M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c r="I773" t="inlineStr">
        <is>
          <t>HXP Can Influence</t>
        </is>
      </c>
      <c r="J773" t="b">
        <v>0</v>
      </c>
      <c r="K773" t="n">
        <v>2</v>
      </c>
      <c r="L773" t="inlineStr"/>
      <c r="M773" t="inlineStr"/>
    </row>
    <row r="774">
      <c r="A774" t="inlineStr">
        <is>
          <t>No</t>
        </is>
      </c>
      <c r="B774" t="inlineStr"/>
      <c r="C774" t="inlineStr"/>
      <c r="D774" t="inlineStr"/>
      <c r="E774" t="inlineStr">
        <is>
          <t>I want my son to have influences outside of his parents</t>
        </is>
      </c>
      <c r="F774" t="inlineStr">
        <is>
          <t>Wants Child to Have Independent Experience</t>
        </is>
      </c>
      <c r="G774" t="inlineStr">
        <is>
          <t>Wants Child to Have Independent Experience</t>
        </is>
      </c>
      <c r="H774" t="inlineStr"/>
      <c r="I774" t="inlineStr">
        <is>
          <t>Family's Own Choice</t>
        </is>
      </c>
      <c r="J774" t="b">
        <v>0</v>
      </c>
      <c r="K774" t="n">
        <v>1</v>
      </c>
      <c r="L774" t="inlineStr"/>
      <c r="M774" t="inlineStr"/>
    </row>
    <row r="775">
      <c r="A775" t="inlineStr">
        <is>
          <t>No</t>
        </is>
      </c>
      <c r="B775" t="inlineStr"/>
      <c r="C775" t="inlineStr"/>
      <c r="D775" t="inlineStr"/>
      <c r="E775" t="inlineStr">
        <is>
          <t>Money</t>
        </is>
      </c>
      <c r="F775" t="inlineStr">
        <is>
          <t>Cost / Finances</t>
        </is>
      </c>
      <c r="G775" t="inlineStr">
        <is>
          <t>Cost / Finances</t>
        </is>
      </c>
      <c r="H775" t="inlineStr"/>
      <c r="I775" t="inlineStr">
        <is>
          <t>HXP Can Directly Fix</t>
        </is>
      </c>
      <c r="J775" t="b">
        <v>0</v>
      </c>
      <c r="K775" t="n">
        <v>1</v>
      </c>
      <c r="L775" t="inlineStr"/>
      <c r="M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c r="I776" t="inlineStr">
        <is>
          <t>HXP Can Directly Fix</t>
        </is>
      </c>
      <c r="J776" t="b">
        <v>0</v>
      </c>
      <c r="K776" t="n">
        <v>2</v>
      </c>
      <c r="L776" t="inlineStr"/>
      <c r="M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c r="I777" t="inlineStr"/>
      <c r="J777" t="b">
        <v>0</v>
      </c>
      <c r="K777" t="n">
        <v>0</v>
      </c>
      <c r="L777" t="inlineStr"/>
      <c r="M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c r="I778" t="inlineStr">
        <is>
          <t>HXP Can Influence</t>
        </is>
      </c>
      <c r="J778" t="b">
        <v>0</v>
      </c>
      <c r="K778" t="n">
        <v>2</v>
      </c>
      <c r="L778" t="inlineStr"/>
      <c r="M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c r="I779" t="inlineStr">
        <is>
          <t>HXP Can Influence</t>
        </is>
      </c>
      <c r="J779" t="b">
        <v>0</v>
      </c>
      <c r="K779" t="n">
        <v>2</v>
      </c>
      <c r="L779" t="inlineStr"/>
      <c r="M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c r="I780" t="inlineStr"/>
      <c r="J780" t="b">
        <v>0</v>
      </c>
      <c r="K780" t="n">
        <v>0</v>
      </c>
      <c r="L780" t="inlineStr"/>
      <c r="M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c r="I781" t="inlineStr">
        <is>
          <t>Family's Own Choice</t>
        </is>
      </c>
      <c r="J781" t="b">
        <v>0</v>
      </c>
      <c r="K781" t="n">
        <v>1</v>
      </c>
      <c r="L781" t="inlineStr"/>
      <c r="M781" t="inlineStr"/>
    </row>
    <row r="782">
      <c r="A782" t="inlineStr">
        <is>
          <t>No</t>
        </is>
      </c>
      <c r="B782" t="inlineStr"/>
      <c r="C782" t="inlineStr"/>
      <c r="D782" t="inlineStr"/>
      <c r="E782" t="inlineStr"/>
      <c r="F782" t="inlineStr"/>
      <c r="G782" t="inlineStr"/>
      <c r="H782" t="inlineStr"/>
      <c r="I782" t="inlineStr"/>
      <c r="J782" t="b">
        <v>0</v>
      </c>
      <c r="K782" t="n">
        <v>0</v>
      </c>
      <c r="L782" t="inlineStr"/>
      <c r="M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c r="I783" t="inlineStr"/>
      <c r="J783" t="b">
        <v>0</v>
      </c>
      <c r="K783" t="n">
        <v>0</v>
      </c>
      <c r="L783" t="inlineStr"/>
      <c r="M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c r="I784" t="inlineStr">
        <is>
          <t>Family's Own Choice</t>
        </is>
      </c>
      <c r="J784" t="b">
        <v>0</v>
      </c>
      <c r="K784" t="n">
        <v>1</v>
      </c>
      <c r="L784" t="inlineStr"/>
      <c r="M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c r="I785" t="inlineStr">
        <is>
          <t>Family's Own Choice</t>
        </is>
      </c>
      <c r="J785" t="b">
        <v>0</v>
      </c>
      <c r="K785" t="n">
        <v>2</v>
      </c>
      <c r="L785" t="inlineStr"/>
      <c r="M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c r="I786" t="inlineStr">
        <is>
          <t>HXP Can Influence</t>
        </is>
      </c>
      <c r="J786" t="b">
        <v>0</v>
      </c>
      <c r="K786" t="n">
        <v>1</v>
      </c>
      <c r="L786" t="inlineStr"/>
      <c r="M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c r="I787" t="inlineStr">
        <is>
          <t>Family's Own Choice</t>
        </is>
      </c>
      <c r="J787" t="b">
        <v>0</v>
      </c>
      <c r="K787" t="n">
        <v>1</v>
      </c>
      <c r="L787" t="inlineStr"/>
      <c r="M787" t="inlineStr"/>
    </row>
    <row r="788">
      <c r="A788" t="inlineStr">
        <is>
          <t>No</t>
        </is>
      </c>
      <c r="B788" t="inlineStr"/>
      <c r="C788" t="inlineStr"/>
      <c r="D788" t="inlineStr"/>
      <c r="E788" t="inlineStr">
        <is>
          <t>Work</t>
        </is>
      </c>
      <c r="F788" t="inlineStr">
        <is>
          <t>Work Schedule / Time Off</t>
        </is>
      </c>
      <c r="G788" t="inlineStr">
        <is>
          <t>Work Schedule / Time Off</t>
        </is>
      </c>
      <c r="H788" t="inlineStr"/>
      <c r="I788" t="inlineStr">
        <is>
          <t>HXP Can Influence</t>
        </is>
      </c>
      <c r="J788" t="b">
        <v>0</v>
      </c>
      <c r="K788" t="n">
        <v>1</v>
      </c>
      <c r="L788" t="inlineStr"/>
      <c r="M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c r="I789" t="inlineStr">
        <is>
          <t>HXP Can Influence</t>
        </is>
      </c>
      <c r="J789" t="b">
        <v>0</v>
      </c>
      <c r="K789" t="n">
        <v>1</v>
      </c>
      <c r="L789" t="inlineStr"/>
      <c r="M789" t="inlineStr"/>
    </row>
    <row r="790">
      <c r="A790" t="inlineStr">
        <is>
          <t>No</t>
        </is>
      </c>
      <c r="B790" t="inlineStr"/>
      <c r="C790" t="inlineStr"/>
      <c r="D790" t="inlineStr"/>
      <c r="E790" t="inlineStr">
        <is>
          <t>Didn't get my head in the game soon enough. :)</t>
        </is>
      </c>
      <c r="F790" t="inlineStr">
        <is>
          <t>Other / Uncategorized</t>
        </is>
      </c>
      <c r="G790" t="inlineStr"/>
      <c r="H790" t="inlineStr"/>
      <c r="I790" t="inlineStr">
        <is>
          <t>Unknown</t>
        </is>
      </c>
      <c r="J790" t="b">
        <v>0</v>
      </c>
      <c r="K790" t="n">
        <v>0</v>
      </c>
      <c r="L790" t="inlineStr"/>
      <c r="M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c r="I791" t="inlineStr">
        <is>
          <t>HXP Can Influence</t>
        </is>
      </c>
      <c r="J791" t="b">
        <v>0</v>
      </c>
      <c r="K791" t="n">
        <v>1</v>
      </c>
      <c r="L791" t="inlineStr"/>
      <c r="M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c r="I792" t="inlineStr">
        <is>
          <t>HXP Can Influence</t>
        </is>
      </c>
      <c r="J792" t="b">
        <v>0</v>
      </c>
      <c r="K792" t="n">
        <v>1</v>
      </c>
      <c r="L792" t="inlineStr"/>
      <c r="M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c r="I793" t="inlineStr">
        <is>
          <t>HXP Can Influence</t>
        </is>
      </c>
      <c r="J793" t="b">
        <v>0</v>
      </c>
      <c r="K793" t="n">
        <v>1</v>
      </c>
      <c r="L793" t="inlineStr"/>
      <c r="M793" t="inlineStr"/>
    </row>
    <row r="794">
      <c r="A794" t="inlineStr">
        <is>
          <t>No</t>
        </is>
      </c>
      <c r="B794" t="inlineStr"/>
      <c r="C794" t="inlineStr"/>
      <c r="D794" t="inlineStr"/>
      <c r="E794" t="inlineStr">
        <is>
          <t>Time</t>
        </is>
      </c>
      <c r="F794" t="inlineStr">
        <is>
          <t>Work Schedule / Time Off</t>
        </is>
      </c>
      <c r="G794" t="inlineStr">
        <is>
          <t>Work Schedule / Time Off</t>
        </is>
      </c>
      <c r="H794" t="inlineStr"/>
      <c r="I794" t="inlineStr">
        <is>
          <t>HXP Can Influence</t>
        </is>
      </c>
      <c r="J794" t="b">
        <v>0</v>
      </c>
      <c r="K794" t="n">
        <v>1</v>
      </c>
      <c r="L794" t="inlineStr"/>
      <c r="M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c r="I795" t="inlineStr">
        <is>
          <t>HXP Can Directly Fix</t>
        </is>
      </c>
      <c r="J795" t="b">
        <v>0</v>
      </c>
      <c r="K795" t="n">
        <v>2</v>
      </c>
      <c r="L795" t="inlineStr"/>
      <c r="M795" t="inlineStr"/>
    </row>
    <row r="796">
      <c r="A796" t="inlineStr">
        <is>
          <t>No</t>
        </is>
      </c>
      <c r="B796" t="inlineStr"/>
      <c r="C796" t="inlineStr"/>
      <c r="D796" t="inlineStr"/>
      <c r="E796" t="inlineStr"/>
      <c r="F796" t="inlineStr"/>
      <c r="G796" t="inlineStr"/>
      <c r="H796" t="inlineStr"/>
      <c r="I796" t="inlineStr"/>
      <c r="J796" t="b">
        <v>0</v>
      </c>
      <c r="K796" t="n">
        <v>0</v>
      </c>
      <c r="L796" t="inlineStr"/>
      <c r="M796" t="inlineStr"/>
    </row>
    <row r="797">
      <c r="A797" t="inlineStr">
        <is>
          <t>Yes</t>
        </is>
      </c>
      <c r="B797" t="inlineStr">
        <is>
          <t>My wife</t>
        </is>
      </c>
      <c r="C797" t="inlineStr">
        <is>
          <t>Family Member Asked or Influenced Them to Go</t>
        </is>
      </c>
      <c r="D797" t="inlineStr">
        <is>
          <t>Family Member Asked or Influenced Them to Go</t>
        </is>
      </c>
      <c r="E797" t="inlineStr"/>
      <c r="F797" t="inlineStr"/>
      <c r="G797" t="inlineStr"/>
      <c r="H797" t="inlineStr"/>
      <c r="I797" t="inlineStr"/>
      <c r="J797" t="b">
        <v>0</v>
      </c>
      <c r="K797" t="n">
        <v>0</v>
      </c>
      <c r="L797" t="inlineStr"/>
      <c r="M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c r="I798" t="inlineStr">
        <is>
          <t>Family's Own Choice</t>
        </is>
      </c>
      <c r="J798" t="b">
        <v>0</v>
      </c>
      <c r="K798" t="n">
        <v>1</v>
      </c>
      <c r="L798" t="inlineStr"/>
      <c r="M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c r="I799" t="inlineStr">
        <is>
          <t>HXP Can Directly Fix</t>
        </is>
      </c>
      <c r="J799" t="b">
        <v>0</v>
      </c>
      <c r="K799" t="n">
        <v>4</v>
      </c>
      <c r="L799" t="inlineStr"/>
      <c r="M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c r="I800" t="inlineStr">
        <is>
          <t>Family's Own Choice</t>
        </is>
      </c>
      <c r="J800" t="b">
        <v>0</v>
      </c>
      <c r="K800" t="n">
        <v>1</v>
      </c>
      <c r="L800" t="inlineStr"/>
      <c r="M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c r="I801" t="inlineStr">
        <is>
          <t>Family's Own Choice</t>
        </is>
      </c>
      <c r="J801" t="b">
        <v>0</v>
      </c>
      <c r="K801" t="n">
        <v>1</v>
      </c>
      <c r="L801" t="inlineStr"/>
      <c r="M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c r="I802" t="inlineStr">
        <is>
          <t>Family's Own Choice</t>
        </is>
      </c>
      <c r="J802" t="b">
        <v>0</v>
      </c>
      <c r="K802" t="n">
        <v>1</v>
      </c>
      <c r="L802" t="inlineStr"/>
      <c r="M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c r="I803" t="inlineStr">
        <is>
          <t>HXP Can Directly Fix</t>
        </is>
      </c>
      <c r="J803" t="b">
        <v>0</v>
      </c>
      <c r="K803" t="n">
        <v>4</v>
      </c>
      <c r="L803" t="inlineStr"/>
      <c r="M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c r="I804" t="inlineStr">
        <is>
          <t>Family's Own Choice</t>
        </is>
      </c>
      <c r="J804" t="b">
        <v>0</v>
      </c>
      <c r="K804" t="n">
        <v>1</v>
      </c>
      <c r="L804" t="inlineStr"/>
      <c r="M804" t="inlineStr"/>
    </row>
    <row r="805">
      <c r="A805" t="inlineStr">
        <is>
          <t>No</t>
        </is>
      </c>
      <c r="B805" t="inlineStr"/>
      <c r="C805" t="inlineStr"/>
      <c r="D805" t="inlineStr"/>
      <c r="E805" t="inlineStr">
        <is>
          <t>Time</t>
        </is>
      </c>
      <c r="F805" t="inlineStr">
        <is>
          <t>Work Schedule / Time Off</t>
        </is>
      </c>
      <c r="G805" t="inlineStr">
        <is>
          <t>Work Schedule / Time Off</t>
        </is>
      </c>
      <c r="H805" t="inlineStr"/>
      <c r="I805" t="inlineStr">
        <is>
          <t>HXP Can Influence</t>
        </is>
      </c>
      <c r="J805" t="b">
        <v>0</v>
      </c>
      <c r="K805" t="n">
        <v>1</v>
      </c>
      <c r="L805" t="inlineStr"/>
      <c r="M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c r="I806" t="inlineStr">
        <is>
          <t>Family's Own Choice</t>
        </is>
      </c>
      <c r="J806" t="b">
        <v>0</v>
      </c>
      <c r="K806" t="n">
        <v>1</v>
      </c>
      <c r="L806" t="inlineStr"/>
      <c r="M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c r="I807" t="inlineStr"/>
      <c r="J807" t="b">
        <v>0</v>
      </c>
      <c r="K807" t="n">
        <v>0</v>
      </c>
      <c r="L807" t="inlineStr"/>
      <c r="M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c r="I808" t="inlineStr">
        <is>
          <t>Family's Own Choice</t>
        </is>
      </c>
      <c r="J808" t="b">
        <v>0</v>
      </c>
      <c r="K808" t="n">
        <v>1</v>
      </c>
      <c r="L808" t="inlineStr"/>
      <c r="M808" t="inlineStr"/>
    </row>
    <row r="809">
      <c r="A809" t="inlineStr">
        <is>
          <t>No</t>
        </is>
      </c>
      <c r="B809" t="inlineStr"/>
      <c r="C809" t="inlineStr"/>
      <c r="D809" t="inlineStr"/>
      <c r="E809" t="inlineStr">
        <is>
          <t>work</t>
        </is>
      </c>
      <c r="F809" t="inlineStr">
        <is>
          <t>Work Schedule / Time Off</t>
        </is>
      </c>
      <c r="G809" t="inlineStr">
        <is>
          <t>Work Schedule / Time Off</t>
        </is>
      </c>
      <c r="H809" t="inlineStr"/>
      <c r="I809" t="inlineStr">
        <is>
          <t>HXP Can Influence</t>
        </is>
      </c>
      <c r="J809" t="b">
        <v>0</v>
      </c>
      <c r="K809" t="n">
        <v>1</v>
      </c>
      <c r="L809" t="inlineStr"/>
      <c r="M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c r="I810" t="inlineStr">
        <is>
          <t>Family's Own Choice</t>
        </is>
      </c>
      <c r="J810" t="b">
        <v>0</v>
      </c>
      <c r="K810" t="n">
        <v>1</v>
      </c>
      <c r="L810" t="inlineStr"/>
      <c r="M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c r="I811" t="inlineStr">
        <is>
          <t>Unknown</t>
        </is>
      </c>
      <c r="J811" t="b">
        <v>1</v>
      </c>
      <c r="K811" t="n">
        <v>0</v>
      </c>
      <c r="L811" t="inlineStr"/>
      <c r="M811" t="inlineStr"/>
    </row>
    <row r="812">
      <c r="A812" t="inlineStr">
        <is>
          <t>No</t>
        </is>
      </c>
      <c r="B812" t="inlineStr"/>
      <c r="C812" t="inlineStr"/>
      <c r="D812" t="inlineStr"/>
      <c r="E812" t="inlineStr"/>
      <c r="F812" t="inlineStr"/>
      <c r="G812" t="inlineStr"/>
      <c r="H812" t="inlineStr"/>
      <c r="I812" t="inlineStr"/>
      <c r="J812" t="b">
        <v>0</v>
      </c>
      <c r="K812" t="n">
        <v>0</v>
      </c>
      <c r="L812" t="inlineStr"/>
      <c r="M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c r="I813" t="inlineStr">
        <is>
          <t>Unknown</t>
        </is>
      </c>
      <c r="J813" t="b">
        <v>0</v>
      </c>
      <c r="K813" t="n">
        <v>0</v>
      </c>
      <c r="L813" t="inlineStr"/>
      <c r="M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c r="I814" t="inlineStr">
        <is>
          <t>HXP Can Influence</t>
        </is>
      </c>
      <c r="J814" t="b">
        <v>0</v>
      </c>
      <c r="K814" t="n">
        <v>1</v>
      </c>
      <c r="L814" t="inlineStr"/>
      <c r="M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c r="I815" t="inlineStr">
        <is>
          <t>Family's Own Choice</t>
        </is>
      </c>
      <c r="J815" t="b">
        <v>0</v>
      </c>
      <c r="K815" t="n">
        <v>1</v>
      </c>
      <c r="L815" t="inlineStr"/>
      <c r="M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c r="I816" t="inlineStr">
        <is>
          <t>Family's Own Choice</t>
        </is>
      </c>
      <c r="J816" t="b">
        <v>0</v>
      </c>
      <c r="K816" t="n">
        <v>1</v>
      </c>
      <c r="L816" t="inlineStr"/>
      <c r="M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c r="I817" t="inlineStr">
        <is>
          <t>HXP Can Influence</t>
        </is>
      </c>
      <c r="J817" t="b">
        <v>0</v>
      </c>
      <c r="K817" t="n">
        <v>1</v>
      </c>
      <c r="L817" t="inlineStr"/>
      <c r="M817" t="inlineStr"/>
    </row>
    <row r="818">
      <c r="A818" t="inlineStr">
        <is>
          <t>No</t>
        </is>
      </c>
      <c r="B818" t="inlineStr"/>
      <c r="C818" t="inlineStr"/>
      <c r="D818" t="inlineStr"/>
      <c r="E818" t="inlineStr"/>
      <c r="F818" t="inlineStr"/>
      <c r="G818" t="inlineStr"/>
      <c r="H818" t="inlineStr"/>
      <c r="I818" t="inlineStr"/>
      <c r="J818" t="b">
        <v>0</v>
      </c>
      <c r="K818" t="n">
        <v>0</v>
      </c>
      <c r="L818" t="inlineStr"/>
      <c r="M818" t="inlineStr"/>
    </row>
    <row r="819">
      <c r="A819" t="inlineStr">
        <is>
          <t>No</t>
        </is>
      </c>
      <c r="B819" t="inlineStr"/>
      <c r="C819" t="inlineStr"/>
      <c r="D819" t="inlineStr"/>
      <c r="E819" t="inlineStr"/>
      <c r="F819" t="inlineStr"/>
      <c r="G819" t="inlineStr"/>
      <c r="H819" t="inlineStr"/>
      <c r="I819" t="inlineStr"/>
      <c r="J819" t="b">
        <v>0</v>
      </c>
      <c r="K819" t="n">
        <v>0</v>
      </c>
      <c r="L819" t="inlineStr"/>
      <c r="M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c r="I820" t="inlineStr">
        <is>
          <t>HXP Can Influence</t>
        </is>
      </c>
      <c r="J820" t="b">
        <v>0</v>
      </c>
      <c r="K820" t="n">
        <v>2</v>
      </c>
      <c r="L820" t="inlineStr"/>
      <c r="M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c r="I821" t="inlineStr">
        <is>
          <t>Family's Own Choice</t>
        </is>
      </c>
      <c r="J821" t="b">
        <v>0</v>
      </c>
      <c r="K821" t="n">
        <v>1</v>
      </c>
      <c r="L821" t="inlineStr"/>
      <c r="M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c r="I822" t="inlineStr">
        <is>
          <t>Family's Own Choice</t>
        </is>
      </c>
      <c r="J822" t="b">
        <v>0</v>
      </c>
      <c r="K822" t="n">
        <v>1</v>
      </c>
      <c r="L822" t="inlineStr"/>
      <c r="M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c r="I823" t="inlineStr">
        <is>
          <t>HXP Can Influence</t>
        </is>
      </c>
      <c r="J823" t="b">
        <v>0</v>
      </c>
      <c r="K823" t="n">
        <v>1</v>
      </c>
      <c r="L823" t="inlineStr"/>
      <c r="M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c r="I824" t="inlineStr">
        <is>
          <t>Family's Own Choice</t>
        </is>
      </c>
      <c r="J824" t="b">
        <v>0</v>
      </c>
      <c r="K824" t="n">
        <v>1</v>
      </c>
      <c r="L824" t="inlineStr"/>
      <c r="M824" t="inlineStr"/>
    </row>
    <row r="825">
      <c r="A825" t="inlineStr">
        <is>
          <t>Maybe</t>
        </is>
      </c>
      <c r="B825" t="inlineStr"/>
      <c r="C825" t="inlineStr"/>
      <c r="D825" t="inlineStr"/>
      <c r="E825" t="inlineStr"/>
      <c r="F825" t="inlineStr"/>
      <c r="G825" t="inlineStr"/>
      <c r="H825" t="inlineStr"/>
      <c r="I825" t="inlineStr"/>
      <c r="J825" t="b">
        <v>0</v>
      </c>
      <c r="K825" t="n">
        <v>0</v>
      </c>
      <c r="L825" t="inlineStr"/>
      <c r="M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c r="I826" t="inlineStr">
        <is>
          <t>Family's Own Choice</t>
        </is>
      </c>
      <c r="J826" t="b">
        <v>0</v>
      </c>
      <c r="K826" t="n">
        <v>1</v>
      </c>
      <c r="L826" t="inlineStr"/>
      <c r="M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c r="I827" t="inlineStr">
        <is>
          <t>HXP Can Directly Fix</t>
        </is>
      </c>
      <c r="J827" t="b">
        <v>0</v>
      </c>
      <c r="K827" t="n">
        <v>1</v>
      </c>
      <c r="L827" t="inlineStr"/>
      <c r="M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c r="I828" t="inlineStr">
        <is>
          <t>Family's Own Choice</t>
        </is>
      </c>
      <c r="J828" t="b">
        <v>0</v>
      </c>
      <c r="K828" t="n">
        <v>1</v>
      </c>
      <c r="L828" t="inlineStr"/>
      <c r="M828" t="inlineStr"/>
    </row>
    <row r="829">
      <c r="A829" t="inlineStr">
        <is>
          <t>Maybe</t>
        </is>
      </c>
      <c r="B829" t="inlineStr"/>
      <c r="C829" t="inlineStr"/>
      <c r="D829" t="inlineStr"/>
      <c r="E829" t="inlineStr"/>
      <c r="F829" t="inlineStr"/>
      <c r="G829" t="inlineStr"/>
      <c r="H829" t="inlineStr">
        <is>
          <t>cost</t>
        </is>
      </c>
      <c r="I829" t="inlineStr"/>
      <c r="J829" t="b">
        <v>0</v>
      </c>
      <c r="K829" t="n">
        <v>0</v>
      </c>
      <c r="L829" t="inlineStr">
        <is>
          <t>Cost / Financial Assistance</t>
        </is>
      </c>
      <c r="M829" t="inlineStr">
        <is>
          <t>Cost / Financial Assistance</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c r="I830" t="inlineStr"/>
      <c r="J830" t="b">
        <v>0</v>
      </c>
      <c r="K830" t="n">
        <v>0</v>
      </c>
      <c r="L830" t="inlineStr">
        <is>
          <t>Childcare for Other Kids</t>
        </is>
      </c>
      <c r="M830" t="inlineStr">
        <is>
          <t>Childcare for Other Kids</t>
        </is>
      </c>
    </row>
    <row r="831">
      <c r="A831" t="inlineStr">
        <is>
          <t>No</t>
        </is>
      </c>
      <c r="B831" t="inlineStr"/>
      <c r="C831" t="inlineStr"/>
      <c r="D831" t="inlineStr"/>
      <c r="E831" t="inlineStr">
        <is>
          <t>Cost</t>
        </is>
      </c>
      <c r="F831" t="inlineStr">
        <is>
          <t>Cost / Finances</t>
        </is>
      </c>
      <c r="G831" t="inlineStr">
        <is>
          <t>Cost / Finances</t>
        </is>
      </c>
      <c r="H831" t="inlineStr"/>
      <c r="I831" t="inlineStr">
        <is>
          <t>HXP Can Directly Fix</t>
        </is>
      </c>
      <c r="J831" t="b">
        <v>0</v>
      </c>
      <c r="K831" t="n">
        <v>1</v>
      </c>
      <c r="L831" t="inlineStr"/>
      <c r="M831" t="inlineStr"/>
    </row>
    <row r="832">
      <c r="A832" t="inlineStr">
        <is>
          <t>No</t>
        </is>
      </c>
      <c r="B832" t="inlineStr"/>
      <c r="C832" t="inlineStr"/>
      <c r="D832" t="inlineStr"/>
      <c r="E832" t="inlineStr">
        <is>
          <t>💵</t>
        </is>
      </c>
      <c r="F832" t="inlineStr">
        <is>
          <t>Cost / Finances</t>
        </is>
      </c>
      <c r="G832" t="inlineStr">
        <is>
          <t>Cost / Finances</t>
        </is>
      </c>
      <c r="H832" t="inlineStr"/>
      <c r="I832" t="inlineStr">
        <is>
          <t>HXP Can Directly Fix</t>
        </is>
      </c>
      <c r="J832" t="b">
        <v>0</v>
      </c>
      <c r="K832" t="n">
        <v>1</v>
      </c>
      <c r="L832" t="inlineStr"/>
      <c r="M832" t="inlineStr"/>
    </row>
    <row r="833">
      <c r="A833" t="inlineStr">
        <is>
          <t>No</t>
        </is>
      </c>
      <c r="B833" t="inlineStr"/>
      <c r="C833" t="inlineStr"/>
      <c r="D833" t="inlineStr"/>
      <c r="E833" t="inlineStr"/>
      <c r="F833" t="inlineStr"/>
      <c r="G833" t="inlineStr"/>
      <c r="H833" t="inlineStr"/>
      <c r="I833" t="inlineStr"/>
      <c r="J833" t="b">
        <v>0</v>
      </c>
      <c r="K833" t="n">
        <v>0</v>
      </c>
      <c r="L833" t="inlineStr"/>
      <c r="M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c r="I834" t="inlineStr">
        <is>
          <t>Family's Own Choice</t>
        </is>
      </c>
      <c r="J834" t="b">
        <v>0</v>
      </c>
      <c r="K834" t="n">
        <v>1</v>
      </c>
      <c r="L834" t="inlineStr"/>
      <c r="M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c r="I835" t="inlineStr"/>
      <c r="J835" t="b">
        <v>0</v>
      </c>
      <c r="K835" t="n">
        <v>0</v>
      </c>
      <c r="L835" t="inlineStr"/>
      <c r="M835" t="inlineStr"/>
    </row>
    <row r="836">
      <c r="A836" t="inlineStr">
        <is>
          <t>No</t>
        </is>
      </c>
      <c r="B836" t="inlineStr"/>
      <c r="C836" t="inlineStr"/>
      <c r="D836" t="inlineStr"/>
      <c r="E836" t="inlineStr">
        <is>
          <t>Cost</t>
        </is>
      </c>
      <c r="F836" t="inlineStr">
        <is>
          <t>Cost / Finances</t>
        </is>
      </c>
      <c r="G836" t="inlineStr">
        <is>
          <t>Cost / Finances</t>
        </is>
      </c>
      <c r="H836" t="inlineStr"/>
      <c r="I836" t="inlineStr">
        <is>
          <t>HXP Can Directly Fix</t>
        </is>
      </c>
      <c r="J836" t="b">
        <v>0</v>
      </c>
      <c r="K836" t="n">
        <v>1</v>
      </c>
      <c r="L836" t="inlineStr"/>
      <c r="M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c r="I837" t="inlineStr">
        <is>
          <t>Family's Own Choice</t>
        </is>
      </c>
      <c r="J837" t="b">
        <v>0</v>
      </c>
      <c r="K837" t="n">
        <v>1</v>
      </c>
      <c r="L837" t="inlineStr"/>
      <c r="M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c r="I838" t="inlineStr">
        <is>
          <t>Family's Own Choice</t>
        </is>
      </c>
      <c r="J838" t="b">
        <v>0</v>
      </c>
      <c r="K838" t="n">
        <v>1</v>
      </c>
      <c r="L838" t="inlineStr"/>
      <c r="M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c r="I839" t="inlineStr">
        <is>
          <t>HXP Can Influence</t>
        </is>
      </c>
      <c r="J839" t="b">
        <v>0</v>
      </c>
      <c r="K839" t="n">
        <v>1</v>
      </c>
      <c r="L839" t="inlineStr"/>
      <c r="M839" t="inlineStr"/>
    </row>
    <row r="840">
      <c r="A840" t="inlineStr">
        <is>
          <t>No</t>
        </is>
      </c>
      <c r="B840" t="inlineStr"/>
      <c r="C840" t="inlineStr"/>
      <c r="D840" t="inlineStr"/>
      <c r="E840" t="inlineStr">
        <is>
          <t>Work</t>
        </is>
      </c>
      <c r="F840" t="inlineStr">
        <is>
          <t>Work Schedule / Time Off</t>
        </is>
      </c>
      <c r="G840" t="inlineStr">
        <is>
          <t>Work Schedule / Time Off</t>
        </is>
      </c>
      <c r="H840" t="inlineStr"/>
      <c r="I840" t="inlineStr">
        <is>
          <t>HXP Can Influence</t>
        </is>
      </c>
      <c r="J840" t="b">
        <v>0</v>
      </c>
      <c r="K840" t="n">
        <v>1</v>
      </c>
      <c r="L840" t="inlineStr"/>
      <c r="M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c r="I841" t="inlineStr">
        <is>
          <t>HXP Can Influence</t>
        </is>
      </c>
      <c r="J841" t="b">
        <v>0</v>
      </c>
      <c r="K841" t="n">
        <v>1</v>
      </c>
      <c r="L841" t="inlineStr"/>
      <c r="M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c r="I842" t="inlineStr">
        <is>
          <t>HXP Can Directly Fix</t>
        </is>
      </c>
      <c r="J842" t="b">
        <v>0</v>
      </c>
      <c r="K842" t="n">
        <v>2</v>
      </c>
      <c r="L842" t="inlineStr"/>
      <c r="M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c r="I843" t="inlineStr">
        <is>
          <t>HXP Can Directly Fix</t>
        </is>
      </c>
      <c r="J843" t="b">
        <v>0</v>
      </c>
      <c r="K843" t="n">
        <v>2</v>
      </c>
      <c r="L843" t="inlineStr"/>
      <c r="M843" t="inlineStr"/>
    </row>
    <row r="844">
      <c r="A844" t="inlineStr">
        <is>
          <t>Yes</t>
        </is>
      </c>
      <c r="B844" t="inlineStr">
        <is>
          <t>Daughter</t>
        </is>
      </c>
      <c r="C844" t="inlineStr">
        <is>
          <t>Family Member Asked or Influenced Them to Go</t>
        </is>
      </c>
      <c r="D844" t="inlineStr">
        <is>
          <t>Family Member Asked or Influenced Them to Go</t>
        </is>
      </c>
      <c r="E844" t="inlineStr"/>
      <c r="F844" t="inlineStr"/>
      <c r="G844" t="inlineStr"/>
      <c r="H844" t="inlineStr"/>
      <c r="I844" t="inlineStr"/>
      <c r="J844" t="b">
        <v>0</v>
      </c>
      <c r="K844" t="n">
        <v>0</v>
      </c>
      <c r="L844" t="inlineStr"/>
      <c r="M844" t="inlineStr"/>
    </row>
    <row r="845">
      <c r="A845" t="inlineStr">
        <is>
          <t>Yes</t>
        </is>
      </c>
      <c r="B845" t="inlineStr">
        <is>
          <t>My daughter</t>
        </is>
      </c>
      <c r="C845" t="inlineStr">
        <is>
          <t>Family Member Asked or Influenced Them to Go</t>
        </is>
      </c>
      <c r="D845" t="inlineStr">
        <is>
          <t>Family Member Asked or Influenced Them to Go</t>
        </is>
      </c>
      <c r="E845" t="inlineStr"/>
      <c r="F845" t="inlineStr"/>
      <c r="G845" t="inlineStr"/>
      <c r="H845" t="inlineStr"/>
      <c r="I845" t="inlineStr"/>
      <c r="J845" t="b">
        <v>0</v>
      </c>
      <c r="K845" t="n">
        <v>0</v>
      </c>
      <c r="L845" t="inlineStr"/>
      <c r="M845" t="inlineStr"/>
    </row>
    <row r="846">
      <c r="A846" t="inlineStr">
        <is>
          <t>No</t>
        </is>
      </c>
      <c r="B846" t="inlineStr"/>
      <c r="C846" t="inlineStr"/>
      <c r="D846" t="inlineStr"/>
      <c r="E846" t="inlineStr"/>
      <c r="F846" t="inlineStr"/>
      <c r="G846" t="inlineStr"/>
      <c r="H846" t="inlineStr"/>
      <c r="I846" t="inlineStr"/>
      <c r="J846" t="b">
        <v>0</v>
      </c>
      <c r="K846" t="n">
        <v>0</v>
      </c>
      <c r="L846" t="inlineStr"/>
      <c r="M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c r="I847" t="inlineStr">
        <is>
          <t>Family's Own Choice</t>
        </is>
      </c>
      <c r="J847" t="b">
        <v>0</v>
      </c>
      <c r="K847" t="n">
        <v>1</v>
      </c>
      <c r="L847" t="inlineStr"/>
      <c r="M847" t="inlineStr"/>
    </row>
    <row r="848">
      <c r="A848" t="inlineStr">
        <is>
          <t>No</t>
        </is>
      </c>
      <c r="B848" t="inlineStr"/>
      <c r="C848" t="inlineStr"/>
      <c r="D848" t="inlineStr"/>
      <c r="E848" t="inlineStr"/>
      <c r="F848" t="inlineStr"/>
      <c r="G848" t="inlineStr"/>
      <c r="H848" t="inlineStr"/>
      <c r="I848" t="inlineStr"/>
      <c r="J848" t="b">
        <v>0</v>
      </c>
      <c r="K848" t="n">
        <v>0</v>
      </c>
      <c r="L848" t="inlineStr"/>
      <c r="M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c r="I849" t="inlineStr">
        <is>
          <t>HXP Can Directly Fix</t>
        </is>
      </c>
      <c r="J849" t="b">
        <v>0</v>
      </c>
      <c r="K849" t="n">
        <v>1</v>
      </c>
      <c r="L849" t="inlineStr"/>
      <c r="M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c r="I850" t="inlineStr">
        <is>
          <t>Family's Own Choice</t>
        </is>
      </c>
      <c r="J850" t="b">
        <v>0</v>
      </c>
      <c r="K850" t="n">
        <v>1</v>
      </c>
      <c r="L850" t="inlineStr"/>
      <c r="M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c r="I851" t="inlineStr">
        <is>
          <t>HXP Can Directly Fix</t>
        </is>
      </c>
      <c r="J851" t="b">
        <v>0</v>
      </c>
      <c r="K851" t="n">
        <v>2</v>
      </c>
      <c r="L851" t="inlineStr"/>
      <c r="M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c r="I852" t="inlineStr">
        <is>
          <t>HXP Can Influence</t>
        </is>
      </c>
      <c r="J852" t="b">
        <v>0</v>
      </c>
      <c r="K852" t="n">
        <v>2</v>
      </c>
      <c r="L852" t="inlineStr"/>
      <c r="M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c r="I853" t="inlineStr">
        <is>
          <t>Family's Own Choice</t>
        </is>
      </c>
      <c r="J853" t="b">
        <v>0</v>
      </c>
      <c r="K853" t="n">
        <v>1</v>
      </c>
      <c r="L853" t="inlineStr"/>
      <c r="M853" t="inlineStr"/>
    </row>
    <row r="854">
      <c r="A854" t="inlineStr">
        <is>
          <t>No</t>
        </is>
      </c>
      <c r="B854" t="inlineStr"/>
      <c r="C854" t="inlineStr"/>
      <c r="D854" t="inlineStr"/>
      <c r="E854" t="inlineStr"/>
      <c r="F854" t="inlineStr"/>
      <c r="G854" t="inlineStr"/>
      <c r="H854" t="inlineStr"/>
      <c r="I854" t="inlineStr"/>
      <c r="J854" t="b">
        <v>0</v>
      </c>
      <c r="K854" t="n">
        <v>0</v>
      </c>
      <c r="L854" t="inlineStr"/>
      <c r="M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c r="I855" t="inlineStr">
        <is>
          <t>Family's Own Choice</t>
        </is>
      </c>
      <c r="J855" t="b">
        <v>0</v>
      </c>
      <c r="K855" t="n">
        <v>1</v>
      </c>
      <c r="L855" t="inlineStr"/>
      <c r="M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c r="I856" t="inlineStr">
        <is>
          <t>Family's Own Choice</t>
        </is>
      </c>
      <c r="J856" t="b">
        <v>0</v>
      </c>
      <c r="K856" t="n">
        <v>1</v>
      </c>
      <c r="L856" t="inlineStr"/>
      <c r="M856" t="inlineStr"/>
    </row>
    <row r="857">
      <c r="A857" t="inlineStr">
        <is>
          <t>No</t>
        </is>
      </c>
      <c r="B857" t="inlineStr"/>
      <c r="C857" t="inlineStr"/>
      <c r="D857" t="inlineStr"/>
      <c r="E857" t="inlineStr">
        <is>
          <t>Already went, it was awesome</t>
        </is>
      </c>
      <c r="F857" t="inlineStr">
        <is>
          <t>Other / Uncategorized</t>
        </is>
      </c>
      <c r="G857" t="inlineStr"/>
      <c r="H857" t="inlineStr"/>
      <c r="I857" t="inlineStr">
        <is>
          <t>Unknown</t>
        </is>
      </c>
      <c r="J857" t="b">
        <v>0</v>
      </c>
      <c r="K857" t="n">
        <v>0</v>
      </c>
      <c r="L857" t="inlineStr"/>
      <c r="M857" t="inlineStr"/>
    </row>
    <row r="858">
      <c r="A858" t="inlineStr">
        <is>
          <t>Maybe</t>
        </is>
      </c>
      <c r="B858" t="inlineStr"/>
      <c r="C858" t="inlineStr"/>
      <c r="D858" t="inlineStr"/>
      <c r="E858" t="inlineStr"/>
      <c r="F858" t="inlineStr"/>
      <c r="G858" t="inlineStr"/>
      <c r="H858" t="inlineStr">
        <is>
          <t>Less expensive.</t>
        </is>
      </c>
      <c r="I858" t="inlineStr"/>
      <c r="J858" t="b">
        <v>0</v>
      </c>
      <c r="K858" t="n">
        <v>0</v>
      </c>
      <c r="L858" t="inlineStr">
        <is>
          <t>Cost / Financial Assistance</t>
        </is>
      </c>
      <c r="M858" t="inlineStr">
        <is>
          <t>Cost / Financial Assistance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c r="I859" t="inlineStr">
        <is>
          <t>Family's Own Choice</t>
        </is>
      </c>
      <c r="J859" t="b">
        <v>0</v>
      </c>
      <c r="K859" t="n">
        <v>1</v>
      </c>
      <c r="L859" t="inlineStr"/>
      <c r="M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c r="I860" t="inlineStr"/>
      <c r="J860" t="b">
        <v>0</v>
      </c>
      <c r="K860" t="n">
        <v>0</v>
      </c>
      <c r="L860" t="inlineStr"/>
      <c r="M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c r="I861" t="inlineStr">
        <is>
          <t>Family's Own Choice</t>
        </is>
      </c>
      <c r="J861" t="b">
        <v>0</v>
      </c>
      <c r="K861" t="n">
        <v>1</v>
      </c>
      <c r="L861" t="inlineStr"/>
      <c r="M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c r="I862" t="inlineStr">
        <is>
          <t>Family's Own Choice</t>
        </is>
      </c>
      <c r="J862" t="b">
        <v>0</v>
      </c>
      <c r="K862" t="n">
        <v>1</v>
      </c>
      <c r="L862" t="inlineStr"/>
      <c r="M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c r="I863" t="inlineStr">
        <is>
          <t>Family's Own Choice</t>
        </is>
      </c>
      <c r="J863" t="b">
        <v>0</v>
      </c>
      <c r="K863" t="n">
        <v>1</v>
      </c>
      <c r="L863" t="inlineStr"/>
      <c r="M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c r="I864" t="inlineStr"/>
      <c r="J864" t="b">
        <v>0</v>
      </c>
      <c r="K864" t="n">
        <v>0</v>
      </c>
      <c r="L864" t="inlineStr">
        <is>
          <t>Cost / Financial Assistance</t>
        </is>
      </c>
      <c r="M864" t="inlineStr">
        <is>
          <t>Cost / Financial Assistance; Waiting for Right Timing (kids' ages)</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c r="I865" t="inlineStr">
        <is>
          <t>Family's Own Choice</t>
        </is>
      </c>
      <c r="J865" t="b">
        <v>0</v>
      </c>
      <c r="K865" t="n">
        <v>1</v>
      </c>
      <c r="L865" t="inlineStr"/>
      <c r="M865" t="inlineStr"/>
    </row>
    <row r="866">
      <c r="A866" t="inlineStr">
        <is>
          <t>Maybe</t>
        </is>
      </c>
      <c r="B866" t="inlineStr"/>
      <c r="C866" t="inlineStr"/>
      <c r="D866" t="inlineStr"/>
      <c r="E866" t="inlineStr"/>
      <c r="F866" t="inlineStr"/>
      <c r="G866" t="inlineStr"/>
      <c r="H866" t="inlineStr"/>
      <c r="I866" t="inlineStr"/>
      <c r="J866" t="b">
        <v>0</v>
      </c>
      <c r="K866" t="n">
        <v>0</v>
      </c>
      <c r="L866" t="inlineStr"/>
      <c r="M866" t="inlineStr"/>
    </row>
    <row r="867">
      <c r="A867" t="inlineStr">
        <is>
          <t>No</t>
        </is>
      </c>
      <c r="B867" t="inlineStr"/>
      <c r="C867" t="inlineStr"/>
      <c r="D867" t="inlineStr"/>
      <c r="E867" t="inlineStr">
        <is>
          <t>Money</t>
        </is>
      </c>
      <c r="F867" t="inlineStr">
        <is>
          <t>Cost / Finances</t>
        </is>
      </c>
      <c r="G867" t="inlineStr">
        <is>
          <t>Cost / Finances</t>
        </is>
      </c>
      <c r="H867" t="inlineStr"/>
      <c r="I867" t="inlineStr">
        <is>
          <t>HXP Can Directly Fix</t>
        </is>
      </c>
      <c r="J867" t="b">
        <v>0</v>
      </c>
      <c r="K867" t="n">
        <v>1</v>
      </c>
      <c r="L867" t="inlineStr"/>
      <c r="M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c r="I868" t="inlineStr">
        <is>
          <t>Family's Own Choice</t>
        </is>
      </c>
      <c r="J868" t="b">
        <v>0</v>
      </c>
      <c r="K868" t="n">
        <v>1</v>
      </c>
      <c r="L868" t="inlineStr"/>
      <c r="M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c r="I869" t="inlineStr">
        <is>
          <t>Family's Own Choice</t>
        </is>
      </c>
      <c r="J869" t="b">
        <v>0</v>
      </c>
      <c r="K869" t="n">
        <v>1</v>
      </c>
      <c r="L869" t="inlineStr"/>
      <c r="M869" t="inlineStr"/>
    </row>
    <row r="870">
      <c r="A870" t="inlineStr">
        <is>
          <t>No</t>
        </is>
      </c>
      <c r="B870" t="inlineStr"/>
      <c r="C870" t="inlineStr"/>
      <c r="D870" t="inlineStr"/>
      <c r="E870" t="inlineStr">
        <is>
          <t>Cost</t>
        </is>
      </c>
      <c r="F870" t="inlineStr">
        <is>
          <t>Cost / Finances</t>
        </is>
      </c>
      <c r="G870" t="inlineStr">
        <is>
          <t>Cost / Finances</t>
        </is>
      </c>
      <c r="H870" t="inlineStr"/>
      <c r="I870" t="inlineStr">
        <is>
          <t>HXP Can Directly Fix</t>
        </is>
      </c>
      <c r="J870" t="b">
        <v>0</v>
      </c>
      <c r="K870" t="n">
        <v>1</v>
      </c>
      <c r="L870" t="inlineStr"/>
      <c r="M870" t="inlineStr"/>
    </row>
    <row r="871">
      <c r="A871" t="inlineStr">
        <is>
          <t>No</t>
        </is>
      </c>
      <c r="B871" t="inlineStr"/>
      <c r="C871" t="inlineStr"/>
      <c r="D871" t="inlineStr"/>
      <c r="E871" t="inlineStr">
        <is>
          <t>Work</t>
        </is>
      </c>
      <c r="F871" t="inlineStr">
        <is>
          <t>Work Schedule / Time Off</t>
        </is>
      </c>
      <c r="G871" t="inlineStr">
        <is>
          <t>Work Schedule / Time Off</t>
        </is>
      </c>
      <c r="H871" t="inlineStr"/>
      <c r="I871" t="inlineStr">
        <is>
          <t>HXP Can Influence</t>
        </is>
      </c>
      <c r="J871" t="b">
        <v>0</v>
      </c>
      <c r="K871" t="n">
        <v>1</v>
      </c>
      <c r="L871" t="inlineStr"/>
      <c r="M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c r="I872" t="inlineStr">
        <is>
          <t>Family's Own Choice</t>
        </is>
      </c>
      <c r="J872" t="b">
        <v>0</v>
      </c>
      <c r="K872" t="n">
        <v>3</v>
      </c>
      <c r="L872" t="inlineStr"/>
      <c r="M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c r="I873" t="inlineStr">
        <is>
          <t>Family's Own Choice</t>
        </is>
      </c>
      <c r="J873" t="b">
        <v>0</v>
      </c>
      <c r="K873" t="n">
        <v>2</v>
      </c>
      <c r="L873" t="inlineStr"/>
      <c r="M873" t="inlineStr"/>
    </row>
    <row r="874">
      <c r="A874" t="inlineStr">
        <is>
          <t>No</t>
        </is>
      </c>
      <c r="B874" t="inlineStr"/>
      <c r="C874" t="inlineStr"/>
      <c r="D874" t="inlineStr"/>
      <c r="E874" t="inlineStr">
        <is>
          <t>Work</t>
        </is>
      </c>
      <c r="F874" t="inlineStr">
        <is>
          <t>Work Schedule / Time Off</t>
        </is>
      </c>
      <c r="G874" t="inlineStr">
        <is>
          <t>Work Schedule / Time Off</t>
        </is>
      </c>
      <c r="H874" t="inlineStr"/>
      <c r="I874" t="inlineStr">
        <is>
          <t>HXP Can Influence</t>
        </is>
      </c>
      <c r="J874" t="b">
        <v>0</v>
      </c>
      <c r="K874" t="n">
        <v>1</v>
      </c>
      <c r="L874" t="inlineStr"/>
      <c r="M874" t="inlineStr"/>
    </row>
    <row r="875">
      <c r="A875" t="inlineStr">
        <is>
          <t>Yes</t>
        </is>
      </c>
      <c r="B875" t="inlineStr">
        <is>
          <t>My daughter invited me</t>
        </is>
      </c>
      <c r="C875" t="inlineStr">
        <is>
          <t>Family Member Asked or Influenced Them to Go</t>
        </is>
      </c>
      <c r="D875" t="inlineStr">
        <is>
          <t>Family Member Asked or Influenced Them to Go</t>
        </is>
      </c>
      <c r="E875" t="inlineStr"/>
      <c r="F875" t="inlineStr"/>
      <c r="G875" t="inlineStr"/>
      <c r="H875" t="inlineStr"/>
      <c r="I875" t="inlineStr"/>
      <c r="J875" t="b">
        <v>0</v>
      </c>
      <c r="K875" t="n">
        <v>0</v>
      </c>
      <c r="L875" t="inlineStr"/>
      <c r="M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c r="I876" t="inlineStr">
        <is>
          <t>Family's Own Choice</t>
        </is>
      </c>
      <c r="J876" t="b">
        <v>0</v>
      </c>
      <c r="K876" t="n">
        <v>2</v>
      </c>
      <c r="L876" t="inlineStr"/>
      <c r="M876" t="inlineStr"/>
    </row>
    <row r="877">
      <c r="A877" t="inlineStr">
        <is>
          <t>No</t>
        </is>
      </c>
      <c r="B877" t="inlineStr"/>
      <c r="C877" t="inlineStr"/>
      <c r="D877" t="inlineStr"/>
      <c r="E877" t="inlineStr">
        <is>
          <t>Money</t>
        </is>
      </c>
      <c r="F877" t="inlineStr">
        <is>
          <t>Cost / Finances</t>
        </is>
      </c>
      <c r="G877" t="inlineStr">
        <is>
          <t>Cost / Finances</t>
        </is>
      </c>
      <c r="H877" t="inlineStr"/>
      <c r="I877" t="inlineStr">
        <is>
          <t>HXP Can Directly Fix</t>
        </is>
      </c>
      <c r="J877" t="b">
        <v>0</v>
      </c>
      <c r="K877" t="n">
        <v>1</v>
      </c>
      <c r="L877" t="inlineStr"/>
      <c r="M877" t="inlineStr"/>
    </row>
    <row r="878">
      <c r="A878" t="inlineStr">
        <is>
          <t>No</t>
        </is>
      </c>
      <c r="B878" t="inlineStr"/>
      <c r="C878" t="inlineStr"/>
      <c r="D878" t="inlineStr"/>
      <c r="E878" t="inlineStr">
        <is>
          <t>Money</t>
        </is>
      </c>
      <c r="F878" t="inlineStr">
        <is>
          <t>Cost / Finances</t>
        </is>
      </c>
      <c r="G878" t="inlineStr">
        <is>
          <t>Cost / Finances</t>
        </is>
      </c>
      <c r="H878" t="inlineStr"/>
      <c r="I878" t="inlineStr">
        <is>
          <t>HXP Can Directly Fix</t>
        </is>
      </c>
      <c r="J878" t="b">
        <v>0</v>
      </c>
      <c r="K878" t="n">
        <v>1</v>
      </c>
      <c r="L878" t="inlineStr"/>
      <c r="M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c r="I879" t="inlineStr">
        <is>
          <t>HXP Can Directly Fix</t>
        </is>
      </c>
      <c r="J879" t="b">
        <v>0</v>
      </c>
      <c r="K879" t="n">
        <v>3</v>
      </c>
      <c r="L879" t="inlineStr"/>
      <c r="M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c r="I880" t="inlineStr">
        <is>
          <t>Family's Own Choice</t>
        </is>
      </c>
      <c r="J880" t="b">
        <v>0</v>
      </c>
      <c r="K880" t="n">
        <v>1</v>
      </c>
      <c r="L880" t="inlineStr"/>
      <c r="M880" t="inlineStr"/>
    </row>
    <row r="881">
      <c r="A881" t="inlineStr">
        <is>
          <t>No</t>
        </is>
      </c>
      <c r="B881" t="inlineStr"/>
      <c r="C881" t="inlineStr"/>
      <c r="D881" t="inlineStr"/>
      <c r="E881" t="inlineStr"/>
      <c r="F881" t="inlineStr"/>
      <c r="G881" t="inlineStr"/>
      <c r="H881" t="inlineStr"/>
      <c r="I881" t="inlineStr"/>
      <c r="J881" t="b">
        <v>0</v>
      </c>
      <c r="K881" t="n">
        <v>0</v>
      </c>
      <c r="L881" t="inlineStr"/>
      <c r="M881" t="inlineStr"/>
    </row>
    <row r="882">
      <c r="A882" t="inlineStr">
        <is>
          <t>No</t>
        </is>
      </c>
      <c r="B882" t="inlineStr"/>
      <c r="C882" t="inlineStr"/>
      <c r="D882" t="inlineStr"/>
      <c r="E882" t="inlineStr">
        <is>
          <t>Cost</t>
        </is>
      </c>
      <c r="F882" t="inlineStr">
        <is>
          <t>Cost / Finances</t>
        </is>
      </c>
      <c r="G882" t="inlineStr">
        <is>
          <t>Cost / Finances</t>
        </is>
      </c>
      <c r="H882" t="inlineStr"/>
      <c r="I882" t="inlineStr">
        <is>
          <t>HXP Can Directly Fix</t>
        </is>
      </c>
      <c r="J882" t="b">
        <v>0</v>
      </c>
      <c r="K882" t="n">
        <v>1</v>
      </c>
      <c r="L882" t="inlineStr"/>
      <c r="M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c r="I883" t="inlineStr">
        <is>
          <t>HXP Can Directly Fix</t>
        </is>
      </c>
      <c r="J883" t="b">
        <v>0</v>
      </c>
      <c r="K883" t="n">
        <v>3</v>
      </c>
      <c r="L883" t="inlineStr"/>
      <c r="M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c r="I884" t="inlineStr">
        <is>
          <t>Family's Own Choice</t>
        </is>
      </c>
      <c r="J884" t="b">
        <v>0</v>
      </c>
      <c r="K884" t="n">
        <v>1</v>
      </c>
      <c r="L884" t="inlineStr"/>
      <c r="M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c r="I885" t="inlineStr">
        <is>
          <t>HXP Can Directly Fix</t>
        </is>
      </c>
      <c r="J885" t="b">
        <v>0</v>
      </c>
      <c r="K885" t="n">
        <v>2</v>
      </c>
      <c r="L885" t="inlineStr"/>
      <c r="M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c r="I886" t="inlineStr">
        <is>
          <t>HXP Can Directly Fix</t>
        </is>
      </c>
      <c r="J886" t="b">
        <v>0</v>
      </c>
      <c r="K886" t="n">
        <v>3</v>
      </c>
      <c r="L886" t="inlineStr"/>
      <c r="M886" t="inlineStr"/>
    </row>
    <row r="887">
      <c r="A887" t="inlineStr">
        <is>
          <t>No</t>
        </is>
      </c>
      <c r="B887" t="inlineStr"/>
      <c r="C887" t="inlineStr"/>
      <c r="D887" t="inlineStr"/>
      <c r="E887" t="inlineStr">
        <is>
          <t>Expense</t>
        </is>
      </c>
      <c r="F887" t="inlineStr">
        <is>
          <t>Cost / Finances</t>
        </is>
      </c>
      <c r="G887" t="inlineStr">
        <is>
          <t>Cost / Finances</t>
        </is>
      </c>
      <c r="H887" t="inlineStr"/>
      <c r="I887" t="inlineStr">
        <is>
          <t>HXP Can Directly Fix</t>
        </is>
      </c>
      <c r="J887" t="b">
        <v>0</v>
      </c>
      <c r="K887" t="n">
        <v>1</v>
      </c>
      <c r="L887" t="inlineStr"/>
      <c r="M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c r="I888" t="inlineStr">
        <is>
          <t>Family's Own Choice</t>
        </is>
      </c>
      <c r="J888" t="b">
        <v>0</v>
      </c>
      <c r="K888" t="n">
        <v>1</v>
      </c>
      <c r="L888" t="inlineStr"/>
      <c r="M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c r="I889" t="inlineStr">
        <is>
          <t>Family's Own Choice</t>
        </is>
      </c>
      <c r="J889" t="b">
        <v>0</v>
      </c>
      <c r="K889" t="n">
        <v>1</v>
      </c>
      <c r="L889" t="inlineStr"/>
      <c r="M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c r="I890" t="inlineStr">
        <is>
          <t>HXP Can Influence</t>
        </is>
      </c>
      <c r="J890" t="b">
        <v>0</v>
      </c>
      <c r="K890" t="n">
        <v>1</v>
      </c>
      <c r="L890" t="inlineStr"/>
      <c r="M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c r="I891" t="inlineStr">
        <is>
          <t>HXP Can Influence</t>
        </is>
      </c>
      <c r="J891" t="b">
        <v>0</v>
      </c>
      <c r="K891" t="n">
        <v>2</v>
      </c>
      <c r="L891" t="inlineStr"/>
      <c r="M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c r="I892" t="inlineStr">
        <is>
          <t>HXP Can Influence</t>
        </is>
      </c>
      <c r="J892" t="b">
        <v>0</v>
      </c>
      <c r="K892" t="n">
        <v>1</v>
      </c>
      <c r="L892" t="inlineStr"/>
      <c r="M892" t="inlineStr"/>
    </row>
    <row r="893">
      <c r="A893" t="inlineStr">
        <is>
          <t>No</t>
        </is>
      </c>
      <c r="B893" t="inlineStr"/>
      <c r="C893" t="inlineStr"/>
      <c r="D893" t="inlineStr"/>
      <c r="E893" t="inlineStr"/>
      <c r="F893" t="inlineStr"/>
      <c r="G893" t="inlineStr"/>
      <c r="H893" t="inlineStr"/>
      <c r="I893" t="inlineStr"/>
      <c r="J893" t="b">
        <v>0</v>
      </c>
      <c r="K893" t="n">
        <v>0</v>
      </c>
      <c r="L893" t="inlineStr"/>
      <c r="M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c r="I894" t="inlineStr">
        <is>
          <t>HXP Can Directly Fix</t>
        </is>
      </c>
      <c r="J894" t="b">
        <v>0</v>
      </c>
      <c r="K894" t="n">
        <v>2</v>
      </c>
      <c r="L894" t="inlineStr"/>
      <c r="M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c r="I895" t="inlineStr">
        <is>
          <t>Family's Own Choice</t>
        </is>
      </c>
      <c r="J895" t="b">
        <v>0</v>
      </c>
      <c r="K895" t="n">
        <v>2</v>
      </c>
      <c r="L895" t="inlineStr"/>
      <c r="M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c r="I896" t="inlineStr">
        <is>
          <t>Family's Own Choice</t>
        </is>
      </c>
      <c r="J896" t="b">
        <v>0</v>
      </c>
      <c r="K896" t="n">
        <v>1</v>
      </c>
      <c r="L896" t="inlineStr"/>
      <c r="M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c r="I897" t="inlineStr">
        <is>
          <t>Family's Own Choice</t>
        </is>
      </c>
      <c r="J897" t="b">
        <v>0</v>
      </c>
      <c r="K897" t="n">
        <v>1</v>
      </c>
      <c r="L897" t="inlineStr"/>
      <c r="M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c r="I898" t="inlineStr">
        <is>
          <t>HXP Can Influence</t>
        </is>
      </c>
      <c r="J898" t="b">
        <v>0</v>
      </c>
      <c r="K898" t="n">
        <v>1</v>
      </c>
      <c r="L898" t="inlineStr"/>
      <c r="M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c r="I899" t="inlineStr">
        <is>
          <t>Family's Own Choice</t>
        </is>
      </c>
      <c r="J899" t="b">
        <v>0</v>
      </c>
      <c r="K899" t="n">
        <v>1</v>
      </c>
      <c r="L899" t="inlineStr"/>
      <c r="M899" t="inlineStr"/>
    </row>
    <row r="900">
      <c r="A900" t="inlineStr">
        <is>
          <t>No</t>
        </is>
      </c>
      <c r="B900" t="inlineStr"/>
      <c r="C900" t="inlineStr"/>
      <c r="D900" t="inlineStr"/>
      <c r="E900" t="inlineStr">
        <is>
          <t>Money</t>
        </is>
      </c>
      <c r="F900" t="inlineStr">
        <is>
          <t>Cost / Finances</t>
        </is>
      </c>
      <c r="G900" t="inlineStr">
        <is>
          <t>Cost / Finances</t>
        </is>
      </c>
      <c r="H900" t="inlineStr"/>
      <c r="I900" t="inlineStr">
        <is>
          <t>HXP Can Directly Fix</t>
        </is>
      </c>
      <c r="J900" t="b">
        <v>0</v>
      </c>
      <c r="K900" t="n">
        <v>1</v>
      </c>
      <c r="L900" t="inlineStr"/>
      <c r="M900" t="inlineStr"/>
    </row>
    <row r="901">
      <c r="A901" t="inlineStr">
        <is>
          <t>Yes</t>
        </is>
      </c>
      <c r="B901" t="inlineStr">
        <is>
          <t>My daughter asked for me to come and this will be the last summer before she graduates from HS.</t>
        </is>
      </c>
      <c r="C901" t="inlineStr">
        <is>
          <t>Family Member Asked or Influenced Them to Go</t>
        </is>
      </c>
      <c r="D901" t="inlineStr">
        <is>
          <t>Family Member Asked or Influenced Them to Go</t>
        </is>
      </c>
      <c r="E901" t="inlineStr"/>
      <c r="F901" t="inlineStr"/>
      <c r="G901" t="inlineStr"/>
      <c r="H901" t="inlineStr"/>
      <c r="I901" t="inlineStr"/>
      <c r="J901" t="b">
        <v>0</v>
      </c>
      <c r="K901" t="n">
        <v>0</v>
      </c>
      <c r="L901" t="inlineStr"/>
      <c r="M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c r="I902" t="inlineStr">
        <is>
          <t>Family's Own Choice</t>
        </is>
      </c>
      <c r="J902" t="b">
        <v>0</v>
      </c>
      <c r="K902" t="n">
        <v>1</v>
      </c>
      <c r="L902" t="inlineStr"/>
      <c r="M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c r="I903" t="inlineStr">
        <is>
          <t>HXP Can Influence</t>
        </is>
      </c>
      <c r="J903" t="b">
        <v>0</v>
      </c>
      <c r="K903" t="n">
        <v>2</v>
      </c>
      <c r="L903" t="inlineStr"/>
      <c r="M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c r="I904" t="inlineStr">
        <is>
          <t>Family's Own Choice</t>
        </is>
      </c>
      <c r="J904" t="b">
        <v>0</v>
      </c>
      <c r="K904" t="n">
        <v>1</v>
      </c>
      <c r="L904" t="inlineStr"/>
      <c r="M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c r="I905" t="inlineStr"/>
      <c r="J905" t="b">
        <v>0</v>
      </c>
      <c r="K905" t="n">
        <v>0</v>
      </c>
      <c r="L905" t="inlineStr"/>
      <c r="M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c r="I906" t="inlineStr">
        <is>
          <t>Family's Own Choice</t>
        </is>
      </c>
      <c r="J906" t="b">
        <v>0</v>
      </c>
      <c r="K906" t="n">
        <v>1</v>
      </c>
      <c r="L906" t="inlineStr"/>
      <c r="M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c r="I907" t="inlineStr">
        <is>
          <t>Family's Own Choice</t>
        </is>
      </c>
      <c r="J907" t="b">
        <v>0</v>
      </c>
      <c r="K907" t="n">
        <v>1</v>
      </c>
      <c r="L907" t="inlineStr"/>
      <c r="M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c r="I908" t="inlineStr">
        <is>
          <t>Family's Own Choice</t>
        </is>
      </c>
      <c r="J908" t="b">
        <v>0</v>
      </c>
      <c r="K908" t="n">
        <v>2</v>
      </c>
      <c r="L908" t="inlineStr"/>
      <c r="M908" t="inlineStr"/>
    </row>
    <row r="909">
      <c r="A909" t="inlineStr">
        <is>
          <t>Yes</t>
        </is>
      </c>
      <c r="B909" t="inlineStr">
        <is>
          <t>My daughter and wife</t>
        </is>
      </c>
      <c r="C909" t="inlineStr">
        <is>
          <t>Family Member Asked or Influenced Them to Go</t>
        </is>
      </c>
      <c r="D909" t="inlineStr">
        <is>
          <t>Family Member Asked or Influenced Them to Go</t>
        </is>
      </c>
      <c r="E909" t="inlineStr"/>
      <c r="F909" t="inlineStr"/>
      <c r="G909" t="inlineStr"/>
      <c r="H909" t="inlineStr"/>
      <c r="I909" t="inlineStr"/>
      <c r="J909" t="b">
        <v>0</v>
      </c>
      <c r="K909" t="n">
        <v>0</v>
      </c>
      <c r="L909" t="inlineStr"/>
      <c r="M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c r="I910" t="inlineStr">
        <is>
          <t>Family's Own Choice</t>
        </is>
      </c>
      <c r="J910" t="b">
        <v>0</v>
      </c>
      <c r="K910" t="n">
        <v>1</v>
      </c>
      <c r="L910" t="inlineStr"/>
      <c r="M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c r="I911" t="inlineStr">
        <is>
          <t>Family's Own Choice</t>
        </is>
      </c>
      <c r="J911" t="b">
        <v>0</v>
      </c>
      <c r="K911" t="n">
        <v>1</v>
      </c>
      <c r="L911" t="inlineStr"/>
      <c r="M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c r="I912" t="inlineStr">
        <is>
          <t>Family's Own Choice</t>
        </is>
      </c>
      <c r="J912" t="b">
        <v>0</v>
      </c>
      <c r="K912" t="n">
        <v>1</v>
      </c>
      <c r="L912" t="inlineStr"/>
      <c r="M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c r="I913" t="inlineStr">
        <is>
          <t>Family's Own Choice</t>
        </is>
      </c>
      <c r="J913" t="b">
        <v>0</v>
      </c>
      <c r="K913" t="n">
        <v>1</v>
      </c>
      <c r="L913" t="inlineStr"/>
      <c r="M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c r="I914" t="inlineStr">
        <is>
          <t>HXP Can Influence</t>
        </is>
      </c>
      <c r="J914" t="b">
        <v>0</v>
      </c>
      <c r="K914" t="n">
        <v>1</v>
      </c>
      <c r="L914" t="inlineStr"/>
      <c r="M914" t="inlineStr"/>
    </row>
    <row r="915">
      <c r="A915" t="inlineStr">
        <is>
          <t>No</t>
        </is>
      </c>
      <c r="B915" t="inlineStr"/>
      <c r="C915" t="inlineStr"/>
      <c r="D915" t="inlineStr"/>
      <c r="E915" t="inlineStr"/>
      <c r="F915" t="inlineStr"/>
      <c r="G915" t="inlineStr"/>
      <c r="H915" t="inlineStr"/>
      <c r="I915" t="inlineStr"/>
      <c r="J915" t="b">
        <v>0</v>
      </c>
      <c r="K915" t="n">
        <v>0</v>
      </c>
      <c r="L915" t="inlineStr"/>
      <c r="M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c r="I916" t="inlineStr">
        <is>
          <t>Family's Own Choice</t>
        </is>
      </c>
      <c r="J916" t="b">
        <v>0</v>
      </c>
      <c r="K916" t="n">
        <v>1</v>
      </c>
      <c r="L916" t="inlineStr"/>
      <c r="M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c r="I917" t="inlineStr"/>
      <c r="J917" t="b">
        <v>0</v>
      </c>
      <c r="K917" t="n">
        <v>0</v>
      </c>
      <c r="L917" t="inlineStr"/>
      <c r="M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c r="I918" t="inlineStr">
        <is>
          <t>Family's Own Choice</t>
        </is>
      </c>
      <c r="J918" t="b">
        <v>0</v>
      </c>
      <c r="K918" t="n">
        <v>1</v>
      </c>
      <c r="L918" t="inlineStr"/>
      <c r="M918" t="inlineStr"/>
    </row>
    <row r="919">
      <c r="A919" t="inlineStr">
        <is>
          <t>No</t>
        </is>
      </c>
      <c r="B919" t="inlineStr"/>
      <c r="C919" t="inlineStr"/>
      <c r="D919" t="inlineStr"/>
      <c r="E919" t="inlineStr">
        <is>
          <t>Work</t>
        </is>
      </c>
      <c r="F919" t="inlineStr">
        <is>
          <t>Work Schedule / Time Off</t>
        </is>
      </c>
      <c r="G919" t="inlineStr">
        <is>
          <t>Work Schedule / Time Off</t>
        </is>
      </c>
      <c r="H919" t="inlineStr"/>
      <c r="I919" t="inlineStr">
        <is>
          <t>HXP Can Influence</t>
        </is>
      </c>
      <c r="J919" t="b">
        <v>0</v>
      </c>
      <c r="K919" t="n">
        <v>1</v>
      </c>
      <c r="L919" t="inlineStr"/>
      <c r="M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c r="I920" t="inlineStr">
        <is>
          <t>HXP Can Influence</t>
        </is>
      </c>
      <c r="J920" t="b">
        <v>0</v>
      </c>
      <c r="K920" t="n">
        <v>2</v>
      </c>
      <c r="L920" t="inlineStr"/>
      <c r="M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c r="I921" t="inlineStr">
        <is>
          <t>Family's Own Choice</t>
        </is>
      </c>
      <c r="J921" t="b">
        <v>0</v>
      </c>
      <c r="K921" t="n">
        <v>1</v>
      </c>
      <c r="L921" t="inlineStr"/>
      <c r="M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c r="I922" t="inlineStr">
        <is>
          <t>HXP Can Influence</t>
        </is>
      </c>
      <c r="J922" t="b">
        <v>0</v>
      </c>
      <c r="K922" t="n">
        <v>2</v>
      </c>
      <c r="L922" t="inlineStr"/>
      <c r="M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c r="I923" t="inlineStr">
        <is>
          <t>Family's Own Choice</t>
        </is>
      </c>
      <c r="J923" t="b">
        <v>1</v>
      </c>
      <c r="K923" t="n">
        <v>1</v>
      </c>
      <c r="L923" t="inlineStr"/>
      <c r="M923" t="inlineStr"/>
    </row>
    <row r="924">
      <c r="A924" t="inlineStr">
        <is>
          <t>No</t>
        </is>
      </c>
      <c r="B924" t="inlineStr"/>
      <c r="C924" t="inlineStr"/>
      <c r="D924" t="inlineStr"/>
      <c r="E924" t="inlineStr">
        <is>
          <t>Cost</t>
        </is>
      </c>
      <c r="F924" t="inlineStr">
        <is>
          <t>Cost / Finances</t>
        </is>
      </c>
      <c r="G924" t="inlineStr">
        <is>
          <t>Cost / Finances</t>
        </is>
      </c>
      <c r="H924" t="inlineStr"/>
      <c r="I924" t="inlineStr">
        <is>
          <t>HXP Can Directly Fix</t>
        </is>
      </c>
      <c r="J924" t="b">
        <v>0</v>
      </c>
      <c r="K924" t="n">
        <v>1</v>
      </c>
      <c r="L924" t="inlineStr"/>
      <c r="M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c r="I925" t="inlineStr">
        <is>
          <t>Family's Own Choice</t>
        </is>
      </c>
      <c r="J925" t="b">
        <v>0</v>
      </c>
      <c r="K925" t="n">
        <v>2</v>
      </c>
      <c r="L925" t="inlineStr"/>
      <c r="M925" t="inlineStr"/>
    </row>
    <row r="926">
      <c r="A926" t="inlineStr">
        <is>
          <t>No</t>
        </is>
      </c>
      <c r="B926" t="inlineStr"/>
      <c r="C926" t="inlineStr"/>
      <c r="D926" t="inlineStr"/>
      <c r="E926" t="inlineStr">
        <is>
          <t>Want to go next year when our youngest can be on the trip with us.</t>
        </is>
      </c>
      <c r="F926" t="inlineStr">
        <is>
          <t>Other Kids / Family at Home</t>
        </is>
      </c>
      <c r="G926" t="inlineStr">
        <is>
          <t>Other Kids / Family at Home</t>
        </is>
      </c>
      <c r="H926" t="inlineStr"/>
      <c r="I926" t="inlineStr">
        <is>
          <t>Family's Own Choice</t>
        </is>
      </c>
      <c r="J926" t="b">
        <v>1</v>
      </c>
      <c r="K926" t="n">
        <v>1</v>
      </c>
      <c r="L926" t="inlineStr"/>
      <c r="M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c r="I927" t="inlineStr">
        <is>
          <t>Family's Own Choice</t>
        </is>
      </c>
      <c r="J927" t="b">
        <v>0</v>
      </c>
      <c r="K927" t="n">
        <v>1</v>
      </c>
      <c r="L927" t="inlineStr"/>
      <c r="M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c r="I928" t="inlineStr">
        <is>
          <t>Family's Own Choice</t>
        </is>
      </c>
      <c r="J928" t="b">
        <v>0</v>
      </c>
      <c r="K928" t="n">
        <v>2</v>
      </c>
      <c r="L928" t="inlineStr"/>
      <c r="M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c r="I929" t="inlineStr">
        <is>
          <t>HXP Can Directly Fix</t>
        </is>
      </c>
      <c r="J929" t="b">
        <v>1</v>
      </c>
      <c r="K929" t="n">
        <v>1</v>
      </c>
      <c r="L929" t="inlineStr"/>
      <c r="M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c r="I930" t="inlineStr">
        <is>
          <t>HXP Can Influence</t>
        </is>
      </c>
      <c r="J930" t="b">
        <v>0</v>
      </c>
      <c r="K930" t="n">
        <v>2</v>
      </c>
      <c r="L930" t="inlineStr"/>
      <c r="M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c r="I931" t="inlineStr">
        <is>
          <t>Family's Own Choice</t>
        </is>
      </c>
      <c r="J931" t="b">
        <v>0</v>
      </c>
      <c r="K931" t="n">
        <v>1</v>
      </c>
      <c r="L931" t="inlineStr"/>
      <c r="M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c r="I932" t="inlineStr">
        <is>
          <t>Family's Own Choice</t>
        </is>
      </c>
      <c r="J932" t="b">
        <v>1</v>
      </c>
      <c r="K932" t="n">
        <v>2</v>
      </c>
      <c r="L932" t="inlineStr"/>
      <c r="M932" t="inlineStr"/>
    </row>
    <row r="933">
      <c r="A933" t="inlineStr">
        <is>
          <t>No</t>
        </is>
      </c>
      <c r="B933" t="inlineStr"/>
      <c r="C933" t="inlineStr"/>
      <c r="D933" t="inlineStr"/>
      <c r="E933" t="inlineStr"/>
      <c r="F933" t="inlineStr"/>
      <c r="G933" t="inlineStr"/>
      <c r="H933" t="inlineStr"/>
      <c r="I933" t="inlineStr"/>
      <c r="J933" t="b">
        <v>0</v>
      </c>
      <c r="K933" t="n">
        <v>0</v>
      </c>
      <c r="L933" t="inlineStr"/>
      <c r="M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c r="I934" t="inlineStr">
        <is>
          <t>Family's Own Choice</t>
        </is>
      </c>
      <c r="J934" t="b">
        <v>0</v>
      </c>
      <c r="K934" t="n">
        <v>1</v>
      </c>
      <c r="L934" t="inlineStr"/>
      <c r="M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c r="I935" t="inlineStr">
        <is>
          <t>HXP Can Influence</t>
        </is>
      </c>
      <c r="J935" t="b">
        <v>0</v>
      </c>
      <c r="K935" t="n">
        <v>1</v>
      </c>
      <c r="L935" t="inlineStr"/>
      <c r="M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c r="I936" t="inlineStr">
        <is>
          <t>Family's Own Choice</t>
        </is>
      </c>
      <c r="J936" t="b">
        <v>0</v>
      </c>
      <c r="K936" t="n">
        <v>1</v>
      </c>
      <c r="L936" t="inlineStr"/>
      <c r="M936" t="inlineStr"/>
    </row>
    <row r="937">
      <c r="A937" t="inlineStr">
        <is>
          <t>No</t>
        </is>
      </c>
      <c r="B937" t="inlineStr"/>
      <c r="C937" t="inlineStr"/>
      <c r="D937" t="inlineStr"/>
      <c r="E937" t="inlineStr">
        <is>
          <t>money</t>
        </is>
      </c>
      <c r="F937" t="inlineStr">
        <is>
          <t>Cost / Finances</t>
        </is>
      </c>
      <c r="G937" t="inlineStr">
        <is>
          <t>Cost / Finances</t>
        </is>
      </c>
      <c r="H937" t="inlineStr"/>
      <c r="I937" t="inlineStr">
        <is>
          <t>HXP Can Directly Fix</t>
        </is>
      </c>
      <c r="J937" t="b">
        <v>0</v>
      </c>
      <c r="K937" t="n">
        <v>1</v>
      </c>
      <c r="L937" t="inlineStr"/>
      <c r="M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c r="I938" t="inlineStr">
        <is>
          <t>HXP Can Influence</t>
        </is>
      </c>
      <c r="J938" t="b">
        <v>0</v>
      </c>
      <c r="K938" t="n">
        <v>1</v>
      </c>
      <c r="L938" t="inlineStr"/>
      <c r="M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c r="I939" t="inlineStr">
        <is>
          <t>HXP Can Directly Fix</t>
        </is>
      </c>
      <c r="J939" t="b">
        <v>1</v>
      </c>
      <c r="K939" t="n">
        <v>1</v>
      </c>
      <c r="L939" t="inlineStr"/>
      <c r="M939" t="inlineStr"/>
    </row>
    <row r="940">
      <c r="A940" t="inlineStr">
        <is>
          <t>Yes</t>
        </is>
      </c>
      <c r="B940" t="inlineStr">
        <is>
          <t>My daughter asked me to go with her :)</t>
        </is>
      </c>
      <c r="C940" t="inlineStr">
        <is>
          <t>Family Member Asked or Influenced Them to Go</t>
        </is>
      </c>
      <c r="D940" t="inlineStr">
        <is>
          <t>Family Member Asked or Influenced Them to Go</t>
        </is>
      </c>
      <c r="E940" t="inlineStr"/>
      <c r="F940" t="inlineStr"/>
      <c r="G940" t="inlineStr"/>
      <c r="H940" t="inlineStr"/>
      <c r="I940" t="inlineStr"/>
      <c r="J940" t="b">
        <v>0</v>
      </c>
      <c r="K940" t="n">
        <v>0</v>
      </c>
      <c r="L940" t="inlineStr"/>
      <c r="M940" t="inlineStr"/>
    </row>
    <row r="941">
      <c r="A941" t="inlineStr">
        <is>
          <t>No</t>
        </is>
      </c>
      <c r="B941" t="inlineStr"/>
      <c r="C941" t="inlineStr"/>
      <c r="D941" t="inlineStr"/>
      <c r="E941" t="inlineStr"/>
      <c r="F941" t="inlineStr"/>
      <c r="G941" t="inlineStr"/>
      <c r="H941" t="inlineStr"/>
      <c r="I941" t="inlineStr"/>
      <c r="J941" t="b">
        <v>0</v>
      </c>
      <c r="K941" t="n">
        <v>0</v>
      </c>
      <c r="L941" t="inlineStr"/>
      <c r="M941" t="inlineStr"/>
    </row>
    <row r="942">
      <c r="A942" t="inlineStr">
        <is>
          <t>No</t>
        </is>
      </c>
      <c r="B942" t="inlineStr"/>
      <c r="C942" t="inlineStr"/>
      <c r="D942" t="inlineStr"/>
      <c r="E942" t="inlineStr">
        <is>
          <t>Cost</t>
        </is>
      </c>
      <c r="F942" t="inlineStr">
        <is>
          <t>Cost / Finances</t>
        </is>
      </c>
      <c r="G942" t="inlineStr">
        <is>
          <t>Cost / Finances</t>
        </is>
      </c>
      <c r="H942" t="inlineStr"/>
      <c r="I942" t="inlineStr">
        <is>
          <t>HXP Can Directly Fix</t>
        </is>
      </c>
      <c r="J942" t="b">
        <v>0</v>
      </c>
      <c r="K942" t="n">
        <v>1</v>
      </c>
      <c r="L942" t="inlineStr"/>
      <c r="M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c r="I943" t="inlineStr">
        <is>
          <t>Family's Own Choice</t>
        </is>
      </c>
      <c r="J943" t="b">
        <v>0</v>
      </c>
      <c r="K943" t="n">
        <v>1</v>
      </c>
      <c r="L943" t="inlineStr"/>
      <c r="M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c r="I944" t="inlineStr">
        <is>
          <t>HXP Can Directly Fix</t>
        </is>
      </c>
      <c r="J944" t="b">
        <v>0</v>
      </c>
      <c r="K944" t="n">
        <v>2</v>
      </c>
      <c r="L944" t="inlineStr"/>
      <c r="M944" t="inlineStr"/>
    </row>
    <row r="945">
      <c r="A945" t="inlineStr">
        <is>
          <t>No</t>
        </is>
      </c>
      <c r="B945" t="inlineStr"/>
      <c r="C945" t="inlineStr"/>
      <c r="D945" t="inlineStr"/>
      <c r="E945" t="inlineStr">
        <is>
          <t>Money</t>
        </is>
      </c>
      <c r="F945" t="inlineStr">
        <is>
          <t>Cost / Finances</t>
        </is>
      </c>
      <c r="G945" t="inlineStr">
        <is>
          <t>Cost / Finances</t>
        </is>
      </c>
      <c r="H945" t="inlineStr"/>
      <c r="I945" t="inlineStr">
        <is>
          <t>HXP Can Directly Fix</t>
        </is>
      </c>
      <c r="J945" t="b">
        <v>0</v>
      </c>
      <c r="K945" t="n">
        <v>1</v>
      </c>
      <c r="L945" t="inlineStr"/>
      <c r="M945" t="inlineStr"/>
    </row>
    <row r="946">
      <c r="A946" t="inlineStr">
        <is>
          <t>No</t>
        </is>
      </c>
      <c r="B946" t="inlineStr"/>
      <c r="C946" t="inlineStr"/>
      <c r="D946" t="inlineStr"/>
      <c r="E946" t="inlineStr">
        <is>
          <t>Work</t>
        </is>
      </c>
      <c r="F946" t="inlineStr">
        <is>
          <t>Work Schedule / Time Off</t>
        </is>
      </c>
      <c r="G946" t="inlineStr">
        <is>
          <t>Work Schedule / Time Off</t>
        </is>
      </c>
      <c r="H946" t="inlineStr"/>
      <c r="I946" t="inlineStr">
        <is>
          <t>HXP Can Influence</t>
        </is>
      </c>
      <c r="J946" t="b">
        <v>0</v>
      </c>
      <c r="K946" t="n">
        <v>1</v>
      </c>
      <c r="L946" t="inlineStr"/>
      <c r="M946" t="inlineStr"/>
    </row>
    <row r="947">
      <c r="A947" t="inlineStr">
        <is>
          <t>No</t>
        </is>
      </c>
      <c r="B947" t="inlineStr"/>
      <c r="C947" t="inlineStr"/>
      <c r="D947" t="inlineStr"/>
      <c r="E947" t="inlineStr">
        <is>
          <t>Timing</t>
        </is>
      </c>
      <c r="F947" t="inlineStr">
        <is>
          <t>Work Schedule / Time Off</t>
        </is>
      </c>
      <c r="G947" t="inlineStr">
        <is>
          <t>Work Schedule / Time Off</t>
        </is>
      </c>
      <c r="H947" t="inlineStr"/>
      <c r="I947" t="inlineStr">
        <is>
          <t>HXP Can Influence</t>
        </is>
      </c>
      <c r="J947" t="b">
        <v>0</v>
      </c>
      <c r="K947" t="n">
        <v>1</v>
      </c>
      <c r="L947" t="inlineStr"/>
      <c r="M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c r="I948" t="inlineStr"/>
      <c r="J948" t="b">
        <v>0</v>
      </c>
      <c r="K948" t="n">
        <v>0</v>
      </c>
      <c r="L948" t="inlineStr">
        <is>
          <t>Cost / Financial Assistance</t>
        </is>
      </c>
      <c r="M948" t="inlineStr">
        <is>
          <t>Cost / Financial Assistance; Time / Scheduling</t>
        </is>
      </c>
    </row>
    <row r="949">
      <c r="A949" t="inlineStr">
        <is>
          <t>Maybe</t>
        </is>
      </c>
      <c r="B949" t="inlineStr"/>
      <c r="C949" t="inlineStr"/>
      <c r="D949" t="inlineStr"/>
      <c r="E949" t="inlineStr"/>
      <c r="F949" t="inlineStr"/>
      <c r="G949" t="inlineStr"/>
      <c r="H949" t="inlineStr"/>
      <c r="I949" t="inlineStr"/>
      <c r="J949" t="b">
        <v>0</v>
      </c>
      <c r="K949" t="n">
        <v>0</v>
      </c>
      <c r="L949" t="inlineStr"/>
      <c r="M949" t="inlineStr"/>
    </row>
    <row r="950">
      <c r="A950" t="inlineStr">
        <is>
          <t>No</t>
        </is>
      </c>
      <c r="B950" t="inlineStr"/>
      <c r="C950" t="inlineStr"/>
      <c r="D950" t="inlineStr"/>
      <c r="E950" t="inlineStr"/>
      <c r="F950" t="inlineStr"/>
      <c r="G950" t="inlineStr"/>
      <c r="H950" t="inlineStr"/>
      <c r="I950" t="inlineStr"/>
      <c r="J950" t="b">
        <v>0</v>
      </c>
      <c r="K950" t="n">
        <v>0</v>
      </c>
      <c r="L950" t="inlineStr"/>
      <c r="M950" t="inlineStr"/>
    </row>
    <row r="951">
      <c r="A951" t="inlineStr">
        <is>
          <t>No</t>
        </is>
      </c>
      <c r="B951" t="inlineStr"/>
      <c r="C951" t="inlineStr"/>
      <c r="D951" t="inlineStr"/>
      <c r="E951" t="inlineStr"/>
      <c r="F951" t="inlineStr"/>
      <c r="G951" t="inlineStr"/>
      <c r="H951" t="inlineStr"/>
      <c r="I951" t="inlineStr"/>
      <c r="J951" t="b">
        <v>0</v>
      </c>
      <c r="K951" t="n">
        <v>0</v>
      </c>
      <c r="L951" t="inlineStr"/>
      <c r="M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c r="I952" t="inlineStr"/>
      <c r="J952" t="b">
        <v>0</v>
      </c>
      <c r="K952" t="n">
        <v>0</v>
      </c>
      <c r="L952" t="inlineStr"/>
      <c r="M952" t="inlineStr"/>
    </row>
    <row r="953">
      <c r="A953" t="inlineStr">
        <is>
          <t>No</t>
        </is>
      </c>
      <c r="B953" t="inlineStr"/>
      <c r="C953" t="inlineStr"/>
      <c r="D953" t="inlineStr"/>
      <c r="E953" t="inlineStr">
        <is>
          <t>Cost</t>
        </is>
      </c>
      <c r="F953" t="inlineStr">
        <is>
          <t>Cost / Finances</t>
        </is>
      </c>
      <c r="G953" t="inlineStr">
        <is>
          <t>Cost / Finances</t>
        </is>
      </c>
      <c r="H953" t="inlineStr"/>
      <c r="I953" t="inlineStr">
        <is>
          <t>HXP Can Directly Fix</t>
        </is>
      </c>
      <c r="J953" t="b">
        <v>0</v>
      </c>
      <c r="K953" t="n">
        <v>1</v>
      </c>
      <c r="L953" t="inlineStr"/>
      <c r="M953" t="inlineStr"/>
    </row>
    <row r="954">
      <c r="A954" t="inlineStr">
        <is>
          <t>No</t>
        </is>
      </c>
      <c r="B954" t="inlineStr"/>
      <c r="C954" t="inlineStr"/>
      <c r="D954" t="inlineStr"/>
      <c r="E954" t="inlineStr">
        <is>
          <t>$$</t>
        </is>
      </c>
      <c r="F954" t="inlineStr">
        <is>
          <t>Cost / Finances</t>
        </is>
      </c>
      <c r="G954" t="inlineStr">
        <is>
          <t>Cost / Finances</t>
        </is>
      </c>
      <c r="H954" t="inlineStr"/>
      <c r="I954" t="inlineStr">
        <is>
          <t>HXP Can Directly Fix</t>
        </is>
      </c>
      <c r="J954" t="b">
        <v>0</v>
      </c>
      <c r="K954" t="n">
        <v>1</v>
      </c>
      <c r="L954" t="inlineStr"/>
      <c r="M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c r="I955" t="inlineStr">
        <is>
          <t>HXP Can Influence</t>
        </is>
      </c>
      <c r="J955" t="b">
        <v>0</v>
      </c>
      <c r="K955" t="n">
        <v>1</v>
      </c>
      <c r="L955" t="inlineStr"/>
      <c r="M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c r="I956" t="inlineStr">
        <is>
          <t>Family's Own Choice</t>
        </is>
      </c>
      <c r="J956" t="b">
        <v>0</v>
      </c>
      <c r="K956" t="n">
        <v>1</v>
      </c>
      <c r="L956" t="inlineStr"/>
      <c r="M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c r="I957" t="inlineStr">
        <is>
          <t>Family's Own Choice</t>
        </is>
      </c>
      <c r="J957" t="b">
        <v>0</v>
      </c>
      <c r="K957" t="n">
        <v>1</v>
      </c>
      <c r="L957" t="inlineStr"/>
      <c r="M957" t="inlineStr"/>
    </row>
    <row r="958">
      <c r="A958" t="inlineStr">
        <is>
          <t>No</t>
        </is>
      </c>
      <c r="B958" t="inlineStr"/>
      <c r="C958" t="inlineStr"/>
      <c r="D958" t="inlineStr"/>
      <c r="E958" t="inlineStr"/>
      <c r="F958" t="inlineStr"/>
      <c r="G958" t="inlineStr"/>
      <c r="H958" t="inlineStr"/>
      <c r="I958" t="inlineStr"/>
      <c r="J958" t="b">
        <v>0</v>
      </c>
      <c r="K958" t="n">
        <v>0</v>
      </c>
      <c r="L958" t="inlineStr"/>
      <c r="M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c r="I959" t="inlineStr">
        <is>
          <t>Family's Own Choice</t>
        </is>
      </c>
      <c r="J959" t="b">
        <v>0</v>
      </c>
      <c r="K959" t="n">
        <v>1</v>
      </c>
      <c r="L959" t="inlineStr"/>
      <c r="M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c r="I960" t="inlineStr">
        <is>
          <t>HXP Can Influence</t>
        </is>
      </c>
      <c r="J960" t="b">
        <v>0</v>
      </c>
      <c r="K960" t="n">
        <v>1</v>
      </c>
      <c r="L960" t="inlineStr"/>
      <c r="M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c r="I961" t="inlineStr">
        <is>
          <t>HXP Can Influence</t>
        </is>
      </c>
      <c r="J961" t="b">
        <v>0</v>
      </c>
      <c r="K961" t="n">
        <v>2</v>
      </c>
      <c r="L961" t="inlineStr"/>
      <c r="M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c r="I962" t="inlineStr">
        <is>
          <t>Family's Own Choice</t>
        </is>
      </c>
      <c r="J962" t="b">
        <v>0</v>
      </c>
      <c r="K962" t="n">
        <v>1</v>
      </c>
      <c r="L962" t="inlineStr"/>
      <c r="M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c r="I963" t="inlineStr">
        <is>
          <t>HXP Can Directly Fix</t>
        </is>
      </c>
      <c r="J963" t="b">
        <v>0</v>
      </c>
      <c r="K963" t="n">
        <v>2</v>
      </c>
      <c r="L963" t="inlineStr"/>
      <c r="M963" t="inlineStr"/>
    </row>
    <row r="964">
      <c r="A964" t="inlineStr">
        <is>
          <t>No</t>
        </is>
      </c>
      <c r="B964" t="inlineStr"/>
      <c r="C964" t="inlineStr"/>
      <c r="D964" t="inlineStr"/>
      <c r="E964" t="inlineStr"/>
      <c r="F964" t="inlineStr"/>
      <c r="G964" t="inlineStr"/>
      <c r="H964" t="inlineStr"/>
      <c r="I964" t="inlineStr"/>
      <c r="J964" t="b">
        <v>0</v>
      </c>
      <c r="K964" t="n">
        <v>0</v>
      </c>
      <c r="L964" t="inlineStr"/>
      <c r="M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c r="I965" t="inlineStr">
        <is>
          <t>HXP Can Influence</t>
        </is>
      </c>
      <c r="J965" t="b">
        <v>0</v>
      </c>
      <c r="K965" t="n">
        <v>1</v>
      </c>
      <c r="L965" t="inlineStr"/>
      <c r="M965" t="inlineStr"/>
    </row>
    <row r="966">
      <c r="A966" t="inlineStr">
        <is>
          <t>Maybe</t>
        </is>
      </c>
      <c r="B966" t="inlineStr"/>
      <c r="C966" t="inlineStr"/>
      <c r="D966" t="inlineStr"/>
      <c r="E966" t="inlineStr"/>
      <c r="F966" t="inlineStr"/>
      <c r="G966" t="inlineStr"/>
      <c r="H966" t="inlineStr">
        <is>
          <t>If younger sibling decides to go someday</t>
        </is>
      </c>
      <c r="I966" t="inlineStr"/>
      <c r="J966" t="b">
        <v>0</v>
      </c>
      <c r="K966" t="n">
        <v>0</v>
      </c>
      <c r="L966" t="inlineStr">
        <is>
          <t>Waiting for Right Timing (kids' ages)</t>
        </is>
      </c>
      <c r="M966" t="inlineStr">
        <is>
          <t>Waiting for Right Timing (kids' ages)</t>
        </is>
      </c>
    </row>
    <row r="967">
      <c r="A967" t="inlineStr">
        <is>
          <t>Maybe</t>
        </is>
      </c>
      <c r="B967" t="inlineStr"/>
      <c r="C967" t="inlineStr"/>
      <c r="D967" t="inlineStr"/>
      <c r="E967" t="inlineStr"/>
      <c r="F967" t="inlineStr"/>
      <c r="G967" t="inlineStr"/>
      <c r="H967" t="inlineStr">
        <is>
          <t>Personal health improvement</t>
        </is>
      </c>
      <c r="I967" t="inlineStr"/>
      <c r="J967" t="b">
        <v>0</v>
      </c>
      <c r="K967" t="n">
        <v>0</v>
      </c>
      <c r="L967" t="inlineStr">
        <is>
          <t>Health</t>
        </is>
      </c>
      <c r="M967" t="inlineStr">
        <is>
          <t>Health</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c r="I968" t="inlineStr">
        <is>
          <t>HXP Can Influence</t>
        </is>
      </c>
      <c r="J968" t="b">
        <v>1</v>
      </c>
      <c r="K968" t="n">
        <v>1</v>
      </c>
      <c r="L968" t="inlineStr"/>
      <c r="M968" t="inlineStr"/>
    </row>
    <row r="969">
      <c r="A969" t="inlineStr">
        <is>
          <t>No</t>
        </is>
      </c>
      <c r="B969" t="inlineStr"/>
      <c r="C969" t="inlineStr"/>
      <c r="D969" t="inlineStr"/>
      <c r="E969" t="inlineStr">
        <is>
          <t>$$</t>
        </is>
      </c>
      <c r="F969" t="inlineStr">
        <is>
          <t>Cost / Finances</t>
        </is>
      </c>
      <c r="G969" t="inlineStr">
        <is>
          <t>Cost / Finances</t>
        </is>
      </c>
      <c r="H969" t="inlineStr"/>
      <c r="I969" t="inlineStr">
        <is>
          <t>HXP Can Directly Fix</t>
        </is>
      </c>
      <c r="J969" t="b">
        <v>0</v>
      </c>
      <c r="K969" t="n">
        <v>1</v>
      </c>
      <c r="L969" t="inlineStr"/>
      <c r="M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c r="I970" t="inlineStr">
        <is>
          <t>Family's Own Choice</t>
        </is>
      </c>
      <c r="J970" t="b">
        <v>0</v>
      </c>
      <c r="K970" t="n">
        <v>1</v>
      </c>
      <c r="L970" t="inlineStr"/>
      <c r="M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c r="I971" t="inlineStr"/>
      <c r="J971" t="b">
        <v>0</v>
      </c>
      <c r="K971" t="n">
        <v>0</v>
      </c>
      <c r="L971" t="inlineStr"/>
      <c r="M971" t="inlineStr"/>
    </row>
    <row r="972">
      <c r="A972" t="inlineStr">
        <is>
          <t>No</t>
        </is>
      </c>
      <c r="B972" t="inlineStr"/>
      <c r="C972" t="inlineStr"/>
      <c r="D972" t="inlineStr"/>
      <c r="E972" t="inlineStr">
        <is>
          <t>No time</t>
        </is>
      </c>
      <c r="F972" t="inlineStr">
        <is>
          <t>Work Schedule / Time Off</t>
        </is>
      </c>
      <c r="G972" t="inlineStr">
        <is>
          <t>Work Schedule / Time Off</t>
        </is>
      </c>
      <c r="H972" t="inlineStr"/>
      <c r="I972" t="inlineStr">
        <is>
          <t>HXP Can Influence</t>
        </is>
      </c>
      <c r="J972" t="b">
        <v>0</v>
      </c>
      <c r="K972" t="n">
        <v>1</v>
      </c>
      <c r="L972" t="inlineStr"/>
      <c r="M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c r="I973" t="inlineStr">
        <is>
          <t>HXP Can Directly Fix</t>
        </is>
      </c>
      <c r="J973" t="b">
        <v>1</v>
      </c>
      <c r="K973" t="n">
        <v>1</v>
      </c>
      <c r="L973" t="inlineStr"/>
      <c r="M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c r="I974" t="inlineStr">
        <is>
          <t>HXP Can Directly Fix</t>
        </is>
      </c>
      <c r="J974" t="b">
        <v>0</v>
      </c>
      <c r="K974" t="n">
        <v>1</v>
      </c>
      <c r="L974" t="inlineStr"/>
      <c r="M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c r="I975" t="inlineStr">
        <is>
          <t>Family's Own Choice</t>
        </is>
      </c>
      <c r="J975" t="b">
        <v>0</v>
      </c>
      <c r="K975" t="n">
        <v>1</v>
      </c>
      <c r="L975" t="inlineStr"/>
      <c r="M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c r="I976" t="inlineStr">
        <is>
          <t>HXP Can Influence</t>
        </is>
      </c>
      <c r="J976" t="b">
        <v>0</v>
      </c>
      <c r="K976" t="n">
        <v>1</v>
      </c>
      <c r="L976" t="inlineStr"/>
      <c r="M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c r="I977" t="inlineStr">
        <is>
          <t>HXP Can Influence</t>
        </is>
      </c>
      <c r="J977" t="b">
        <v>0</v>
      </c>
      <c r="K977" t="n">
        <v>2</v>
      </c>
      <c r="L977" t="inlineStr"/>
      <c r="M977" t="inlineStr"/>
    </row>
    <row r="978">
      <c r="A978" t="inlineStr">
        <is>
          <t>No</t>
        </is>
      </c>
      <c r="B978" t="inlineStr"/>
      <c r="C978" t="inlineStr"/>
      <c r="D978" t="inlineStr"/>
      <c r="E978" t="inlineStr"/>
      <c r="F978" t="inlineStr"/>
      <c r="G978" t="inlineStr"/>
      <c r="H978" t="inlineStr"/>
      <c r="I978" t="inlineStr"/>
      <c r="J978" t="b">
        <v>0</v>
      </c>
      <c r="K978" t="n">
        <v>0</v>
      </c>
      <c r="L978" t="inlineStr"/>
      <c r="M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c r="I979" t="inlineStr">
        <is>
          <t>Family's Own Choice</t>
        </is>
      </c>
      <c r="J979" t="b">
        <v>0</v>
      </c>
      <c r="K979" t="n">
        <v>1</v>
      </c>
      <c r="L979" t="inlineStr"/>
      <c r="M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c r="I980" t="inlineStr">
        <is>
          <t>Family's Own Choice</t>
        </is>
      </c>
      <c r="J980" t="b">
        <v>0</v>
      </c>
      <c r="K980" t="n">
        <v>1</v>
      </c>
      <c r="L980" t="inlineStr"/>
      <c r="M980" t="inlineStr"/>
    </row>
    <row r="981">
      <c r="A981" t="inlineStr">
        <is>
          <t>No</t>
        </is>
      </c>
      <c r="B981" t="inlineStr"/>
      <c r="C981" t="inlineStr"/>
      <c r="D981" t="inlineStr"/>
      <c r="E981" t="inlineStr">
        <is>
          <t>Because of the cost</t>
        </is>
      </c>
      <c r="F981" t="inlineStr">
        <is>
          <t>Cost / Finances</t>
        </is>
      </c>
      <c r="G981" t="inlineStr">
        <is>
          <t>Cost / Finances</t>
        </is>
      </c>
      <c r="H981" t="inlineStr"/>
      <c r="I981" t="inlineStr">
        <is>
          <t>HXP Can Directly Fix</t>
        </is>
      </c>
      <c r="J981" t="b">
        <v>0</v>
      </c>
      <c r="K981" t="n">
        <v>1</v>
      </c>
      <c r="L981" t="inlineStr"/>
      <c r="M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c r="I982" t="inlineStr">
        <is>
          <t>HXP Can Influence</t>
        </is>
      </c>
      <c r="J982" t="b">
        <v>0</v>
      </c>
      <c r="K982" t="n">
        <v>1</v>
      </c>
      <c r="L982" t="inlineStr"/>
      <c r="M982" t="inlineStr"/>
    </row>
    <row r="983">
      <c r="A983" t="inlineStr">
        <is>
          <t>No</t>
        </is>
      </c>
      <c r="B983" t="inlineStr"/>
      <c r="C983" t="inlineStr"/>
      <c r="D983" t="inlineStr"/>
      <c r="E983" t="inlineStr"/>
      <c r="F983" t="inlineStr"/>
      <c r="G983" t="inlineStr"/>
      <c r="H983" t="inlineStr"/>
      <c r="I983" t="inlineStr"/>
      <c r="J983" t="b">
        <v>0</v>
      </c>
      <c r="K983" t="n">
        <v>0</v>
      </c>
      <c r="L983" t="inlineStr"/>
      <c r="M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c r="I984" t="inlineStr">
        <is>
          <t>Family's Own Choice</t>
        </is>
      </c>
      <c r="J984" t="b">
        <v>0</v>
      </c>
      <c r="K984" t="n">
        <v>1</v>
      </c>
      <c r="L984" t="inlineStr"/>
      <c r="M984" t="inlineStr"/>
    </row>
    <row r="985">
      <c r="A985" t="inlineStr">
        <is>
          <t>No</t>
        </is>
      </c>
      <c r="B985" t="inlineStr"/>
      <c r="C985" t="inlineStr"/>
      <c r="D985" t="inlineStr"/>
      <c r="E985" t="inlineStr">
        <is>
          <t>Time</t>
        </is>
      </c>
      <c r="F985" t="inlineStr">
        <is>
          <t>Work Schedule / Time Off</t>
        </is>
      </c>
      <c r="G985" t="inlineStr">
        <is>
          <t>Work Schedule / Time Off</t>
        </is>
      </c>
      <c r="H985" t="inlineStr"/>
      <c r="I985" t="inlineStr">
        <is>
          <t>HXP Can Influence</t>
        </is>
      </c>
      <c r="J985" t="b">
        <v>0</v>
      </c>
      <c r="K985" t="n">
        <v>1</v>
      </c>
      <c r="L985" t="inlineStr"/>
      <c r="M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c r="I986" t="inlineStr">
        <is>
          <t>Unknown</t>
        </is>
      </c>
      <c r="J986" t="b">
        <v>0</v>
      </c>
      <c r="K986" t="n">
        <v>0</v>
      </c>
      <c r="L986" t="inlineStr"/>
      <c r="M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c r="I987" t="inlineStr">
        <is>
          <t>Family's Own Choice</t>
        </is>
      </c>
      <c r="J987" t="b">
        <v>0</v>
      </c>
      <c r="K987" t="n">
        <v>2</v>
      </c>
      <c r="L987" t="inlineStr"/>
      <c r="M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c r="I988" t="inlineStr">
        <is>
          <t>HXP Can Influence</t>
        </is>
      </c>
      <c r="J988" t="b">
        <v>1</v>
      </c>
      <c r="K988" t="n">
        <v>2</v>
      </c>
      <c r="L988" t="inlineStr"/>
      <c r="M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c r="I989" t="inlineStr">
        <is>
          <t>Family's Own Choice</t>
        </is>
      </c>
      <c r="J989" t="b">
        <v>0</v>
      </c>
      <c r="K989" t="n">
        <v>1</v>
      </c>
      <c r="L989" t="inlineStr"/>
      <c r="M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c r="I990" t="inlineStr">
        <is>
          <t>Family's Own Choice</t>
        </is>
      </c>
      <c r="J990" t="b">
        <v>0</v>
      </c>
      <c r="K990" t="n">
        <v>1</v>
      </c>
      <c r="L990" t="inlineStr"/>
      <c r="M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c r="I991" t="inlineStr">
        <is>
          <t>Family's Own Choice</t>
        </is>
      </c>
      <c r="J991" t="b">
        <v>0</v>
      </c>
      <c r="K991" t="n">
        <v>1</v>
      </c>
      <c r="L991" t="inlineStr"/>
      <c r="M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c r="I992" t="inlineStr"/>
      <c r="J992" t="b">
        <v>0</v>
      </c>
      <c r="K992" t="n">
        <v>0</v>
      </c>
      <c r="L992" t="inlineStr"/>
      <c r="M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c r="I993" t="inlineStr">
        <is>
          <t>Family's Own Choice</t>
        </is>
      </c>
      <c r="J993" t="b">
        <v>0</v>
      </c>
      <c r="K993" t="n">
        <v>1</v>
      </c>
      <c r="L993" t="inlineStr"/>
      <c r="M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c r="I994" t="inlineStr">
        <is>
          <t>HXP Can Influence</t>
        </is>
      </c>
      <c r="J994" t="b">
        <v>0</v>
      </c>
      <c r="K994" t="n">
        <v>2</v>
      </c>
      <c r="L994" t="inlineStr"/>
      <c r="M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c r="I995" t="inlineStr">
        <is>
          <t>HXP Can Influence</t>
        </is>
      </c>
      <c r="J995" t="b">
        <v>0</v>
      </c>
      <c r="K995" t="n">
        <v>1</v>
      </c>
      <c r="L995" t="inlineStr"/>
      <c r="M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c r="I996" t="inlineStr"/>
      <c r="J996" t="b">
        <v>0</v>
      </c>
      <c r="K996" t="n">
        <v>0</v>
      </c>
      <c r="L996" t="inlineStr"/>
      <c r="M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c r="I997" t="inlineStr">
        <is>
          <t>HXP Can Influence</t>
        </is>
      </c>
      <c r="J997" t="b">
        <v>0</v>
      </c>
      <c r="K997" t="n">
        <v>2</v>
      </c>
      <c r="L997" t="inlineStr"/>
      <c r="M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c r="I998" t="inlineStr">
        <is>
          <t>Family's Own Choice</t>
        </is>
      </c>
      <c r="J998" t="b">
        <v>0</v>
      </c>
      <c r="K998" t="n">
        <v>1</v>
      </c>
      <c r="L998" t="inlineStr"/>
      <c r="M998" t="inlineStr"/>
    </row>
    <row r="999">
      <c r="A999" t="inlineStr">
        <is>
          <t>No</t>
        </is>
      </c>
      <c r="B999" t="inlineStr"/>
      <c r="C999" t="inlineStr"/>
      <c r="D999" t="inlineStr"/>
      <c r="E999" t="inlineStr">
        <is>
          <t>Cost</t>
        </is>
      </c>
      <c r="F999" t="inlineStr">
        <is>
          <t>Cost / Finances</t>
        </is>
      </c>
      <c r="G999" t="inlineStr">
        <is>
          <t>Cost / Finances</t>
        </is>
      </c>
      <c r="H999" t="inlineStr"/>
      <c r="I999" t="inlineStr">
        <is>
          <t>HXP Can Directly Fix</t>
        </is>
      </c>
      <c r="J999" t="b">
        <v>0</v>
      </c>
      <c r="K999" t="n">
        <v>1</v>
      </c>
      <c r="L999" t="inlineStr"/>
      <c r="M999" t="inlineStr"/>
    </row>
    <row r="1000">
      <c r="A1000" t="inlineStr">
        <is>
          <t>Yes</t>
        </is>
      </c>
      <c r="B1000" t="inlineStr">
        <is>
          <t>Save my daughter</t>
        </is>
      </c>
      <c r="C1000" t="inlineStr">
        <is>
          <t>Other / Uncategorized</t>
        </is>
      </c>
      <c r="D1000" t="inlineStr"/>
      <c r="E1000" t="inlineStr"/>
      <c r="F1000" t="inlineStr"/>
      <c r="G1000" t="inlineStr"/>
      <c r="H1000" t="inlineStr"/>
      <c r="I1000" t="inlineStr"/>
      <c r="J1000" t="b">
        <v>0</v>
      </c>
      <c r="K1000" t="n">
        <v>0</v>
      </c>
      <c r="L1000" t="inlineStr"/>
      <c r="M1000" t="inlineStr"/>
    </row>
    <row r="1001">
      <c r="A1001" t="inlineStr">
        <is>
          <t>Maybe</t>
        </is>
      </c>
      <c r="B1001" t="inlineStr"/>
      <c r="C1001" t="inlineStr"/>
      <c r="D1001" t="inlineStr"/>
      <c r="E1001" t="inlineStr"/>
      <c r="F1001" t="inlineStr"/>
      <c r="G1001" t="inlineStr"/>
      <c r="H1001" t="inlineStr">
        <is>
          <t>If it was cheaper for the parents.</t>
        </is>
      </c>
      <c r="I1001" t="inlineStr"/>
      <c r="J1001" t="b">
        <v>0</v>
      </c>
      <c r="K1001" t="n">
        <v>0</v>
      </c>
      <c r="L1001" t="inlineStr">
        <is>
          <t>Cost / Financial Assistance</t>
        </is>
      </c>
      <c r="M1001" t="inlineStr">
        <is>
          <t>Cost / Financial Assistance</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c r="I1002" t="inlineStr">
        <is>
          <t>HXP Can Directly Fix</t>
        </is>
      </c>
      <c r="J1002" t="b">
        <v>0</v>
      </c>
      <c r="K1002" t="n">
        <v>3</v>
      </c>
      <c r="L1002" t="inlineStr"/>
      <c r="M1002" t="inlineStr"/>
    </row>
    <row r="1003">
      <c r="A1003" t="inlineStr">
        <is>
          <t>No</t>
        </is>
      </c>
      <c r="B1003" t="inlineStr"/>
      <c r="C1003" t="inlineStr"/>
      <c r="D1003" t="inlineStr"/>
      <c r="E1003" t="inlineStr"/>
      <c r="F1003" t="inlineStr"/>
      <c r="G1003" t="inlineStr"/>
      <c r="H1003" t="inlineStr"/>
      <c r="I1003" t="inlineStr"/>
      <c r="J1003" t="b">
        <v>0</v>
      </c>
      <c r="K1003" t="n">
        <v>0</v>
      </c>
      <c r="L1003" t="inlineStr"/>
      <c r="M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c r="I1004" t="inlineStr"/>
      <c r="J1004" t="b">
        <v>0</v>
      </c>
      <c r="K1004" t="n">
        <v>0</v>
      </c>
      <c r="L1004" t="inlineStr"/>
      <c r="M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c r="I1005" t="inlineStr">
        <is>
          <t>Family's Own Choice</t>
        </is>
      </c>
      <c r="J1005" t="b">
        <v>0</v>
      </c>
      <c r="K1005" t="n">
        <v>1</v>
      </c>
      <c r="L1005" t="inlineStr"/>
      <c r="M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c r="I1006" t="inlineStr">
        <is>
          <t>Family's Own Choice</t>
        </is>
      </c>
      <c r="J1006" t="b">
        <v>0</v>
      </c>
      <c r="K1006" t="n">
        <v>1</v>
      </c>
      <c r="L1006" t="inlineStr"/>
      <c r="M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c r="I1007" t="inlineStr">
        <is>
          <t>HXP Can Influence</t>
        </is>
      </c>
      <c r="J1007" t="b">
        <v>0</v>
      </c>
      <c r="K1007" t="n">
        <v>1</v>
      </c>
      <c r="L1007" t="inlineStr"/>
      <c r="M1007" t="inlineStr"/>
    </row>
    <row r="1008">
      <c r="A1008" t="inlineStr">
        <is>
          <t>No</t>
        </is>
      </c>
      <c r="B1008" t="inlineStr"/>
      <c r="C1008" t="inlineStr"/>
      <c r="D1008" t="inlineStr"/>
      <c r="E1008" t="inlineStr">
        <is>
          <t>Finances</t>
        </is>
      </c>
      <c r="F1008" t="inlineStr">
        <is>
          <t>Cost / Finances</t>
        </is>
      </c>
      <c r="G1008" t="inlineStr">
        <is>
          <t>Cost / Finances</t>
        </is>
      </c>
      <c r="H1008" t="inlineStr"/>
      <c r="I1008" t="inlineStr">
        <is>
          <t>HXP Can Directly Fix</t>
        </is>
      </c>
      <c r="J1008" t="b">
        <v>0</v>
      </c>
      <c r="K1008" t="n">
        <v>1</v>
      </c>
      <c r="L1008" t="inlineStr"/>
      <c r="M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c r="I1009" t="inlineStr">
        <is>
          <t>Family's Own Choice</t>
        </is>
      </c>
      <c r="J1009" t="b">
        <v>0</v>
      </c>
      <c r="K1009" t="n">
        <v>1</v>
      </c>
      <c r="L1009" t="inlineStr"/>
      <c r="M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c r="I1010" t="inlineStr">
        <is>
          <t>Family's Own Choice</t>
        </is>
      </c>
      <c r="J1010" t="b">
        <v>0</v>
      </c>
      <c r="K1010" t="n">
        <v>1</v>
      </c>
      <c r="L1010" t="inlineStr"/>
      <c r="M1010" t="inlineStr"/>
    </row>
    <row r="1011">
      <c r="A1011" t="inlineStr">
        <is>
          <t>No</t>
        </is>
      </c>
      <c r="B1011" t="inlineStr"/>
      <c r="C1011" t="inlineStr"/>
      <c r="D1011" t="inlineStr"/>
      <c r="E1011" t="inlineStr">
        <is>
          <t>Money</t>
        </is>
      </c>
      <c r="F1011" t="inlineStr">
        <is>
          <t>Cost / Finances</t>
        </is>
      </c>
      <c r="G1011" t="inlineStr">
        <is>
          <t>Cost / Finances</t>
        </is>
      </c>
      <c r="H1011" t="inlineStr"/>
      <c r="I1011" t="inlineStr">
        <is>
          <t>HXP Can Directly Fix</t>
        </is>
      </c>
      <c r="J1011" t="b">
        <v>0</v>
      </c>
      <c r="K1011" t="n">
        <v>1</v>
      </c>
      <c r="L1011" t="inlineStr"/>
      <c r="M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c r="I1012" t="inlineStr">
        <is>
          <t>Family's Own Choice</t>
        </is>
      </c>
      <c r="J1012" t="b">
        <v>0</v>
      </c>
      <c r="K1012" t="n">
        <v>2</v>
      </c>
      <c r="L1012" t="inlineStr"/>
      <c r="M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c r="I1013" t="inlineStr">
        <is>
          <t>HXP Can Influence</t>
        </is>
      </c>
      <c r="J1013" t="b">
        <v>0</v>
      </c>
      <c r="K1013" t="n">
        <v>1</v>
      </c>
      <c r="L1013" t="inlineStr"/>
      <c r="M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c r="I1014" t="inlineStr">
        <is>
          <t>Family's Own Choice</t>
        </is>
      </c>
      <c r="J1014" t="b">
        <v>0</v>
      </c>
      <c r="K1014" t="n">
        <v>1</v>
      </c>
      <c r="L1014" t="inlineStr"/>
      <c r="M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c r="I1015" t="inlineStr">
        <is>
          <t>HXP Can Influence</t>
        </is>
      </c>
      <c r="J1015" t="b">
        <v>0</v>
      </c>
      <c r="K1015" t="n">
        <v>1</v>
      </c>
      <c r="L1015" t="inlineStr"/>
      <c r="M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c r="I1016" t="inlineStr">
        <is>
          <t>HXP Can Directly Fix</t>
        </is>
      </c>
      <c r="J1016" t="b">
        <v>0</v>
      </c>
      <c r="K1016" t="n">
        <v>1</v>
      </c>
      <c r="L1016" t="inlineStr"/>
      <c r="M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c r="I1017" t="inlineStr">
        <is>
          <t>HXP Can Influence</t>
        </is>
      </c>
      <c r="J1017" t="b">
        <v>0</v>
      </c>
      <c r="K1017" t="n">
        <v>2</v>
      </c>
      <c r="L1017" t="inlineStr"/>
      <c r="M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c r="I1018" t="inlineStr"/>
      <c r="J1018" t="b">
        <v>0</v>
      </c>
      <c r="K1018" t="n">
        <v>0</v>
      </c>
      <c r="L1018" t="inlineStr"/>
      <c r="M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c r="I1019" t="inlineStr">
        <is>
          <t>HXP Can Directly Fix</t>
        </is>
      </c>
      <c r="J1019" t="b">
        <v>1</v>
      </c>
      <c r="K1019" t="n">
        <v>2</v>
      </c>
      <c r="L1019" t="inlineStr"/>
      <c r="M1019" t="inlineStr"/>
    </row>
    <row r="1020">
      <c r="A1020" t="inlineStr">
        <is>
          <t>No</t>
        </is>
      </c>
      <c r="B1020" t="inlineStr"/>
      <c r="C1020" t="inlineStr"/>
      <c r="D1020" t="inlineStr"/>
      <c r="E1020" t="inlineStr">
        <is>
          <t>too expensive</t>
        </is>
      </c>
      <c r="F1020" t="inlineStr">
        <is>
          <t>Cost / Finances</t>
        </is>
      </c>
      <c r="G1020" t="inlineStr">
        <is>
          <t>Cost / Finances</t>
        </is>
      </c>
      <c r="H1020" t="inlineStr"/>
      <c r="I1020" t="inlineStr">
        <is>
          <t>HXP Can Directly Fix</t>
        </is>
      </c>
      <c r="J1020" t="b">
        <v>0</v>
      </c>
      <c r="K1020" t="n">
        <v>1</v>
      </c>
      <c r="L1020" t="inlineStr"/>
      <c r="M1020" t="inlineStr"/>
    </row>
    <row r="1021">
      <c r="A1021" t="inlineStr">
        <is>
          <t>Maybe</t>
        </is>
      </c>
      <c r="B1021" t="inlineStr"/>
      <c r="C1021" t="inlineStr"/>
      <c r="D1021" t="inlineStr"/>
      <c r="E1021" t="inlineStr"/>
      <c r="F1021" t="inlineStr"/>
      <c r="G1021" t="inlineStr"/>
      <c r="H1021" t="inlineStr">
        <is>
          <t>If it were easier to get a spot</t>
        </is>
      </c>
      <c r="I1021" t="inlineStr"/>
      <c r="J1021" t="b">
        <v>0</v>
      </c>
      <c r="K1021" t="n">
        <v>0</v>
      </c>
      <c r="L1021" t="inlineStr">
        <is>
          <t>Registration / Spot Availability</t>
        </is>
      </c>
      <c r="M1021" t="inlineStr">
        <is>
          <t>Registration / Spot Availability</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c r="I1022" t="inlineStr">
        <is>
          <t>HXP Can Directly Fix</t>
        </is>
      </c>
      <c r="J1022" t="b">
        <v>0</v>
      </c>
      <c r="K1022" t="n">
        <v>1</v>
      </c>
      <c r="L1022" t="inlineStr"/>
      <c r="M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c r="I1023" t="inlineStr"/>
      <c r="J1023" t="b">
        <v>0</v>
      </c>
      <c r="K1023" t="n">
        <v>0</v>
      </c>
      <c r="L1023" t="inlineStr"/>
      <c r="M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c r="I1024" t="inlineStr"/>
      <c r="J1024" t="b">
        <v>0</v>
      </c>
      <c r="K1024" t="n">
        <v>0</v>
      </c>
      <c r="L1024" t="inlineStr"/>
      <c r="M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c r="I1025" t="inlineStr">
        <is>
          <t>Family's Own Choice</t>
        </is>
      </c>
      <c r="J1025" t="b">
        <v>0</v>
      </c>
      <c r="K1025" t="n">
        <v>1</v>
      </c>
      <c r="L1025" t="inlineStr"/>
      <c r="M1025" t="inlineStr"/>
    </row>
    <row r="1026">
      <c r="A1026" t="inlineStr">
        <is>
          <t>Yes</t>
        </is>
      </c>
      <c r="B1026" t="inlineStr">
        <is>
          <t>My son asked me to</t>
        </is>
      </c>
      <c r="C1026" t="inlineStr">
        <is>
          <t>Family Member Asked or Influenced Them to Go</t>
        </is>
      </c>
      <c r="D1026" t="inlineStr">
        <is>
          <t>Family Member Asked or Influenced Them to Go</t>
        </is>
      </c>
      <c r="E1026" t="inlineStr"/>
      <c r="F1026" t="inlineStr"/>
      <c r="G1026" t="inlineStr"/>
      <c r="H1026" t="inlineStr"/>
      <c r="I1026" t="inlineStr"/>
      <c r="J1026" t="b">
        <v>0</v>
      </c>
      <c r="K1026" t="n">
        <v>0</v>
      </c>
      <c r="L1026" t="inlineStr"/>
      <c r="M1026" t="inlineStr"/>
    </row>
    <row r="1027">
      <c r="A1027" t="inlineStr">
        <is>
          <t>Maybe</t>
        </is>
      </c>
      <c r="B1027" t="inlineStr"/>
      <c r="C1027" t="inlineStr"/>
      <c r="D1027" t="inlineStr"/>
      <c r="E1027" t="inlineStr"/>
      <c r="F1027" t="inlineStr"/>
      <c r="G1027" t="inlineStr"/>
      <c r="H1027" t="inlineStr">
        <is>
          <t>price</t>
        </is>
      </c>
      <c r="I1027" t="inlineStr"/>
      <c r="J1027" t="b">
        <v>0</v>
      </c>
      <c r="K1027" t="n">
        <v>0</v>
      </c>
      <c r="L1027" t="inlineStr">
        <is>
          <t>Cost / Financial Assistance</t>
        </is>
      </c>
      <c r="M1027" t="inlineStr">
        <is>
          <t>Cost / Financial Assistance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c r="I1028" t="inlineStr">
        <is>
          <t>Family's Own Choice</t>
        </is>
      </c>
      <c r="J1028" t="b">
        <v>0</v>
      </c>
      <c r="K1028" t="n">
        <v>1</v>
      </c>
      <c r="L1028" t="inlineStr"/>
      <c r="M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c r="I1029" t="inlineStr">
        <is>
          <t>Family's Own Choice</t>
        </is>
      </c>
      <c r="J1029" t="b">
        <v>0</v>
      </c>
      <c r="K1029" t="n">
        <v>1</v>
      </c>
      <c r="L1029" t="inlineStr"/>
      <c r="M1029" t="inlineStr"/>
    </row>
    <row r="1030">
      <c r="A1030" t="inlineStr">
        <is>
          <t>No</t>
        </is>
      </c>
      <c r="B1030" t="inlineStr"/>
      <c r="C1030" t="inlineStr"/>
      <c r="D1030" t="inlineStr"/>
      <c r="E1030" t="inlineStr">
        <is>
          <t>Cost</t>
        </is>
      </c>
      <c r="F1030" t="inlineStr">
        <is>
          <t>Cost / Finances</t>
        </is>
      </c>
      <c r="G1030" t="inlineStr">
        <is>
          <t>Cost / Finances</t>
        </is>
      </c>
      <c r="H1030" t="inlineStr"/>
      <c r="I1030" t="inlineStr">
        <is>
          <t>HXP Can Directly Fix</t>
        </is>
      </c>
      <c r="J1030" t="b">
        <v>0</v>
      </c>
      <c r="K1030" t="n">
        <v>1</v>
      </c>
      <c r="L1030" t="inlineStr"/>
      <c r="M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c r="I1031" t="inlineStr">
        <is>
          <t>Family's Own Choice</t>
        </is>
      </c>
      <c r="J1031" t="b">
        <v>0</v>
      </c>
      <c r="K1031" t="n">
        <v>1</v>
      </c>
      <c r="L1031" t="inlineStr"/>
      <c r="M1031" t="inlineStr"/>
    </row>
    <row r="1032">
      <c r="A1032" t="inlineStr">
        <is>
          <t>No</t>
        </is>
      </c>
      <c r="B1032" t="inlineStr"/>
      <c r="C1032" t="inlineStr"/>
      <c r="D1032" t="inlineStr"/>
      <c r="E1032" t="inlineStr">
        <is>
          <t>Cost</t>
        </is>
      </c>
      <c r="F1032" t="inlineStr">
        <is>
          <t>Cost / Finances</t>
        </is>
      </c>
      <c r="G1032" t="inlineStr">
        <is>
          <t>Cost / Finances</t>
        </is>
      </c>
      <c r="H1032" t="inlineStr"/>
      <c r="I1032" t="inlineStr">
        <is>
          <t>HXP Can Directly Fix</t>
        </is>
      </c>
      <c r="J1032" t="b">
        <v>0</v>
      </c>
      <c r="K1032" t="n">
        <v>1</v>
      </c>
      <c r="L1032" t="inlineStr"/>
      <c r="M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c r="I1033" t="inlineStr">
        <is>
          <t>HXP Can Influence</t>
        </is>
      </c>
      <c r="J1033" t="b">
        <v>0</v>
      </c>
      <c r="K1033" t="n">
        <v>1</v>
      </c>
      <c r="L1033" t="inlineStr"/>
      <c r="M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c r="I1034" t="inlineStr"/>
      <c r="J1034" t="b">
        <v>0</v>
      </c>
      <c r="K1034" t="n">
        <v>0</v>
      </c>
      <c r="L1034" t="inlineStr"/>
      <c r="M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c r="I1035" t="inlineStr">
        <is>
          <t>Family's Own Choice</t>
        </is>
      </c>
      <c r="J1035" t="b">
        <v>0</v>
      </c>
      <c r="K1035" t="n">
        <v>1</v>
      </c>
      <c r="L1035" t="inlineStr"/>
      <c r="M1035" t="inlineStr"/>
    </row>
    <row r="1036">
      <c r="A1036" t="inlineStr">
        <is>
          <t>Maybe</t>
        </is>
      </c>
      <c r="B1036" t="inlineStr"/>
      <c r="C1036" t="inlineStr"/>
      <c r="D1036" t="inlineStr"/>
      <c r="E1036" t="inlineStr"/>
      <c r="F1036" t="inlineStr"/>
      <c r="G1036" t="inlineStr"/>
      <c r="H1036" t="inlineStr"/>
      <c r="I1036" t="inlineStr"/>
      <c r="J1036" t="b">
        <v>0</v>
      </c>
      <c r="K1036" t="n">
        <v>0</v>
      </c>
      <c r="L1036" t="inlineStr"/>
      <c r="M1036" t="inlineStr"/>
    </row>
    <row r="1037">
      <c r="A1037" t="inlineStr">
        <is>
          <t>No</t>
        </is>
      </c>
      <c r="B1037" t="inlineStr"/>
      <c r="C1037" t="inlineStr"/>
      <c r="D1037" t="inlineStr"/>
      <c r="E1037" t="inlineStr"/>
      <c r="F1037" t="inlineStr"/>
      <c r="G1037" t="inlineStr"/>
      <c r="H1037" t="inlineStr"/>
      <c r="I1037" t="inlineStr"/>
      <c r="J1037" t="b">
        <v>0</v>
      </c>
      <c r="K1037" t="n">
        <v>0</v>
      </c>
      <c r="L1037" t="inlineStr"/>
      <c r="M1037" t="inlineStr"/>
    </row>
    <row r="1038">
      <c r="A1038" t="inlineStr">
        <is>
          <t>No</t>
        </is>
      </c>
      <c r="B1038" t="inlineStr"/>
      <c r="C1038" t="inlineStr"/>
      <c r="D1038" t="inlineStr"/>
      <c r="E1038" t="inlineStr">
        <is>
          <t>Price</t>
        </is>
      </c>
      <c r="F1038" t="inlineStr">
        <is>
          <t>Cost / Finances</t>
        </is>
      </c>
      <c r="G1038" t="inlineStr">
        <is>
          <t>Cost / Finances</t>
        </is>
      </c>
      <c r="H1038" t="inlineStr"/>
      <c r="I1038" t="inlineStr">
        <is>
          <t>HXP Can Directly Fix</t>
        </is>
      </c>
      <c r="J1038" t="b">
        <v>0</v>
      </c>
      <c r="K1038" t="n">
        <v>1</v>
      </c>
      <c r="L1038" t="inlineStr"/>
      <c r="M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c r="I1039" t="inlineStr">
        <is>
          <t>Family's Own Choice</t>
        </is>
      </c>
      <c r="J1039" t="b">
        <v>0</v>
      </c>
      <c r="K1039" t="n">
        <v>1</v>
      </c>
      <c r="L1039" t="inlineStr"/>
      <c r="M1039" t="inlineStr"/>
    </row>
    <row r="1040">
      <c r="A1040" t="inlineStr">
        <is>
          <t>No</t>
        </is>
      </c>
      <c r="B1040" t="inlineStr"/>
      <c r="C1040" t="inlineStr"/>
      <c r="D1040" t="inlineStr"/>
      <c r="E1040" t="inlineStr"/>
      <c r="F1040" t="inlineStr"/>
      <c r="G1040" t="inlineStr"/>
      <c r="H1040" t="inlineStr"/>
      <c r="I1040" t="inlineStr"/>
      <c r="J1040" t="b">
        <v>0</v>
      </c>
      <c r="K1040" t="n">
        <v>0</v>
      </c>
      <c r="L1040" t="inlineStr"/>
      <c r="M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c r="I1041" t="inlineStr">
        <is>
          <t>Family's Own Choice</t>
        </is>
      </c>
      <c r="J1041" t="b">
        <v>0</v>
      </c>
      <c r="K1041" t="n">
        <v>1</v>
      </c>
      <c r="L1041" t="inlineStr"/>
      <c r="M1041" t="inlineStr"/>
    </row>
    <row r="1042">
      <c r="A1042" t="inlineStr">
        <is>
          <t>No</t>
        </is>
      </c>
      <c r="B1042" t="inlineStr"/>
      <c r="C1042" t="inlineStr"/>
      <c r="D1042" t="inlineStr"/>
      <c r="E1042" t="inlineStr"/>
      <c r="F1042" t="inlineStr"/>
      <c r="G1042" t="inlineStr"/>
      <c r="H1042" t="inlineStr"/>
      <c r="I1042" t="inlineStr"/>
      <c r="J1042" t="b">
        <v>0</v>
      </c>
      <c r="K1042" t="n">
        <v>0</v>
      </c>
      <c r="L1042" t="inlineStr"/>
      <c r="M1042" t="inlineStr"/>
    </row>
    <row r="1043">
      <c r="A1043" t="inlineStr">
        <is>
          <t>No</t>
        </is>
      </c>
      <c r="B1043" t="inlineStr"/>
      <c r="C1043" t="inlineStr"/>
      <c r="D1043" t="inlineStr"/>
      <c r="E1043" t="inlineStr"/>
      <c r="F1043" t="inlineStr"/>
      <c r="G1043" t="inlineStr"/>
      <c r="H1043" t="inlineStr"/>
      <c r="I1043" t="inlineStr"/>
      <c r="J1043" t="b">
        <v>0</v>
      </c>
      <c r="K1043" t="n">
        <v>0</v>
      </c>
      <c r="L1043" t="inlineStr"/>
      <c r="M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c r="I1044" t="inlineStr">
        <is>
          <t>HXP Can Directly Fix</t>
        </is>
      </c>
      <c r="J1044" t="b">
        <v>0</v>
      </c>
      <c r="K1044" t="n">
        <v>2</v>
      </c>
      <c r="L1044" t="inlineStr"/>
      <c r="M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c r="I1045" t="inlineStr">
        <is>
          <t>HXP Can Influence</t>
        </is>
      </c>
      <c r="J1045" t="b">
        <v>0</v>
      </c>
      <c r="K1045" t="n">
        <v>1</v>
      </c>
      <c r="L1045" t="inlineStr"/>
      <c r="M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c r="I1046" t="inlineStr">
        <is>
          <t>HXP Can Influence</t>
        </is>
      </c>
      <c r="J1046" t="b">
        <v>0</v>
      </c>
      <c r="K1046" t="n">
        <v>1</v>
      </c>
      <c r="L1046" t="inlineStr"/>
      <c r="M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c r="I1047" t="inlineStr">
        <is>
          <t>Family's Own Choice</t>
        </is>
      </c>
      <c r="J1047" t="b">
        <v>0</v>
      </c>
      <c r="K1047" t="n">
        <v>1</v>
      </c>
      <c r="L1047" t="inlineStr"/>
      <c r="M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c r="I1048" t="inlineStr">
        <is>
          <t>Family's Own Choice</t>
        </is>
      </c>
      <c r="J1048" t="b">
        <v>0</v>
      </c>
      <c r="K1048" t="n">
        <v>1</v>
      </c>
      <c r="L1048" t="inlineStr"/>
      <c r="M1048" t="inlineStr"/>
    </row>
    <row r="1049">
      <c r="A1049" t="inlineStr">
        <is>
          <t>No</t>
        </is>
      </c>
      <c r="B1049" t="inlineStr"/>
      <c r="C1049" t="inlineStr"/>
      <c r="D1049" t="inlineStr"/>
      <c r="E1049" t="inlineStr"/>
      <c r="F1049" t="inlineStr"/>
      <c r="G1049" t="inlineStr"/>
      <c r="H1049" t="inlineStr"/>
      <c r="I1049" t="inlineStr"/>
      <c r="J1049" t="b">
        <v>0</v>
      </c>
      <c r="K1049" t="n">
        <v>0</v>
      </c>
      <c r="L1049" t="inlineStr"/>
      <c r="M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c r="I1050" t="inlineStr">
        <is>
          <t>Family's Own Choice</t>
        </is>
      </c>
      <c r="J1050" t="b">
        <v>0</v>
      </c>
      <c r="K1050" t="n">
        <v>1</v>
      </c>
      <c r="L1050" t="inlineStr"/>
      <c r="M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c r="I1051" t="inlineStr">
        <is>
          <t>HXP Can Influence</t>
        </is>
      </c>
      <c r="J1051" t="b">
        <v>0</v>
      </c>
      <c r="K1051" t="n">
        <v>1</v>
      </c>
      <c r="L1051" t="inlineStr"/>
      <c r="M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c r="I1052" t="inlineStr">
        <is>
          <t>HXP Can Influence</t>
        </is>
      </c>
      <c r="J1052" t="b">
        <v>0</v>
      </c>
      <c r="K1052" t="n">
        <v>2</v>
      </c>
      <c r="L1052" t="inlineStr"/>
      <c r="M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c r="I1053" t="inlineStr">
        <is>
          <t>Family's Own Choice</t>
        </is>
      </c>
      <c r="J1053" t="b">
        <v>0</v>
      </c>
      <c r="K1053" t="n">
        <v>1</v>
      </c>
      <c r="L1053" t="inlineStr"/>
      <c r="M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c r="I1054" t="inlineStr">
        <is>
          <t>Family's Own Choice</t>
        </is>
      </c>
      <c r="J1054" t="b">
        <v>0</v>
      </c>
      <c r="K1054" t="n">
        <v>2</v>
      </c>
      <c r="L1054" t="inlineStr"/>
      <c r="M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c r="I1055" t="inlineStr">
        <is>
          <t>Family's Own Choice</t>
        </is>
      </c>
      <c r="J1055" t="b">
        <v>0</v>
      </c>
      <c r="K1055" t="n">
        <v>1</v>
      </c>
      <c r="L1055" t="inlineStr"/>
      <c r="M1055" t="inlineStr"/>
    </row>
    <row r="1056">
      <c r="A1056" t="inlineStr">
        <is>
          <t>Yes</t>
        </is>
      </c>
      <c r="B1056" t="inlineStr"/>
      <c r="C1056" t="inlineStr"/>
      <c r="D1056" t="inlineStr"/>
      <c r="E1056" t="inlineStr"/>
      <c r="F1056" t="inlineStr"/>
      <c r="G1056" t="inlineStr"/>
      <c r="H1056" t="inlineStr"/>
      <c r="I1056" t="inlineStr"/>
      <c r="J1056" t="b">
        <v>0</v>
      </c>
      <c r="K1056" t="n">
        <v>0</v>
      </c>
      <c r="L1056" t="inlineStr"/>
      <c r="M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c r="I1057" t="inlineStr">
        <is>
          <t>HXP Can Influence</t>
        </is>
      </c>
      <c r="J1057" t="b">
        <v>0</v>
      </c>
      <c r="K1057" t="n">
        <v>2</v>
      </c>
      <c r="L1057" t="inlineStr"/>
      <c r="M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c r="I1058" t="inlineStr"/>
      <c r="J1058" t="b">
        <v>0</v>
      </c>
      <c r="K1058" t="n">
        <v>0</v>
      </c>
      <c r="L1058" t="inlineStr"/>
      <c r="M1058" t="inlineStr"/>
    </row>
    <row r="1059">
      <c r="A1059" t="inlineStr">
        <is>
          <t>No</t>
        </is>
      </c>
      <c r="B1059" t="inlineStr"/>
      <c r="C1059" t="inlineStr"/>
      <c r="D1059" t="inlineStr"/>
      <c r="E1059" t="inlineStr"/>
      <c r="F1059" t="inlineStr"/>
      <c r="G1059" t="inlineStr"/>
      <c r="H1059" t="inlineStr"/>
      <c r="I1059" t="inlineStr"/>
      <c r="J1059" t="b">
        <v>0</v>
      </c>
      <c r="K1059" t="n">
        <v>0</v>
      </c>
      <c r="L1059" t="inlineStr"/>
      <c r="M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c r="I1060" t="inlineStr">
        <is>
          <t>Family's Own Choice</t>
        </is>
      </c>
      <c r="J1060" t="b">
        <v>0</v>
      </c>
      <c r="K1060" t="n">
        <v>1</v>
      </c>
      <c r="L1060" t="inlineStr"/>
      <c r="M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c r="I1061" t="inlineStr">
        <is>
          <t>Family's Own Choice</t>
        </is>
      </c>
      <c r="J1061" t="b">
        <v>0</v>
      </c>
      <c r="K1061" t="n">
        <v>2</v>
      </c>
      <c r="L1061" t="inlineStr"/>
      <c r="M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c r="I1062" t="inlineStr"/>
      <c r="J1062" t="b">
        <v>0</v>
      </c>
      <c r="K1062" t="n">
        <v>0</v>
      </c>
      <c r="L1062" t="inlineStr"/>
      <c r="M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c r="I1063" t="inlineStr">
        <is>
          <t>Family's Own Choice</t>
        </is>
      </c>
      <c r="J1063" t="b">
        <v>0</v>
      </c>
      <c r="K1063" t="n">
        <v>1</v>
      </c>
      <c r="L1063" t="inlineStr"/>
      <c r="M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c r="I1064" t="inlineStr"/>
      <c r="J1064" t="b">
        <v>0</v>
      </c>
      <c r="K1064" t="n">
        <v>0</v>
      </c>
      <c r="L1064" t="inlineStr"/>
      <c r="M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c r="I1065" t="inlineStr">
        <is>
          <t>HXP Can Directly Fix</t>
        </is>
      </c>
      <c r="J1065" t="b">
        <v>0</v>
      </c>
      <c r="K1065" t="n">
        <v>2</v>
      </c>
      <c r="L1065" t="inlineStr"/>
      <c r="M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c r="I1066" t="inlineStr">
        <is>
          <t>Family's Own Choice</t>
        </is>
      </c>
      <c r="J1066" t="b">
        <v>0</v>
      </c>
      <c r="K1066" t="n">
        <v>1</v>
      </c>
      <c r="L1066" t="inlineStr"/>
      <c r="M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c r="I1067" t="inlineStr">
        <is>
          <t>Family's Own Choice</t>
        </is>
      </c>
      <c r="J1067" t="b">
        <v>0</v>
      </c>
      <c r="K1067" t="n">
        <v>1</v>
      </c>
      <c r="L1067" t="inlineStr"/>
      <c r="M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c r="I1068" t="inlineStr">
        <is>
          <t>HXP Can Directly Fix</t>
        </is>
      </c>
      <c r="J1068" t="b">
        <v>0</v>
      </c>
      <c r="K1068" t="n">
        <v>2</v>
      </c>
      <c r="L1068" t="inlineStr"/>
      <c r="M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c r="I1069" t="inlineStr">
        <is>
          <t>HXP Can Influence</t>
        </is>
      </c>
      <c r="J1069" t="b">
        <v>0</v>
      </c>
      <c r="K1069" t="n">
        <v>1</v>
      </c>
      <c r="L1069" t="inlineStr"/>
      <c r="M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c r="I1070" t="inlineStr">
        <is>
          <t>HXP Can Directly Fix</t>
        </is>
      </c>
      <c r="J1070" t="b">
        <v>0</v>
      </c>
      <c r="K1070" t="n">
        <v>1</v>
      </c>
      <c r="L1070" t="inlineStr"/>
      <c r="M1070" t="inlineStr"/>
    </row>
    <row r="1071">
      <c r="A1071" t="inlineStr">
        <is>
          <t>No</t>
        </is>
      </c>
      <c r="B1071" t="inlineStr"/>
      <c r="C1071" t="inlineStr"/>
      <c r="D1071" t="inlineStr"/>
      <c r="E1071" t="inlineStr">
        <is>
          <t>expense</t>
        </is>
      </c>
      <c r="F1071" t="inlineStr">
        <is>
          <t>Cost / Finances</t>
        </is>
      </c>
      <c r="G1071" t="inlineStr">
        <is>
          <t>Cost / Finances</t>
        </is>
      </c>
      <c r="H1071" t="inlineStr"/>
      <c r="I1071" t="inlineStr">
        <is>
          <t>HXP Can Directly Fix</t>
        </is>
      </c>
      <c r="J1071" t="b">
        <v>0</v>
      </c>
      <c r="K1071" t="n">
        <v>1</v>
      </c>
      <c r="L1071" t="inlineStr"/>
      <c r="M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c r="I1072" t="inlineStr"/>
      <c r="J1072" t="b">
        <v>0</v>
      </c>
      <c r="K1072" t="n">
        <v>0</v>
      </c>
      <c r="L1072" t="inlineStr"/>
      <c r="M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c r="I1073" t="inlineStr">
        <is>
          <t>Family's Own Choice</t>
        </is>
      </c>
      <c r="J1073" t="b">
        <v>0</v>
      </c>
      <c r="K1073" t="n">
        <v>1</v>
      </c>
      <c r="L1073" t="inlineStr"/>
      <c r="M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c r="I1074" t="inlineStr"/>
      <c r="J1074" t="b">
        <v>0</v>
      </c>
      <c r="K1074" t="n">
        <v>0</v>
      </c>
      <c r="L1074" t="inlineStr"/>
      <c r="M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c r="I1075" t="inlineStr">
        <is>
          <t>Family's Own Choice</t>
        </is>
      </c>
      <c r="J1075" t="b">
        <v>0</v>
      </c>
      <c r="K1075" t="n">
        <v>1</v>
      </c>
      <c r="L1075" t="inlineStr"/>
      <c r="M1075" t="inlineStr"/>
    </row>
    <row r="1076">
      <c r="A1076" t="inlineStr">
        <is>
          <t>No</t>
        </is>
      </c>
      <c r="B1076" t="inlineStr"/>
      <c r="C1076" t="inlineStr"/>
      <c r="D1076" t="inlineStr"/>
      <c r="E1076" t="inlineStr"/>
      <c r="F1076" t="inlineStr"/>
      <c r="G1076" t="inlineStr"/>
      <c r="H1076" t="inlineStr"/>
      <c r="I1076" t="inlineStr"/>
      <c r="J1076" t="b">
        <v>0</v>
      </c>
      <c r="K1076" t="n">
        <v>0</v>
      </c>
      <c r="L1076" t="inlineStr"/>
      <c r="M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c r="I1077" t="inlineStr">
        <is>
          <t>Family's Own Choice</t>
        </is>
      </c>
      <c r="J1077" t="b">
        <v>0</v>
      </c>
      <c r="K1077" t="n">
        <v>1</v>
      </c>
      <c r="L1077" t="inlineStr"/>
      <c r="M1077" t="inlineStr"/>
    </row>
    <row r="1078">
      <c r="A1078" t="inlineStr">
        <is>
          <t>No</t>
        </is>
      </c>
      <c r="B1078" t="inlineStr"/>
      <c r="C1078" t="inlineStr"/>
      <c r="D1078" t="inlineStr"/>
      <c r="E1078" t="inlineStr"/>
      <c r="F1078" t="inlineStr"/>
      <c r="G1078" t="inlineStr"/>
      <c r="H1078" t="inlineStr"/>
      <c r="I1078" t="inlineStr"/>
      <c r="J1078" t="b">
        <v>0</v>
      </c>
      <c r="K1078" t="n">
        <v>0</v>
      </c>
      <c r="L1078" t="inlineStr"/>
      <c r="M1078" t="inlineStr"/>
    </row>
    <row r="1079">
      <c r="A1079" t="inlineStr">
        <is>
          <t>No</t>
        </is>
      </c>
      <c r="B1079" t="inlineStr"/>
      <c r="C1079" t="inlineStr"/>
      <c r="D1079" t="inlineStr"/>
      <c r="E1079" t="inlineStr">
        <is>
          <t>Worried that my daughter wouldn't participate as much if I was there</t>
        </is>
      </c>
      <c r="F1079" t="inlineStr">
        <is>
          <t>Wants Child to Have Independent Experience</t>
        </is>
      </c>
      <c r="G1079" t="inlineStr">
        <is>
          <t>Wants Child to Have Independent Experience</t>
        </is>
      </c>
      <c r="H1079" t="inlineStr"/>
      <c r="I1079" t="inlineStr">
        <is>
          <t>Family's Own Choice</t>
        </is>
      </c>
      <c r="J1079" t="b">
        <v>0</v>
      </c>
      <c r="K1079" t="n">
        <v>1</v>
      </c>
      <c r="L1079" t="inlineStr"/>
      <c r="M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c r="I1080" t="inlineStr">
        <is>
          <t>Family's Own Choice</t>
        </is>
      </c>
      <c r="J1080" t="b">
        <v>0</v>
      </c>
      <c r="K1080" t="n">
        <v>1</v>
      </c>
      <c r="L1080" t="inlineStr"/>
      <c r="M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c r="I1081" t="inlineStr">
        <is>
          <t>Family's Own Choice</t>
        </is>
      </c>
      <c r="J1081" t="b">
        <v>0</v>
      </c>
      <c r="K1081" t="n">
        <v>1</v>
      </c>
      <c r="L1081" t="inlineStr"/>
      <c r="M1081" t="inlineStr"/>
    </row>
    <row r="1082">
      <c r="A1082" t="inlineStr">
        <is>
          <t>No</t>
        </is>
      </c>
      <c r="B1082" t="inlineStr"/>
      <c r="C1082" t="inlineStr"/>
      <c r="D1082" t="inlineStr"/>
      <c r="E1082" t="inlineStr"/>
      <c r="F1082" t="inlineStr"/>
      <c r="G1082" t="inlineStr"/>
      <c r="H1082" t="inlineStr"/>
      <c r="I1082" t="inlineStr"/>
      <c r="J1082" t="b">
        <v>0</v>
      </c>
      <c r="K1082" t="n">
        <v>0</v>
      </c>
      <c r="L1082" t="inlineStr"/>
      <c r="M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c r="I1083" t="inlineStr">
        <is>
          <t>HXP Can Influence</t>
        </is>
      </c>
      <c r="J1083" t="b">
        <v>0</v>
      </c>
      <c r="K1083" t="n">
        <v>1</v>
      </c>
      <c r="L1083" t="inlineStr"/>
      <c r="M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c r="I1084" t="inlineStr">
        <is>
          <t>HXP Can Directly Fix</t>
        </is>
      </c>
      <c r="J1084" t="b">
        <v>0</v>
      </c>
      <c r="K1084" t="n">
        <v>2</v>
      </c>
      <c r="L1084" t="inlineStr"/>
      <c r="M1084" t="inlineStr"/>
    </row>
    <row r="1085">
      <c r="A1085" t="inlineStr">
        <is>
          <t>No</t>
        </is>
      </c>
      <c r="B1085" t="inlineStr"/>
      <c r="C1085" t="inlineStr"/>
      <c r="D1085" t="inlineStr"/>
      <c r="E1085" t="inlineStr">
        <is>
          <t>Price</t>
        </is>
      </c>
      <c r="F1085" t="inlineStr">
        <is>
          <t>Cost / Finances</t>
        </is>
      </c>
      <c r="G1085" t="inlineStr">
        <is>
          <t>Cost / Finances</t>
        </is>
      </c>
      <c r="H1085" t="inlineStr"/>
      <c r="I1085" t="inlineStr">
        <is>
          <t>HXP Can Directly Fix</t>
        </is>
      </c>
      <c r="J1085" t="b">
        <v>0</v>
      </c>
      <c r="K1085" t="n">
        <v>1</v>
      </c>
      <c r="L1085" t="inlineStr"/>
      <c r="M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c r="I1086" t="inlineStr"/>
      <c r="J1086" t="b">
        <v>0</v>
      </c>
      <c r="K1086" t="n">
        <v>0</v>
      </c>
      <c r="L1086" t="inlineStr"/>
      <c r="M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c r="I1087" t="inlineStr">
        <is>
          <t>HXP Can Directly Fix</t>
        </is>
      </c>
      <c r="J1087" t="b">
        <v>0</v>
      </c>
      <c r="K1087" t="n">
        <v>3</v>
      </c>
      <c r="L1087" t="inlineStr"/>
      <c r="M1087" t="inlineStr"/>
    </row>
    <row r="1088">
      <c r="A1088" t="inlineStr">
        <is>
          <t>No</t>
        </is>
      </c>
      <c r="B1088" t="inlineStr"/>
      <c r="C1088" t="inlineStr"/>
      <c r="D1088" t="inlineStr"/>
      <c r="E1088" t="inlineStr">
        <is>
          <t>Cost</t>
        </is>
      </c>
      <c r="F1088" t="inlineStr">
        <is>
          <t>Cost / Finances</t>
        </is>
      </c>
      <c r="G1088" t="inlineStr">
        <is>
          <t>Cost / Finances</t>
        </is>
      </c>
      <c r="H1088" t="inlineStr"/>
      <c r="I1088" t="inlineStr">
        <is>
          <t>HXP Can Directly Fix</t>
        </is>
      </c>
      <c r="J1088" t="b">
        <v>0</v>
      </c>
      <c r="K1088" t="n">
        <v>1</v>
      </c>
      <c r="L1088" t="inlineStr"/>
      <c r="M1088" t="inlineStr"/>
    </row>
    <row r="1089">
      <c r="A1089" t="inlineStr">
        <is>
          <t>No</t>
        </is>
      </c>
      <c r="B1089" t="inlineStr"/>
      <c r="C1089" t="inlineStr"/>
      <c r="D1089" t="inlineStr"/>
      <c r="E1089" t="inlineStr"/>
      <c r="F1089" t="inlineStr"/>
      <c r="G1089" t="inlineStr"/>
      <c r="H1089" t="inlineStr"/>
      <c r="I1089" t="inlineStr"/>
      <c r="J1089" t="b">
        <v>0</v>
      </c>
      <c r="K1089" t="n">
        <v>0</v>
      </c>
      <c r="L1089" t="inlineStr"/>
      <c r="M1089" t="inlineStr"/>
    </row>
    <row r="1090">
      <c r="A1090" t="inlineStr">
        <is>
          <t>No</t>
        </is>
      </c>
      <c r="B1090" t="inlineStr"/>
      <c r="C1090" t="inlineStr"/>
      <c r="D1090" t="inlineStr"/>
      <c r="E1090" t="inlineStr"/>
      <c r="F1090" t="inlineStr"/>
      <c r="G1090" t="inlineStr"/>
      <c r="H1090" t="inlineStr"/>
      <c r="I1090" t="inlineStr"/>
      <c r="J1090" t="b">
        <v>0</v>
      </c>
      <c r="K1090" t="n">
        <v>0</v>
      </c>
      <c r="L1090" t="inlineStr"/>
      <c r="M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c r="I1091" t="inlineStr">
        <is>
          <t>Family's Own Choice</t>
        </is>
      </c>
      <c r="J1091" t="b">
        <v>1</v>
      </c>
      <c r="K1091" t="n">
        <v>1</v>
      </c>
      <c r="L1091" t="inlineStr"/>
      <c r="M1091" t="inlineStr"/>
    </row>
    <row r="1092">
      <c r="A1092" t="inlineStr">
        <is>
          <t>No</t>
        </is>
      </c>
      <c r="B1092" t="inlineStr"/>
      <c r="C1092" t="inlineStr"/>
      <c r="D1092" t="inlineStr"/>
      <c r="E1092" t="inlineStr"/>
      <c r="F1092" t="inlineStr"/>
      <c r="G1092" t="inlineStr"/>
      <c r="H1092" t="inlineStr"/>
      <c r="I1092" t="inlineStr"/>
      <c r="J1092" t="b">
        <v>0</v>
      </c>
      <c r="K1092" t="n">
        <v>0</v>
      </c>
      <c r="L1092" t="inlineStr"/>
      <c r="M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c r="I1093" t="inlineStr">
        <is>
          <t>HXP Can Directly Fix</t>
        </is>
      </c>
      <c r="J1093" t="b">
        <v>1</v>
      </c>
      <c r="K1093" t="n">
        <v>1</v>
      </c>
      <c r="L1093" t="inlineStr"/>
      <c r="M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c r="I1094" t="inlineStr">
        <is>
          <t>Family's Own Choice</t>
        </is>
      </c>
      <c r="J1094" t="b">
        <v>0</v>
      </c>
      <c r="K1094" t="n">
        <v>1</v>
      </c>
      <c r="L1094" t="inlineStr"/>
      <c r="M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c r="I1095" t="inlineStr">
        <is>
          <t>HXP Can Directly Fix</t>
        </is>
      </c>
      <c r="J1095" t="b">
        <v>0</v>
      </c>
      <c r="K1095" t="n">
        <v>2</v>
      </c>
      <c r="L1095" t="inlineStr"/>
      <c r="M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c r="I1096" t="inlineStr"/>
      <c r="J1096" t="b">
        <v>0</v>
      </c>
      <c r="K1096" t="n">
        <v>0</v>
      </c>
      <c r="L1096" t="inlineStr"/>
      <c r="M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c r="I1097" t="inlineStr">
        <is>
          <t>HXP Can Directly Fix</t>
        </is>
      </c>
      <c r="J1097" t="b">
        <v>0</v>
      </c>
      <c r="K1097" t="n">
        <v>3</v>
      </c>
      <c r="L1097" t="inlineStr"/>
      <c r="M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c r="I1098" t="inlineStr">
        <is>
          <t>Family's Own Choice</t>
        </is>
      </c>
      <c r="J1098" t="b">
        <v>0</v>
      </c>
      <c r="K1098" t="n">
        <v>1</v>
      </c>
      <c r="L1098" t="inlineStr"/>
      <c r="M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c r="I1099" t="inlineStr">
        <is>
          <t>Family's Own Choice</t>
        </is>
      </c>
      <c r="J1099" t="b">
        <v>0</v>
      </c>
      <c r="K1099" t="n">
        <v>2</v>
      </c>
      <c r="L1099" t="inlineStr"/>
      <c r="M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c r="I1100" t="inlineStr">
        <is>
          <t>Family's Own Choice</t>
        </is>
      </c>
      <c r="J1100" t="b">
        <v>0</v>
      </c>
      <c r="K1100" t="n">
        <v>1</v>
      </c>
      <c r="L1100" t="inlineStr"/>
      <c r="M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c r="I1101" t="inlineStr">
        <is>
          <t>HXP Can Influence</t>
        </is>
      </c>
      <c r="J1101" t="b">
        <v>0</v>
      </c>
      <c r="K1101" t="n">
        <v>2</v>
      </c>
      <c r="L1101" t="inlineStr"/>
      <c r="M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c r="I1102" t="inlineStr">
        <is>
          <t>Family's Own Choice</t>
        </is>
      </c>
      <c r="J1102" t="b">
        <v>0</v>
      </c>
      <c r="K1102" t="n">
        <v>1</v>
      </c>
      <c r="L1102" t="inlineStr"/>
      <c r="M1102" t="inlineStr"/>
    </row>
    <row r="1103">
      <c r="A1103" t="inlineStr">
        <is>
          <t>No</t>
        </is>
      </c>
      <c r="B1103" t="inlineStr"/>
      <c r="C1103" t="inlineStr"/>
      <c r="D1103" t="inlineStr"/>
      <c r="E1103" t="inlineStr">
        <is>
          <t>Cost</t>
        </is>
      </c>
      <c r="F1103" t="inlineStr">
        <is>
          <t>Cost / Finances</t>
        </is>
      </c>
      <c r="G1103" t="inlineStr">
        <is>
          <t>Cost / Finances</t>
        </is>
      </c>
      <c r="H1103" t="inlineStr"/>
      <c r="I1103" t="inlineStr">
        <is>
          <t>HXP Can Directly Fix</t>
        </is>
      </c>
      <c r="J1103" t="b">
        <v>0</v>
      </c>
      <c r="K1103" t="n">
        <v>1</v>
      </c>
      <c r="L1103" t="inlineStr"/>
      <c r="M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c r="I1104" t="inlineStr">
        <is>
          <t>HXP Can Directly Fix</t>
        </is>
      </c>
      <c r="J1104" t="b">
        <v>0</v>
      </c>
      <c r="K1104" t="n">
        <v>2</v>
      </c>
      <c r="L1104" t="inlineStr"/>
      <c r="M1104" t="inlineStr"/>
    </row>
    <row r="1105">
      <c r="A1105" t="inlineStr">
        <is>
          <t>Yes</t>
        </is>
      </c>
      <c r="B1105" t="inlineStr">
        <is>
          <t>Ensuring a spot for my son</t>
        </is>
      </c>
      <c r="C1105" t="inlineStr">
        <is>
          <t>Securing/Ensuring Child's Spot (Registration Timing)</t>
        </is>
      </c>
      <c r="D1105" t="inlineStr">
        <is>
          <t>Securing/Ensuring Child's Spot (Registration Timing)</t>
        </is>
      </c>
      <c r="E1105" t="inlineStr"/>
      <c r="F1105" t="inlineStr"/>
      <c r="G1105" t="inlineStr"/>
      <c r="H1105" t="inlineStr"/>
      <c r="I1105" t="inlineStr"/>
      <c r="J1105" t="b">
        <v>0</v>
      </c>
      <c r="K1105" t="n">
        <v>0</v>
      </c>
      <c r="L1105" t="inlineStr"/>
      <c r="M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c r="I1106" t="inlineStr">
        <is>
          <t>HXP Can Directly Fix</t>
        </is>
      </c>
      <c r="J1106" t="b">
        <v>0</v>
      </c>
      <c r="K1106" t="n">
        <v>1</v>
      </c>
      <c r="L1106" t="inlineStr"/>
      <c r="M1106" t="inlineStr"/>
    </row>
    <row r="1107">
      <c r="A1107" t="inlineStr">
        <is>
          <t>No</t>
        </is>
      </c>
      <c r="B1107" t="inlineStr"/>
      <c r="C1107" t="inlineStr"/>
      <c r="D1107" t="inlineStr"/>
      <c r="E1107" t="inlineStr"/>
      <c r="F1107" t="inlineStr"/>
      <c r="G1107" t="inlineStr"/>
      <c r="H1107" t="inlineStr"/>
      <c r="I1107" t="inlineStr"/>
      <c r="J1107" t="b">
        <v>0</v>
      </c>
      <c r="K1107" t="n">
        <v>0</v>
      </c>
      <c r="L1107" t="inlineStr"/>
      <c r="M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c r="I1108" t="inlineStr">
        <is>
          <t>HXP Can Influence</t>
        </is>
      </c>
      <c r="J1108" t="b">
        <v>0</v>
      </c>
      <c r="K1108" t="n">
        <v>1</v>
      </c>
      <c r="L1108" t="inlineStr"/>
      <c r="M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c r="I1109" t="inlineStr">
        <is>
          <t>HXP Can Influence</t>
        </is>
      </c>
      <c r="J1109" t="b">
        <v>0</v>
      </c>
      <c r="K1109" t="n">
        <v>1</v>
      </c>
      <c r="L1109" t="inlineStr"/>
      <c r="M1109" t="inlineStr"/>
    </row>
    <row r="1110">
      <c r="A1110" t="inlineStr">
        <is>
          <t>No</t>
        </is>
      </c>
      <c r="B1110" t="inlineStr"/>
      <c r="C1110" t="inlineStr"/>
      <c r="D1110" t="inlineStr"/>
      <c r="E1110" t="inlineStr">
        <is>
          <t>Cost</t>
        </is>
      </c>
      <c r="F1110" t="inlineStr">
        <is>
          <t>Cost / Finances</t>
        </is>
      </c>
      <c r="G1110" t="inlineStr">
        <is>
          <t>Cost / Finances</t>
        </is>
      </c>
      <c r="H1110" t="inlineStr"/>
      <c r="I1110" t="inlineStr">
        <is>
          <t>HXP Can Directly Fix</t>
        </is>
      </c>
      <c r="J1110" t="b">
        <v>0</v>
      </c>
      <c r="K1110" t="n">
        <v>1</v>
      </c>
      <c r="L1110" t="inlineStr"/>
      <c r="M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c r="I1111" t="inlineStr">
        <is>
          <t>HXP Can Directly Fix</t>
        </is>
      </c>
      <c r="J1111" t="b">
        <v>0</v>
      </c>
      <c r="K1111" t="n">
        <v>2</v>
      </c>
      <c r="L1111" t="inlineStr"/>
      <c r="M1111" t="inlineStr"/>
    </row>
    <row r="1112">
      <c r="A1112" t="inlineStr">
        <is>
          <t>Maybe</t>
        </is>
      </c>
      <c r="B1112" t="inlineStr"/>
      <c r="C1112" t="inlineStr"/>
      <c r="D1112" t="inlineStr"/>
      <c r="E1112" t="inlineStr"/>
      <c r="F1112" t="inlineStr"/>
      <c r="G1112" t="inlineStr"/>
      <c r="H1112" t="inlineStr"/>
      <c r="I1112" t="inlineStr"/>
      <c r="J1112" t="b">
        <v>0</v>
      </c>
      <c r="K1112" t="n">
        <v>0</v>
      </c>
      <c r="L1112" t="inlineStr"/>
      <c r="M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c r="I1113" t="inlineStr">
        <is>
          <t>HXP Can Influence</t>
        </is>
      </c>
      <c r="J1113" t="b">
        <v>0</v>
      </c>
      <c r="K1113" t="n">
        <v>2</v>
      </c>
      <c r="L1113" t="inlineStr"/>
      <c r="M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c r="I1114" t="inlineStr"/>
      <c r="J1114" t="b">
        <v>0</v>
      </c>
      <c r="K1114" t="n">
        <v>0</v>
      </c>
      <c r="L1114" t="inlineStr"/>
      <c r="M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c r="I1115" t="inlineStr"/>
      <c r="J1115" t="b">
        <v>0</v>
      </c>
      <c r="K1115" t="n">
        <v>0</v>
      </c>
      <c r="L1115" t="inlineStr"/>
      <c r="M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c r="I1116" t="inlineStr">
        <is>
          <t>HXP Can Influence</t>
        </is>
      </c>
      <c r="J1116" t="b">
        <v>0</v>
      </c>
      <c r="K1116" t="n">
        <v>1</v>
      </c>
      <c r="L1116" t="inlineStr"/>
      <c r="M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c r="I1117" t="inlineStr">
        <is>
          <t>Family's Own Choice</t>
        </is>
      </c>
      <c r="J1117" t="b">
        <v>0</v>
      </c>
      <c r="K1117" t="n">
        <v>1</v>
      </c>
      <c r="L1117" t="inlineStr"/>
      <c r="M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c r="I1118" t="inlineStr">
        <is>
          <t>Family's Own Choice</t>
        </is>
      </c>
      <c r="J1118" t="b">
        <v>0</v>
      </c>
      <c r="K1118" t="n">
        <v>1</v>
      </c>
      <c r="L1118" t="inlineStr"/>
      <c r="M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c r="I1119" t="inlineStr">
        <is>
          <t>Family's Own Choice</t>
        </is>
      </c>
      <c r="J1119" t="b">
        <v>0</v>
      </c>
      <c r="K1119" t="n">
        <v>1</v>
      </c>
      <c r="L1119" t="inlineStr"/>
      <c r="M1119" t="inlineStr"/>
    </row>
    <row r="1120">
      <c r="A1120" t="inlineStr">
        <is>
          <t>No</t>
        </is>
      </c>
      <c r="B1120" t="inlineStr"/>
      <c r="C1120" t="inlineStr"/>
      <c r="D1120" t="inlineStr"/>
      <c r="E1120" t="inlineStr">
        <is>
          <t>My son told me he thought he would reach out more if I wasn't there. I would love to go in the future!</t>
        </is>
      </c>
      <c r="F1120" t="inlineStr">
        <is>
          <t>Wants Child to Have Independent Experience</t>
        </is>
      </c>
      <c r="G1120" t="inlineStr">
        <is>
          <t>Wants Child to Have Independent Experience</t>
        </is>
      </c>
      <c r="H1120" t="inlineStr"/>
      <c r="I1120" t="inlineStr">
        <is>
          <t>Family's Own Choice</t>
        </is>
      </c>
      <c r="J1120" t="b">
        <v>1</v>
      </c>
      <c r="K1120" t="n">
        <v>1</v>
      </c>
      <c r="L1120" t="inlineStr"/>
      <c r="M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c r="I1121" t="inlineStr">
        <is>
          <t>Family's Own Choice</t>
        </is>
      </c>
      <c r="J1121" t="b">
        <v>0</v>
      </c>
      <c r="K1121" t="n">
        <v>2</v>
      </c>
      <c r="L1121" t="inlineStr"/>
      <c r="M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c r="I1122" t="inlineStr">
        <is>
          <t>HXP Can Directly Fix</t>
        </is>
      </c>
      <c r="J1122" t="b">
        <v>0</v>
      </c>
      <c r="K1122" t="n">
        <v>2</v>
      </c>
      <c r="L1122" t="inlineStr"/>
      <c r="M1122" t="inlineStr"/>
    </row>
    <row r="1123">
      <c r="A1123" t="inlineStr">
        <is>
          <t>No</t>
        </is>
      </c>
      <c r="B1123" t="inlineStr"/>
      <c r="C1123" t="inlineStr"/>
      <c r="D1123" t="inlineStr"/>
      <c r="E1123" t="inlineStr">
        <is>
          <t>Can't afford it</t>
        </is>
      </c>
      <c r="F1123" t="inlineStr">
        <is>
          <t>Cost / Finances</t>
        </is>
      </c>
      <c r="G1123" t="inlineStr">
        <is>
          <t>Cost / Finances</t>
        </is>
      </c>
      <c r="H1123" t="inlineStr"/>
      <c r="I1123" t="inlineStr">
        <is>
          <t>HXP Can Directly Fix</t>
        </is>
      </c>
      <c r="J1123" t="b">
        <v>0</v>
      </c>
      <c r="K1123" t="n">
        <v>1</v>
      </c>
      <c r="L1123" t="inlineStr"/>
      <c r="M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c r="I1124" t="inlineStr">
        <is>
          <t>HXP Can Influence</t>
        </is>
      </c>
      <c r="J1124" t="b">
        <v>0</v>
      </c>
      <c r="K1124" t="n">
        <v>1</v>
      </c>
      <c r="L1124" t="inlineStr"/>
      <c r="M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c r="I1125" t="inlineStr">
        <is>
          <t>Family's Own Choice</t>
        </is>
      </c>
      <c r="J1125" t="b">
        <v>0</v>
      </c>
      <c r="K1125" t="n">
        <v>1</v>
      </c>
      <c r="L1125" t="inlineStr"/>
      <c r="M1125" t="inlineStr"/>
    </row>
    <row r="1126">
      <c r="A1126" t="inlineStr">
        <is>
          <t>No</t>
        </is>
      </c>
      <c r="B1126" t="inlineStr"/>
      <c r="C1126" t="inlineStr"/>
      <c r="D1126" t="inlineStr"/>
      <c r="E1126" t="inlineStr">
        <is>
          <t>I went 2 years ago</t>
        </is>
      </c>
      <c r="F1126" t="inlineStr">
        <is>
          <t>Other / Uncategorized</t>
        </is>
      </c>
      <c r="G1126" t="inlineStr"/>
      <c r="H1126" t="inlineStr"/>
      <c r="I1126" t="inlineStr">
        <is>
          <t>Unknown</t>
        </is>
      </c>
      <c r="J1126" t="b">
        <v>0</v>
      </c>
      <c r="K1126" t="n">
        <v>0</v>
      </c>
      <c r="L1126" t="inlineStr"/>
      <c r="M1126" t="inlineStr"/>
    </row>
    <row r="1127">
      <c r="A1127" t="inlineStr">
        <is>
          <t>No</t>
        </is>
      </c>
      <c r="B1127" t="inlineStr"/>
      <c r="C1127" t="inlineStr"/>
      <c r="D1127" t="inlineStr"/>
      <c r="E1127" t="inlineStr">
        <is>
          <t>Cost</t>
        </is>
      </c>
      <c r="F1127" t="inlineStr">
        <is>
          <t>Cost / Finances</t>
        </is>
      </c>
      <c r="G1127" t="inlineStr">
        <is>
          <t>Cost / Finances</t>
        </is>
      </c>
      <c r="H1127" t="inlineStr"/>
      <c r="I1127" t="inlineStr">
        <is>
          <t>HXP Can Directly Fix</t>
        </is>
      </c>
      <c r="J1127" t="b">
        <v>0</v>
      </c>
      <c r="K1127" t="n">
        <v>1</v>
      </c>
      <c r="L1127" t="inlineStr"/>
      <c r="M1127" t="inlineStr"/>
    </row>
    <row r="1128">
      <c r="A1128" t="inlineStr">
        <is>
          <t>No</t>
        </is>
      </c>
      <c r="B1128" t="inlineStr"/>
      <c r="C1128" t="inlineStr"/>
      <c r="D1128" t="inlineStr"/>
      <c r="E1128" t="inlineStr">
        <is>
          <t>Cost</t>
        </is>
      </c>
      <c r="F1128" t="inlineStr">
        <is>
          <t>Cost / Finances</t>
        </is>
      </c>
      <c r="G1128" t="inlineStr">
        <is>
          <t>Cost / Finances</t>
        </is>
      </c>
      <c r="H1128" t="inlineStr"/>
      <c r="I1128" t="inlineStr">
        <is>
          <t>HXP Can Directly Fix</t>
        </is>
      </c>
      <c r="J1128" t="b">
        <v>0</v>
      </c>
      <c r="K1128" t="n">
        <v>1</v>
      </c>
      <c r="L1128" t="inlineStr"/>
      <c r="M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c r="I1129" t="inlineStr">
        <is>
          <t>Family's Own Choice</t>
        </is>
      </c>
      <c r="J1129" t="b">
        <v>0</v>
      </c>
      <c r="K1129" t="n">
        <v>1</v>
      </c>
      <c r="L1129" t="inlineStr"/>
      <c r="M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c r="I1130" t="inlineStr">
        <is>
          <t>HXP Can Directly Fix</t>
        </is>
      </c>
      <c r="J1130" t="b">
        <v>0</v>
      </c>
      <c r="K1130" t="n">
        <v>2</v>
      </c>
      <c r="L1130" t="inlineStr"/>
      <c r="M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c r="I1131" t="inlineStr">
        <is>
          <t>HXP Can Influence</t>
        </is>
      </c>
      <c r="J1131" t="b">
        <v>0</v>
      </c>
      <c r="K1131" t="n">
        <v>1</v>
      </c>
      <c r="L1131" t="inlineStr"/>
      <c r="M1131" t="inlineStr"/>
    </row>
    <row r="1132">
      <c r="A1132" t="inlineStr">
        <is>
          <t>No</t>
        </is>
      </c>
      <c r="B1132" t="inlineStr"/>
      <c r="C1132" t="inlineStr"/>
      <c r="D1132" t="inlineStr"/>
      <c r="E1132" t="inlineStr"/>
      <c r="F1132" t="inlineStr"/>
      <c r="G1132" t="inlineStr"/>
      <c r="H1132" t="inlineStr"/>
      <c r="I1132" t="inlineStr"/>
      <c r="J1132" t="b">
        <v>0</v>
      </c>
      <c r="K1132" t="n">
        <v>0</v>
      </c>
      <c r="L1132" t="inlineStr"/>
      <c r="M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c r="I1133" t="inlineStr">
        <is>
          <t>HXP Can Directly Fix</t>
        </is>
      </c>
      <c r="J1133" t="b">
        <v>0</v>
      </c>
      <c r="K1133" t="n">
        <v>2</v>
      </c>
      <c r="L1133" t="inlineStr"/>
      <c r="M1133" t="inlineStr"/>
    </row>
    <row r="1134">
      <c r="A1134" t="inlineStr">
        <is>
          <t>No</t>
        </is>
      </c>
      <c r="B1134" t="inlineStr"/>
      <c r="C1134" t="inlineStr"/>
      <c r="D1134" t="inlineStr"/>
      <c r="E1134" t="inlineStr">
        <is>
          <t>Price</t>
        </is>
      </c>
      <c r="F1134" t="inlineStr">
        <is>
          <t>Cost / Finances</t>
        </is>
      </c>
      <c r="G1134" t="inlineStr">
        <is>
          <t>Cost / Finances</t>
        </is>
      </c>
      <c r="H1134" t="inlineStr"/>
      <c r="I1134" t="inlineStr">
        <is>
          <t>HXP Can Directly Fix</t>
        </is>
      </c>
      <c r="J1134" t="b">
        <v>0</v>
      </c>
      <c r="K1134" t="n">
        <v>1</v>
      </c>
      <c r="L1134" t="inlineStr"/>
      <c r="M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c r="I1135" t="inlineStr"/>
      <c r="J1135" t="b">
        <v>0</v>
      </c>
      <c r="K1135" t="n">
        <v>0</v>
      </c>
      <c r="L1135" t="inlineStr">
        <is>
          <t>Time / Scheduling</t>
        </is>
      </c>
      <c r="M1135" t="inlineStr">
        <is>
          <t>Time / Scheduling; Registration / Spot Availability</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c r="I1136" t="inlineStr">
        <is>
          <t>Family's Own Choice</t>
        </is>
      </c>
      <c r="J1136" t="b">
        <v>0</v>
      </c>
      <c r="K1136" t="n">
        <v>1</v>
      </c>
      <c r="L1136" t="inlineStr"/>
      <c r="M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c r="I1137" t="inlineStr">
        <is>
          <t>Family's Own Choice</t>
        </is>
      </c>
      <c r="J1137" t="b">
        <v>0</v>
      </c>
      <c r="K1137" t="n">
        <v>1</v>
      </c>
      <c r="L1137" t="inlineStr"/>
      <c r="M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c r="I1138" t="inlineStr">
        <is>
          <t>Family's Own Choice</t>
        </is>
      </c>
      <c r="J1138" t="b">
        <v>0</v>
      </c>
      <c r="K1138" t="n">
        <v>1</v>
      </c>
      <c r="L1138" t="inlineStr"/>
      <c r="M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c r="I1139" t="inlineStr">
        <is>
          <t>HXP Can Directly Fix</t>
        </is>
      </c>
      <c r="J1139" t="b">
        <v>0</v>
      </c>
      <c r="K1139" t="n">
        <v>2</v>
      </c>
      <c r="L1139" t="inlineStr"/>
      <c r="M1139" t="inlineStr"/>
    </row>
    <row r="1140">
      <c r="A1140" t="inlineStr">
        <is>
          <t>No</t>
        </is>
      </c>
      <c r="B1140" t="inlineStr"/>
      <c r="C1140" t="inlineStr"/>
      <c r="D1140" t="inlineStr"/>
      <c r="E1140" t="inlineStr"/>
      <c r="F1140" t="inlineStr"/>
      <c r="G1140" t="inlineStr"/>
      <c r="H1140" t="inlineStr"/>
      <c r="I1140" t="inlineStr"/>
      <c r="J1140" t="b">
        <v>0</v>
      </c>
      <c r="K1140" t="n">
        <v>0</v>
      </c>
      <c r="L1140" t="inlineStr"/>
      <c r="M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c r="I1141" t="inlineStr"/>
      <c r="J1141" t="b">
        <v>0</v>
      </c>
      <c r="K1141" t="n">
        <v>0</v>
      </c>
      <c r="L1141" t="inlineStr"/>
      <c r="M1141" t="inlineStr"/>
    </row>
    <row r="1142">
      <c r="A1142" t="inlineStr">
        <is>
          <t>No</t>
        </is>
      </c>
      <c r="B1142" t="inlineStr"/>
      <c r="C1142" t="inlineStr"/>
      <c r="D1142" t="inlineStr"/>
      <c r="E1142" t="inlineStr"/>
      <c r="F1142" t="inlineStr"/>
      <c r="G1142" t="inlineStr"/>
      <c r="H1142" t="inlineStr"/>
      <c r="I1142" t="inlineStr"/>
      <c r="J1142" t="b">
        <v>0</v>
      </c>
      <c r="K1142" t="n">
        <v>0</v>
      </c>
      <c r="L1142" t="inlineStr"/>
      <c r="M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c r="I1143" t="inlineStr">
        <is>
          <t>Family's Own Choice</t>
        </is>
      </c>
      <c r="J1143" t="b">
        <v>0</v>
      </c>
      <c r="K1143" t="n">
        <v>1</v>
      </c>
      <c r="L1143" t="inlineStr"/>
      <c r="M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c r="I1144" t="inlineStr">
        <is>
          <t>HXP Can Directly Fix</t>
        </is>
      </c>
      <c r="J1144" t="b">
        <v>0</v>
      </c>
      <c r="K1144" t="n">
        <v>2</v>
      </c>
      <c r="L1144" t="inlineStr"/>
      <c r="M1144" t="inlineStr"/>
    </row>
    <row r="1145">
      <c r="A1145" t="inlineStr">
        <is>
          <t>No</t>
        </is>
      </c>
      <c r="B1145" t="inlineStr"/>
      <c r="C1145" t="inlineStr"/>
      <c r="D1145" t="inlineStr"/>
      <c r="E1145" t="inlineStr">
        <is>
          <t>$$$$$</t>
        </is>
      </c>
      <c r="F1145" t="inlineStr">
        <is>
          <t>Cost / Finances</t>
        </is>
      </c>
      <c r="G1145" t="inlineStr">
        <is>
          <t>Cost / Finances</t>
        </is>
      </c>
      <c r="H1145" t="inlineStr"/>
      <c r="I1145" t="inlineStr">
        <is>
          <t>HXP Can Directly Fix</t>
        </is>
      </c>
      <c r="J1145" t="b">
        <v>0</v>
      </c>
      <c r="K1145" t="n">
        <v>1</v>
      </c>
      <c r="L1145" t="inlineStr"/>
      <c r="M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c r="I1146" t="inlineStr">
        <is>
          <t>HXP Can Directly Fix</t>
        </is>
      </c>
      <c r="J1146" t="b">
        <v>0</v>
      </c>
      <c r="K1146" t="n">
        <v>2</v>
      </c>
      <c r="L1146" t="inlineStr"/>
      <c r="M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c r="I1147" t="inlineStr">
        <is>
          <t>HXP Can Influence</t>
        </is>
      </c>
      <c r="J1147" t="b">
        <v>0</v>
      </c>
      <c r="K1147" t="n">
        <v>2</v>
      </c>
      <c r="L1147" t="inlineStr"/>
      <c r="M1147" t="inlineStr"/>
    </row>
    <row r="1148">
      <c r="A1148" t="inlineStr">
        <is>
          <t>No</t>
        </is>
      </c>
      <c r="B1148" t="inlineStr"/>
      <c r="C1148" t="inlineStr"/>
      <c r="D1148" t="inlineStr"/>
      <c r="E1148" t="inlineStr">
        <is>
          <t>Money</t>
        </is>
      </c>
      <c r="F1148" t="inlineStr">
        <is>
          <t>Cost / Finances</t>
        </is>
      </c>
      <c r="G1148" t="inlineStr">
        <is>
          <t>Cost / Finances</t>
        </is>
      </c>
      <c r="H1148" t="inlineStr"/>
      <c r="I1148" t="inlineStr">
        <is>
          <t>HXP Can Directly Fix</t>
        </is>
      </c>
      <c r="J1148" t="b">
        <v>0</v>
      </c>
      <c r="K1148" t="n">
        <v>1</v>
      </c>
      <c r="L1148" t="inlineStr"/>
      <c r="M1148" t="inlineStr"/>
    </row>
    <row r="1149">
      <c r="A1149" t="inlineStr">
        <is>
          <t>No</t>
        </is>
      </c>
      <c r="B1149" t="inlineStr"/>
      <c r="C1149" t="inlineStr"/>
      <c r="D1149" t="inlineStr"/>
      <c r="E1149" t="inlineStr">
        <is>
          <t>Price</t>
        </is>
      </c>
      <c r="F1149" t="inlineStr">
        <is>
          <t>Cost / Finances</t>
        </is>
      </c>
      <c r="G1149" t="inlineStr">
        <is>
          <t>Cost / Finances</t>
        </is>
      </c>
      <c r="H1149" t="inlineStr"/>
      <c r="I1149" t="inlineStr">
        <is>
          <t>HXP Can Directly Fix</t>
        </is>
      </c>
      <c r="J1149" t="b">
        <v>0</v>
      </c>
      <c r="K1149" t="n">
        <v>1</v>
      </c>
      <c r="L1149" t="inlineStr"/>
      <c r="M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c r="I1150" t="inlineStr">
        <is>
          <t>HXP Can Influence</t>
        </is>
      </c>
      <c r="J1150" t="b">
        <v>0</v>
      </c>
      <c r="K1150" t="n">
        <v>1</v>
      </c>
      <c r="L1150" t="inlineStr"/>
      <c r="M1150" t="inlineStr"/>
    </row>
    <row r="1151">
      <c r="A1151" t="inlineStr">
        <is>
          <t>Maybe</t>
        </is>
      </c>
      <c r="B1151" t="inlineStr"/>
      <c r="C1151" t="inlineStr"/>
      <c r="D1151" t="inlineStr"/>
      <c r="E1151" t="inlineStr"/>
      <c r="F1151" t="inlineStr"/>
      <c r="G1151" t="inlineStr"/>
      <c r="H1151" t="inlineStr">
        <is>
          <t>Having more time to go. We had a super busy summer this year.</t>
        </is>
      </c>
      <c r="I1151" t="inlineStr"/>
      <c r="J1151" t="b">
        <v>0</v>
      </c>
      <c r="K1151" t="n">
        <v>0</v>
      </c>
      <c r="L1151" t="inlineStr">
        <is>
          <t>Time / Scheduling</t>
        </is>
      </c>
      <c r="M1151" t="inlineStr">
        <is>
          <t>Time / Scheduling</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c r="I1152" t="inlineStr">
        <is>
          <t>Family's Own Choice</t>
        </is>
      </c>
      <c r="J1152" t="b">
        <v>0</v>
      </c>
      <c r="K1152" t="n">
        <v>1</v>
      </c>
      <c r="L1152" t="inlineStr"/>
      <c r="M1152" t="inlineStr"/>
    </row>
    <row r="1153">
      <c r="A1153" t="inlineStr">
        <is>
          <t>Yes</t>
        </is>
      </c>
      <c r="B1153" t="inlineStr">
        <is>
          <t>son</t>
        </is>
      </c>
      <c r="C1153" t="inlineStr">
        <is>
          <t>Family Member Asked or Influenced Them to Go</t>
        </is>
      </c>
      <c r="D1153" t="inlineStr">
        <is>
          <t>Family Member Asked or Influenced Them to Go</t>
        </is>
      </c>
      <c r="E1153" t="inlineStr"/>
      <c r="F1153" t="inlineStr"/>
      <c r="G1153" t="inlineStr"/>
      <c r="H1153" t="inlineStr"/>
      <c r="I1153" t="inlineStr"/>
      <c r="J1153" t="b">
        <v>0</v>
      </c>
      <c r="K1153" t="n">
        <v>0</v>
      </c>
      <c r="L1153" t="inlineStr"/>
      <c r="M1153" t="inlineStr"/>
    </row>
    <row r="1154">
      <c r="A1154" t="inlineStr">
        <is>
          <t>No</t>
        </is>
      </c>
      <c r="B1154" t="inlineStr"/>
      <c r="C1154" t="inlineStr"/>
      <c r="D1154" t="inlineStr"/>
      <c r="E1154" t="inlineStr">
        <is>
          <t>Cost</t>
        </is>
      </c>
      <c r="F1154" t="inlineStr">
        <is>
          <t>Cost / Finances</t>
        </is>
      </c>
      <c r="G1154" t="inlineStr">
        <is>
          <t>Cost / Finances</t>
        </is>
      </c>
      <c r="H1154" t="inlineStr"/>
      <c r="I1154" t="inlineStr">
        <is>
          <t>HXP Can Directly Fix</t>
        </is>
      </c>
      <c r="J1154" t="b">
        <v>0</v>
      </c>
      <c r="K1154" t="n">
        <v>1</v>
      </c>
      <c r="L1154" t="inlineStr"/>
      <c r="M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c r="I1155" t="inlineStr"/>
      <c r="J1155" t="b">
        <v>0</v>
      </c>
      <c r="K1155" t="n">
        <v>0</v>
      </c>
      <c r="L1155" t="inlineStr"/>
      <c r="M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c r="I1156" t="inlineStr">
        <is>
          <t>Family's Own Choice</t>
        </is>
      </c>
      <c r="J1156" t="b">
        <v>0</v>
      </c>
      <c r="K1156" t="n">
        <v>1</v>
      </c>
      <c r="L1156" t="inlineStr"/>
      <c r="M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c r="I1157" t="inlineStr"/>
      <c r="J1157" t="b">
        <v>0</v>
      </c>
      <c r="K1157" t="n">
        <v>0</v>
      </c>
      <c r="L1157" t="inlineStr"/>
      <c r="M1157" t="inlineStr"/>
    </row>
    <row r="1158">
      <c r="A1158" t="inlineStr">
        <is>
          <t>Yes</t>
        </is>
      </c>
      <c r="B1158" t="inlineStr">
        <is>
          <t>My daughter really wanted me to go.</t>
        </is>
      </c>
      <c r="C1158" t="inlineStr">
        <is>
          <t>Family Member Asked or Influenced Them to Go</t>
        </is>
      </c>
      <c r="D1158" t="inlineStr">
        <is>
          <t>Family Member Asked or Influenced Them to Go</t>
        </is>
      </c>
      <c r="E1158" t="inlineStr"/>
      <c r="F1158" t="inlineStr"/>
      <c r="G1158" t="inlineStr"/>
      <c r="H1158" t="inlineStr"/>
      <c r="I1158" t="inlineStr"/>
      <c r="J1158" t="b">
        <v>0</v>
      </c>
      <c r="K1158" t="n">
        <v>0</v>
      </c>
      <c r="L1158" t="inlineStr"/>
      <c r="M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c r="I1159" t="inlineStr">
        <is>
          <t>HXP Can Influence</t>
        </is>
      </c>
      <c r="J1159" t="b">
        <v>0</v>
      </c>
      <c r="K1159" t="n">
        <v>1</v>
      </c>
      <c r="L1159" t="inlineStr"/>
      <c r="M1159" t="inlineStr"/>
    </row>
    <row r="1160">
      <c r="A1160" t="inlineStr">
        <is>
          <t>No</t>
        </is>
      </c>
      <c r="B1160" t="inlineStr"/>
      <c r="C1160" t="inlineStr"/>
      <c r="D1160" t="inlineStr"/>
      <c r="E1160" t="inlineStr">
        <is>
          <t>Space</t>
        </is>
      </c>
      <c r="F1160" t="inlineStr">
        <is>
          <t>Other / Uncategorized</t>
        </is>
      </c>
      <c r="G1160" t="inlineStr"/>
      <c r="H1160" t="inlineStr"/>
      <c r="I1160" t="inlineStr">
        <is>
          <t>Unknown</t>
        </is>
      </c>
      <c r="J1160" t="b">
        <v>0</v>
      </c>
      <c r="K1160" t="n">
        <v>0</v>
      </c>
      <c r="L1160" t="inlineStr"/>
      <c r="M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c r="I1161" t="inlineStr">
        <is>
          <t>Family's Own Choice</t>
        </is>
      </c>
      <c r="J1161" t="b">
        <v>0</v>
      </c>
      <c r="K1161" t="n">
        <v>1</v>
      </c>
      <c r="L1161" t="inlineStr"/>
      <c r="M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c r="I1162" t="inlineStr"/>
      <c r="J1162" t="b">
        <v>0</v>
      </c>
      <c r="K1162" t="n">
        <v>0</v>
      </c>
      <c r="L1162" t="inlineStr"/>
      <c r="M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c r="I1163" t="inlineStr"/>
      <c r="J1163" t="b">
        <v>0</v>
      </c>
      <c r="K1163" t="n">
        <v>0</v>
      </c>
      <c r="L1163" t="inlineStr">
        <is>
          <t>Cost / Financial Assistance</t>
        </is>
      </c>
      <c r="M1163" t="inlineStr">
        <is>
          <t>Cost / Financial Assistance</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c r="I1164" t="inlineStr">
        <is>
          <t>Family's Own Choice</t>
        </is>
      </c>
      <c r="J1164" t="b">
        <v>0</v>
      </c>
      <c r="K1164" t="n">
        <v>1</v>
      </c>
      <c r="L1164" t="inlineStr"/>
      <c r="M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c r="I1165" t="inlineStr">
        <is>
          <t>HXP Can Influence</t>
        </is>
      </c>
      <c r="J1165" t="b">
        <v>0</v>
      </c>
      <c r="K1165" t="n">
        <v>2</v>
      </c>
      <c r="L1165" t="inlineStr"/>
      <c r="M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c r="I1166" t="inlineStr">
        <is>
          <t>Family's Own Choice</t>
        </is>
      </c>
      <c r="J1166" t="b">
        <v>1</v>
      </c>
      <c r="K1166" t="n">
        <v>1</v>
      </c>
      <c r="L1166" t="inlineStr"/>
      <c r="M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c r="I1167" t="inlineStr">
        <is>
          <t>Family's Own Choice</t>
        </is>
      </c>
      <c r="J1167" t="b">
        <v>0</v>
      </c>
      <c r="K1167" t="n">
        <v>1</v>
      </c>
      <c r="L1167" t="inlineStr"/>
      <c r="M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c r="I1168" t="inlineStr">
        <is>
          <t>Family's Own Choice</t>
        </is>
      </c>
      <c r="J1168" t="b">
        <v>0</v>
      </c>
      <c r="K1168" t="n">
        <v>1</v>
      </c>
      <c r="L1168" t="inlineStr"/>
      <c r="M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c r="I1169" t="inlineStr">
        <is>
          <t>HXP Can Influence</t>
        </is>
      </c>
      <c r="J1169" t="b">
        <v>0</v>
      </c>
      <c r="K1169" t="n">
        <v>1</v>
      </c>
      <c r="L1169" t="inlineStr"/>
      <c r="M1169" t="inlineStr"/>
    </row>
    <row r="1170">
      <c r="A1170" t="inlineStr">
        <is>
          <t>No</t>
        </is>
      </c>
      <c r="B1170" t="inlineStr"/>
      <c r="C1170" t="inlineStr"/>
      <c r="D1170" t="inlineStr"/>
      <c r="E1170" t="inlineStr"/>
      <c r="F1170" t="inlineStr"/>
      <c r="G1170" t="inlineStr"/>
      <c r="H1170" t="inlineStr"/>
      <c r="I1170" t="inlineStr"/>
      <c r="J1170" t="b">
        <v>0</v>
      </c>
      <c r="K1170" t="n">
        <v>0</v>
      </c>
      <c r="L1170" t="inlineStr"/>
      <c r="M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c r="I1171" t="inlineStr">
        <is>
          <t>HXP Can Influence</t>
        </is>
      </c>
      <c r="J1171" t="b">
        <v>0</v>
      </c>
      <c r="K1171" t="n">
        <v>1</v>
      </c>
      <c r="L1171" t="inlineStr"/>
      <c r="M1171" t="inlineStr"/>
    </row>
    <row r="1172">
      <c r="A1172" t="inlineStr">
        <is>
          <t>No</t>
        </is>
      </c>
      <c r="B1172" t="inlineStr"/>
      <c r="C1172" t="inlineStr"/>
      <c r="D1172" t="inlineStr"/>
      <c r="E1172" t="inlineStr"/>
      <c r="F1172" t="inlineStr"/>
      <c r="G1172" t="inlineStr"/>
      <c r="H1172" t="inlineStr"/>
      <c r="I1172" t="inlineStr"/>
      <c r="J1172" t="b">
        <v>0</v>
      </c>
      <c r="K1172" t="n">
        <v>0</v>
      </c>
      <c r="L1172" t="inlineStr"/>
      <c r="M1172" t="inlineStr"/>
    </row>
    <row r="1173">
      <c r="A1173" t="inlineStr">
        <is>
          <t>No</t>
        </is>
      </c>
      <c r="B1173" t="inlineStr"/>
      <c r="C1173" t="inlineStr"/>
      <c r="D1173" t="inlineStr"/>
      <c r="E1173" t="inlineStr"/>
      <c r="F1173" t="inlineStr"/>
      <c r="G1173" t="inlineStr"/>
      <c r="H1173" t="inlineStr"/>
      <c r="I1173" t="inlineStr"/>
      <c r="J1173" t="b">
        <v>0</v>
      </c>
      <c r="K1173" t="n">
        <v>0</v>
      </c>
      <c r="L1173" t="inlineStr"/>
      <c r="M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c r="I1174" t="inlineStr">
        <is>
          <t>Family's Own Choice</t>
        </is>
      </c>
      <c r="J1174" t="b">
        <v>0</v>
      </c>
      <c r="K1174" t="n">
        <v>2</v>
      </c>
      <c r="L1174" t="inlineStr"/>
      <c r="M1174" t="inlineStr"/>
    </row>
    <row r="1175">
      <c r="A1175" t="inlineStr">
        <is>
          <t>No</t>
        </is>
      </c>
      <c r="B1175" t="inlineStr"/>
      <c r="C1175" t="inlineStr"/>
      <c r="D1175" t="inlineStr"/>
      <c r="E1175" t="inlineStr">
        <is>
          <t>Money</t>
        </is>
      </c>
      <c r="F1175" t="inlineStr">
        <is>
          <t>Cost / Finances</t>
        </is>
      </c>
      <c r="G1175" t="inlineStr">
        <is>
          <t>Cost / Finances</t>
        </is>
      </c>
      <c r="H1175" t="inlineStr"/>
      <c r="I1175" t="inlineStr">
        <is>
          <t>HXP Can Directly Fix</t>
        </is>
      </c>
      <c r="J1175" t="b">
        <v>0</v>
      </c>
      <c r="K1175" t="n">
        <v>1</v>
      </c>
      <c r="L1175" t="inlineStr"/>
      <c r="M1175" t="inlineStr"/>
    </row>
    <row r="1176">
      <c r="A1176" t="inlineStr">
        <is>
          <t>No</t>
        </is>
      </c>
      <c r="B1176" t="inlineStr"/>
      <c r="C1176" t="inlineStr"/>
      <c r="D1176" t="inlineStr"/>
      <c r="E1176" t="inlineStr"/>
      <c r="F1176" t="inlineStr"/>
      <c r="G1176" t="inlineStr"/>
      <c r="H1176" t="inlineStr"/>
      <c r="I1176" t="inlineStr"/>
      <c r="J1176" t="b">
        <v>0</v>
      </c>
      <c r="K1176" t="n">
        <v>0</v>
      </c>
      <c r="L1176" t="inlineStr"/>
      <c r="M1176" t="inlineStr"/>
    </row>
    <row r="1177">
      <c r="A1177" t="inlineStr">
        <is>
          <t>No</t>
        </is>
      </c>
      <c r="B1177" t="inlineStr"/>
      <c r="C1177" t="inlineStr"/>
      <c r="D1177" t="inlineStr"/>
      <c r="E1177" t="inlineStr"/>
      <c r="F1177" t="inlineStr"/>
      <c r="G1177" t="inlineStr"/>
      <c r="H1177" t="inlineStr"/>
      <c r="I1177" t="inlineStr"/>
      <c r="J1177" t="b">
        <v>0</v>
      </c>
      <c r="K1177" t="n">
        <v>0</v>
      </c>
      <c r="L1177" t="inlineStr"/>
      <c r="M1177" t="inlineStr"/>
    </row>
    <row r="1178">
      <c r="A1178" t="inlineStr">
        <is>
          <t>No</t>
        </is>
      </c>
      <c r="B1178" t="inlineStr"/>
      <c r="C1178" t="inlineStr"/>
      <c r="D1178" t="inlineStr"/>
      <c r="E1178" t="inlineStr"/>
      <c r="F1178" t="inlineStr"/>
      <c r="G1178" t="inlineStr"/>
      <c r="H1178" t="inlineStr"/>
      <c r="I1178" t="inlineStr"/>
      <c r="J1178" t="b">
        <v>0</v>
      </c>
      <c r="K1178" t="n">
        <v>0</v>
      </c>
      <c r="L1178" t="inlineStr"/>
      <c r="M1178" t="inlineStr"/>
    </row>
    <row r="1179">
      <c r="A1179" t="inlineStr">
        <is>
          <t>No</t>
        </is>
      </c>
      <c r="B1179" t="inlineStr"/>
      <c r="C1179" t="inlineStr"/>
      <c r="D1179" t="inlineStr"/>
      <c r="E1179" t="inlineStr"/>
      <c r="F1179" t="inlineStr"/>
      <c r="G1179" t="inlineStr"/>
      <c r="H1179" t="inlineStr"/>
      <c r="I1179" t="inlineStr"/>
      <c r="J1179" t="b">
        <v>0</v>
      </c>
      <c r="K1179" t="n">
        <v>0</v>
      </c>
      <c r="L1179" t="inlineStr"/>
      <c r="M1179" t="inlineStr"/>
    </row>
    <row r="1180">
      <c r="A1180" t="inlineStr">
        <is>
          <t>No</t>
        </is>
      </c>
      <c r="B1180" t="inlineStr"/>
      <c r="C1180" t="inlineStr"/>
      <c r="D1180" t="inlineStr"/>
      <c r="E1180" t="inlineStr"/>
      <c r="F1180" t="inlineStr"/>
      <c r="G1180" t="inlineStr"/>
      <c r="H1180" t="inlineStr"/>
      <c r="I1180" t="inlineStr"/>
      <c r="J1180" t="b">
        <v>0</v>
      </c>
      <c r="K1180" t="n">
        <v>0</v>
      </c>
      <c r="L1180" t="inlineStr"/>
      <c r="M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c r="I1181" t="inlineStr">
        <is>
          <t>HXP Can Influence</t>
        </is>
      </c>
      <c r="J1181" t="b">
        <v>0</v>
      </c>
      <c r="K1181" t="n">
        <v>1</v>
      </c>
      <c r="L1181" t="inlineStr"/>
      <c r="M1181" t="inlineStr"/>
    </row>
    <row r="1182">
      <c r="A1182" t="inlineStr">
        <is>
          <t>No</t>
        </is>
      </c>
      <c r="B1182" t="inlineStr"/>
      <c r="C1182" t="inlineStr"/>
      <c r="D1182" t="inlineStr"/>
      <c r="E1182" t="inlineStr"/>
      <c r="F1182" t="inlineStr"/>
      <c r="G1182" t="inlineStr"/>
      <c r="H1182" t="inlineStr"/>
      <c r="I1182" t="inlineStr"/>
      <c r="J1182" t="b">
        <v>0</v>
      </c>
      <c r="K1182" t="n">
        <v>0</v>
      </c>
      <c r="L1182" t="inlineStr"/>
      <c r="M1182" t="inlineStr"/>
    </row>
    <row r="1183">
      <c r="A1183" t="inlineStr">
        <is>
          <t>No</t>
        </is>
      </c>
      <c r="B1183" t="inlineStr"/>
      <c r="C1183" t="inlineStr"/>
      <c r="D1183" t="inlineStr"/>
      <c r="E1183" t="inlineStr">
        <is>
          <t>Finances</t>
        </is>
      </c>
      <c r="F1183" t="inlineStr">
        <is>
          <t>Cost / Finances</t>
        </is>
      </c>
      <c r="G1183" t="inlineStr">
        <is>
          <t>Cost / Finances</t>
        </is>
      </c>
      <c r="H1183" t="inlineStr"/>
      <c r="I1183" t="inlineStr">
        <is>
          <t>HXP Can Directly Fix</t>
        </is>
      </c>
      <c r="J1183" t="b">
        <v>0</v>
      </c>
      <c r="K1183" t="n">
        <v>1</v>
      </c>
      <c r="L1183" t="inlineStr"/>
      <c r="M1183" t="inlineStr"/>
    </row>
    <row r="1184">
      <c r="A1184" t="inlineStr">
        <is>
          <t>No</t>
        </is>
      </c>
      <c r="B1184" t="inlineStr"/>
      <c r="C1184" t="inlineStr"/>
      <c r="D1184" t="inlineStr"/>
      <c r="E1184" t="inlineStr"/>
      <c r="F1184" t="inlineStr"/>
      <c r="G1184" t="inlineStr"/>
      <c r="H1184" t="inlineStr"/>
      <c r="I1184" t="inlineStr"/>
      <c r="J1184" t="b">
        <v>0</v>
      </c>
      <c r="K1184" t="n">
        <v>0</v>
      </c>
      <c r="L1184" t="inlineStr"/>
      <c r="M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c r="I1185" t="inlineStr">
        <is>
          <t>Family's Own Choice</t>
        </is>
      </c>
      <c r="J1185" t="b">
        <v>0</v>
      </c>
      <c r="K1185" t="n">
        <v>1</v>
      </c>
      <c r="L1185" t="inlineStr"/>
      <c r="M1185" t="inlineStr"/>
    </row>
    <row r="1186">
      <c r="A1186" t="inlineStr">
        <is>
          <t>No</t>
        </is>
      </c>
      <c r="B1186" t="inlineStr"/>
      <c r="C1186" t="inlineStr"/>
      <c r="D1186" t="inlineStr"/>
      <c r="E1186" t="inlineStr"/>
      <c r="F1186" t="inlineStr"/>
      <c r="G1186" t="inlineStr"/>
      <c r="H1186" t="inlineStr"/>
      <c r="I1186" t="inlineStr"/>
      <c r="J1186" t="b">
        <v>0</v>
      </c>
      <c r="K1186" t="n">
        <v>0</v>
      </c>
      <c r="L1186" t="inlineStr"/>
      <c r="M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c r="I1187" t="inlineStr">
        <is>
          <t>Family's Own Choice</t>
        </is>
      </c>
      <c r="J1187" t="b">
        <v>0</v>
      </c>
      <c r="K1187" t="n">
        <v>1</v>
      </c>
      <c r="L1187" t="inlineStr"/>
      <c r="M1187" t="inlineStr"/>
    </row>
    <row r="1188">
      <c r="A1188" t="inlineStr">
        <is>
          <t>No</t>
        </is>
      </c>
      <c r="B1188" t="inlineStr"/>
      <c r="C1188" t="inlineStr"/>
      <c r="D1188" t="inlineStr"/>
      <c r="E1188" t="inlineStr">
        <is>
          <t>Money</t>
        </is>
      </c>
      <c r="F1188" t="inlineStr">
        <is>
          <t>Cost / Finances</t>
        </is>
      </c>
      <c r="G1188" t="inlineStr">
        <is>
          <t>Cost / Finances</t>
        </is>
      </c>
      <c r="H1188" t="inlineStr"/>
      <c r="I1188" t="inlineStr">
        <is>
          <t>HXP Can Directly Fix</t>
        </is>
      </c>
      <c r="J1188" t="b">
        <v>0</v>
      </c>
      <c r="K1188" t="n">
        <v>1</v>
      </c>
      <c r="L1188" t="inlineStr"/>
      <c r="M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c r="I1189" t="inlineStr">
        <is>
          <t>HXP Can Influence</t>
        </is>
      </c>
      <c r="J1189" t="b">
        <v>0</v>
      </c>
      <c r="K1189" t="n">
        <v>1</v>
      </c>
      <c r="L1189" t="inlineStr"/>
      <c r="M1189" t="inlineStr"/>
    </row>
    <row r="1190">
      <c r="A1190" t="inlineStr">
        <is>
          <t>Maybe</t>
        </is>
      </c>
      <c r="B1190" t="inlineStr"/>
      <c r="C1190" t="inlineStr"/>
      <c r="D1190" t="inlineStr"/>
      <c r="E1190" t="inlineStr"/>
      <c r="F1190" t="inlineStr"/>
      <c r="G1190" t="inlineStr"/>
      <c r="H1190" t="inlineStr">
        <is>
          <t>Cost</t>
        </is>
      </c>
      <c r="I1190" t="inlineStr"/>
      <c r="J1190" t="b">
        <v>0</v>
      </c>
      <c r="K1190" t="n">
        <v>0</v>
      </c>
      <c r="L1190" t="inlineStr">
        <is>
          <t>Cost / Financial Assistance</t>
        </is>
      </c>
      <c r="M1190" t="inlineStr">
        <is>
          <t>Cost / Financial Assistance</t>
        </is>
      </c>
    </row>
  </sheetData>
  <autoFilter ref="A1:M1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4" customWidth="1" min="1" max="1"/>
    <col width="45" customWidth="1" min="2" max="2"/>
    <col width="12" customWidth="1" min="3" max="3"/>
  </cols>
  <sheetData>
    <row r="1">
      <c r="A1" s="14" t="inlineStr">
        <is>
          <t>Insight</t>
        </is>
      </c>
      <c r="B1" s="14" t="inlineStr">
        <is>
          <t>Metric</t>
        </is>
      </c>
      <c r="C1" s="14" t="inlineStr">
        <is>
          <t>Value</t>
        </is>
      </c>
    </row>
    <row r="2">
      <c r="A2" t="inlineStr">
        <is>
          <t>1. Controllability</t>
        </is>
      </c>
      <c r="B2" t="inlineStr">
        <is>
          <t>HXP Can Directly Fix</t>
        </is>
      </c>
      <c r="C2" t="inlineStr">
        <is>
          <t>239</t>
        </is>
      </c>
    </row>
    <row r="3">
      <c r="A3" t="inlineStr">
        <is>
          <t>1. Controllability</t>
        </is>
      </c>
      <c r="B3" t="inlineStr">
        <is>
          <t>HXP Can Directly Fix (% of reasons given)</t>
        </is>
      </c>
      <c r="C3" t="inlineStr">
        <is>
          <t>26.7</t>
        </is>
      </c>
    </row>
    <row r="4">
      <c r="A4" t="inlineStr">
        <is>
          <t>1. Controllability</t>
        </is>
      </c>
      <c r="B4" t="inlineStr">
        <is>
          <t>HXP Can Influence</t>
        </is>
      </c>
      <c r="C4" t="inlineStr">
        <is>
          <t>222</t>
        </is>
      </c>
    </row>
    <row r="5">
      <c r="A5" t="inlineStr">
        <is>
          <t>1. Controllability</t>
        </is>
      </c>
      <c r="B5" t="inlineStr">
        <is>
          <t>HXP Can Influence (% of reasons given)</t>
        </is>
      </c>
      <c r="C5" t="inlineStr">
        <is>
          <t>24.8</t>
        </is>
      </c>
    </row>
    <row r="6">
      <c r="A6" t="inlineStr">
        <is>
          <t>1. Controllability</t>
        </is>
      </c>
      <c r="B6" t="inlineStr">
        <is>
          <t>Family's Own Choice</t>
        </is>
      </c>
      <c r="C6" t="inlineStr">
        <is>
          <t>418</t>
        </is>
      </c>
    </row>
    <row r="7">
      <c r="A7" t="inlineStr">
        <is>
          <t>1. Controllability</t>
        </is>
      </c>
      <c r="B7" t="inlineStr">
        <is>
          <t>Family's Own Choice (% of reasons given)</t>
        </is>
      </c>
      <c r="C7" t="inlineStr">
        <is>
          <t>46.7</t>
        </is>
      </c>
    </row>
    <row r="8">
      <c r="A8" t="inlineStr">
        <is>
          <t>1. Controllability</t>
        </is>
      </c>
      <c r="B8" t="inlineStr">
        <is>
          <t>Unknown</t>
        </is>
      </c>
      <c r="C8" t="inlineStr">
        <is>
          <t>17</t>
        </is>
      </c>
    </row>
    <row r="9">
      <c r="A9" t="inlineStr">
        <is>
          <t>1. Controllability</t>
        </is>
      </c>
      <c r="B9" t="inlineStr">
        <is>
          <t>Unknown (% of reasons given)</t>
        </is>
      </c>
      <c r="C9" t="inlineStr">
        <is>
          <t>1.9</t>
        </is>
      </c>
    </row>
    <row r="10">
      <c r="A10" t="inlineStr">
        <is>
          <t>2. Soft No Signal</t>
        </is>
      </c>
      <c r="B10" t="inlineStr">
        <is>
          <t>Responses hinting at future interest</t>
        </is>
      </c>
      <c r="C10" t="inlineStr">
        <is>
          <t>30</t>
        </is>
      </c>
    </row>
    <row r="11">
      <c r="A11" t="inlineStr">
        <is>
          <t>2. Soft No Signal</t>
        </is>
      </c>
      <c r="B11" t="inlineStr">
        <is>
          <t>% of 'No' reasons given</t>
        </is>
      </c>
      <c r="C11" t="inlineStr">
        <is>
          <t>3.3</t>
        </is>
      </c>
    </row>
    <row r="12">
      <c r="A12" t="inlineStr">
        <is>
          <t>3. Reason Stack Count</t>
        </is>
      </c>
      <c r="B12" t="inlineStr">
        <is>
          <t>Single-theme responses</t>
        </is>
      </c>
      <c r="C12" t="inlineStr">
        <is>
          <t>668</t>
        </is>
      </c>
    </row>
    <row r="13">
      <c r="A13" t="inlineStr">
        <is>
          <t>3. Reason Stack Count</t>
        </is>
      </c>
      <c r="B13" t="inlineStr">
        <is>
          <t>Multi-theme responses (2+ stacked reasons)</t>
        </is>
      </c>
      <c r="C13" t="inlineStr">
        <is>
          <t>211</t>
        </is>
      </c>
    </row>
    <row r="14">
      <c r="A14" t="inlineStr">
        <is>
          <t>3. Reason Stack Count</t>
        </is>
      </c>
      <c r="B14" t="inlineStr">
        <is>
          <t>Multi-theme (% of 'No' reasons given)</t>
        </is>
      </c>
      <c r="C14" t="inlineStr">
        <is>
          <t>23.5</t>
        </is>
      </c>
    </row>
    <row r="15">
      <c r="A15" t="inlineStr">
        <is>
          <t>4. Would-Help Themes</t>
        </is>
      </c>
      <c r="B15" t="inlineStr">
        <is>
          <t>Total 'Maybe' respondents (persuadable segment)</t>
        </is>
      </c>
      <c r="C15" t="inlineStr">
        <is>
          <t>42</t>
        </is>
      </c>
    </row>
    <row r="16">
      <c r="A16" t="inlineStr">
        <is>
          <t>4. Would-Help Themes</t>
        </is>
      </c>
      <c r="B16" t="inlineStr">
        <is>
          <t>Cost / Financial Assistance</t>
        </is>
      </c>
      <c r="C16" t="inlineStr">
        <is>
          <t>16</t>
        </is>
      </c>
    </row>
    <row r="17">
      <c r="A17" t="inlineStr">
        <is>
          <t>4. Would-Help Themes</t>
        </is>
      </c>
      <c r="B17" t="inlineStr">
        <is>
          <t>Time / Scheduling</t>
        </is>
      </c>
      <c r="C17" t="inlineStr">
        <is>
          <t>4</t>
        </is>
      </c>
    </row>
    <row r="18">
      <c r="A18" t="inlineStr">
        <is>
          <t>4. Would-Help Themes</t>
        </is>
      </c>
      <c r="B18" t="inlineStr">
        <is>
          <t>Childcare for Other Kids</t>
        </is>
      </c>
      <c r="C18" t="inlineStr">
        <is>
          <t>3</t>
        </is>
      </c>
    </row>
    <row r="19">
      <c r="A19" t="inlineStr">
        <is>
          <t>4. Would-Help Themes</t>
        </is>
      </c>
      <c r="B19" t="inlineStr">
        <is>
          <t>Waiting for Right Timing (kids' ages)</t>
        </is>
      </c>
      <c r="C19" t="inlineStr">
        <is>
          <t>3</t>
        </is>
      </c>
    </row>
    <row r="20">
      <c r="A20" t="inlineStr">
        <is>
          <t>4. Would-Help Themes</t>
        </is>
      </c>
      <c r="B20" t="inlineStr">
        <is>
          <t>Other / Uncategorized</t>
        </is>
      </c>
      <c r="C20" t="inlineStr">
        <is>
          <t>2</t>
        </is>
      </c>
    </row>
    <row r="21">
      <c r="A21" t="inlineStr">
        <is>
          <t>4. Would-Help Themes</t>
        </is>
      </c>
      <c r="B21" t="inlineStr">
        <is>
          <t>No Specific Ask / Undecided</t>
        </is>
      </c>
      <c r="C21" t="inlineStr">
        <is>
          <t>2</t>
        </is>
      </c>
    </row>
    <row r="22">
      <c r="A22" t="inlineStr">
        <is>
          <t>4. Would-Help Themes</t>
        </is>
      </c>
      <c r="B22" t="inlineStr">
        <is>
          <t>More Information / Awareness</t>
        </is>
      </c>
      <c r="C22" t="inlineStr">
        <is>
          <t>1</t>
        </is>
      </c>
    </row>
    <row r="23">
      <c r="A23" t="inlineStr">
        <is>
          <t>4. Would-Help Themes</t>
        </is>
      </c>
      <c r="B23" t="inlineStr">
        <is>
          <t>Health</t>
        </is>
      </c>
      <c r="C23" t="inlineStr">
        <is>
          <t>1</t>
        </is>
      </c>
    </row>
    <row r="24">
      <c r="A24" t="inlineStr">
        <is>
          <t>4. Would-Help Themes</t>
        </is>
      </c>
      <c r="B24" t="inlineStr">
        <is>
          <t>Registration / Spot Availability</t>
        </is>
      </c>
      <c r="C24" t="inlineStr">
        <is>
          <t>1</t>
        </is>
      </c>
    </row>
  </sheetData>
  <autoFilter ref="A1:C24"/>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2026-08-07T01:57:15Z</dcterms:created>
  <dcterms:modified xsi:type="dcterms:W3CDTF">2026-08-07T01:57:15Z</dcterms:modified>
</cp:coreProperties>
</file>